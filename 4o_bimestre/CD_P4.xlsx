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ocuments\ano_2025S2\IMT CD\"/>
    </mc:Choice>
  </mc:AlternateContent>
  <xr:revisionPtr revIDLastSave="0" documentId="13_ncr:1_{91A2C342-4FD4-4684-857F-EC347D58F179}" xr6:coauthVersionLast="47" xr6:coauthVersionMax="47" xr10:uidLastSave="{00000000-0000-0000-0000-000000000000}"/>
  <bookViews>
    <workbookView xWindow="20370" yWindow="-120" windowWidth="29040" windowHeight="15720" firstSheet="1" activeTab="7" xr2:uid="{4D9DC63B-4DA0-445A-A33D-E87BD76FF7F3}"/>
  </bookViews>
  <sheets>
    <sheet name="Médias 4o Bimestre" sheetId="6" r:id="rId1"/>
    <sheet name="Nota P4 Lab" sheetId="5" r:id="rId2"/>
    <sheet name="Atividades e Projeto Notas" sheetId="4" r:id="rId3"/>
    <sheet name="Atividades e Projeto Comentario" sheetId="3" r:id="rId4"/>
    <sheet name="work 1" sheetId="1" r:id="rId5"/>
    <sheet name="work 2" sheetId="2" r:id="rId6"/>
    <sheet name="Ordem Turmas" sheetId="7" r:id="rId7"/>
    <sheet name="MF" sheetId="11" r:id="rId8"/>
  </sheets>
  <definedNames>
    <definedName name="_xlnm._FilterDatabase" localSheetId="3" hidden="1">'Atividades e Projeto Comentario'!$A$1:$M$41</definedName>
    <definedName name="_xlnm._FilterDatabase" localSheetId="2" hidden="1">'Atividades e Projeto Notas'!$A$1:$H$40</definedName>
    <definedName name="_xlnm._FilterDatabase" localSheetId="0" hidden="1">'Médias 4o Bimestre'!$A$1:$J$41</definedName>
    <definedName name="_xlnm._FilterDatabase" localSheetId="4" hidden="1">'work 1'!$A$1:$K$41</definedName>
    <definedName name="_xlnm._FilterDatabase" localSheetId="5" hidden="1">'work 2'!$A$1:$B$40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11" l="1"/>
  <c r="V4" i="11"/>
  <c r="V5" i="11"/>
  <c r="V7" i="11"/>
  <c r="V8" i="11"/>
  <c r="V9" i="11"/>
  <c r="V10" i="11"/>
  <c r="V11" i="11"/>
  <c r="V12" i="11"/>
  <c r="V13" i="11"/>
  <c r="V14" i="11"/>
  <c r="V15" i="11"/>
  <c r="V16" i="11"/>
  <c r="V17" i="11"/>
  <c r="V18" i="11"/>
  <c r="V19" i="11"/>
  <c r="V20" i="11"/>
  <c r="V21" i="11"/>
  <c r="V22" i="11"/>
  <c r="V23" i="11"/>
  <c r="V24" i="11"/>
  <c r="V25" i="11"/>
  <c r="V26" i="11"/>
  <c r="V27" i="11"/>
  <c r="V28" i="11"/>
  <c r="V29" i="11"/>
  <c r="V30" i="11"/>
  <c r="V31" i="11"/>
  <c r="V32" i="11"/>
  <c r="V33" i="11"/>
  <c r="V34" i="11"/>
  <c r="V35" i="11"/>
  <c r="V36" i="11"/>
  <c r="V37" i="11"/>
  <c r="V38" i="11"/>
  <c r="V39" i="11"/>
  <c r="V40" i="11"/>
  <c r="V2" i="11"/>
  <c r="U3" i="11"/>
  <c r="U4" i="11"/>
  <c r="U5"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2" i="11"/>
  <c r="T3" i="11"/>
  <c r="T4" i="11"/>
  <c r="T5" i="11"/>
  <c r="T6" i="11"/>
  <c r="U6" i="11" s="1"/>
  <c r="V6" i="11" s="1"/>
  <c r="T7" i="11"/>
  <c r="T8" i="11"/>
  <c r="T9" i="11"/>
  <c r="T10" i="11"/>
  <c r="T11" i="11"/>
  <c r="T12" i="11"/>
  <c r="T13" i="11"/>
  <c r="T14" i="11"/>
  <c r="T15" i="11"/>
  <c r="T16" i="11"/>
  <c r="T17" i="11"/>
  <c r="T18" i="11"/>
  <c r="T19" i="11"/>
  <c r="T20" i="11"/>
  <c r="T21" i="11"/>
  <c r="T22" i="11"/>
  <c r="T23" i="11"/>
  <c r="T24" i="11"/>
  <c r="T25" i="11"/>
  <c r="T26" i="11"/>
  <c r="T27" i="11"/>
  <c r="T28" i="11"/>
  <c r="T29" i="11"/>
  <c r="T30" i="11"/>
  <c r="T31" i="11"/>
  <c r="T32" i="11"/>
  <c r="T33" i="11"/>
  <c r="T34" i="11"/>
  <c r="T35" i="11"/>
  <c r="T36" i="11"/>
  <c r="T37" i="11"/>
  <c r="T38" i="11"/>
  <c r="T39" i="11"/>
  <c r="T40" i="11"/>
  <c r="T2" i="11"/>
  <c r="S3" i="11"/>
  <c r="S4" i="11"/>
  <c r="S5" i="11"/>
  <c r="S6" i="11"/>
  <c r="S7" i="11"/>
  <c r="S8"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2" i="11"/>
  <c r="B5" i="6"/>
  <c r="B8" i="6"/>
  <c r="B10" i="6"/>
  <c r="B14" i="6"/>
  <c r="B13" i="6"/>
  <c r="B7" i="6"/>
  <c r="B2" i="6"/>
  <c r="B18" i="6"/>
  <c r="B11" i="6"/>
  <c r="B4" i="6"/>
  <c r="B3" i="6"/>
  <c r="B15" i="6"/>
  <c r="B9" i="6"/>
  <c r="B17" i="6"/>
  <c r="B16" i="6"/>
  <c r="B6" i="6"/>
  <c r="B37" i="6"/>
  <c r="B21" i="6"/>
  <c r="B27" i="6"/>
  <c r="B24" i="6"/>
  <c r="B20" i="6"/>
  <c r="B40" i="6"/>
  <c r="B35" i="6"/>
  <c r="B22" i="6"/>
  <c r="B29" i="6"/>
  <c r="B32" i="6"/>
  <c r="B33" i="6"/>
  <c r="B26" i="6"/>
  <c r="B36" i="6"/>
  <c r="B28" i="6"/>
  <c r="B38" i="6"/>
  <c r="B30" i="6"/>
  <c r="B39" i="6"/>
  <c r="B25" i="6"/>
  <c r="B19" i="6"/>
  <c r="B23" i="6"/>
  <c r="B31" i="6"/>
  <c r="B34" i="6"/>
  <c r="B12" i="6"/>
  <c r="E12" i="6"/>
  <c r="G3" i="6"/>
  <c r="G4" i="6"/>
  <c r="G5" i="6"/>
  <c r="G6" i="6"/>
  <c r="G7" i="6"/>
  <c r="G8" i="6"/>
  <c r="G9" i="6"/>
  <c r="G10" i="6"/>
  <c r="G11" i="6"/>
  <c r="G12" i="6"/>
  <c r="G13" i="6"/>
  <c r="G14" i="6"/>
  <c r="G15" i="6"/>
  <c r="G16" i="6"/>
  <c r="G17" i="6"/>
  <c r="G18" i="6"/>
  <c r="G19" i="6"/>
  <c r="G20" i="6"/>
  <c r="J27" i="6" s="1"/>
  <c r="G21" i="6"/>
  <c r="G22" i="6"/>
  <c r="G23" i="6"/>
  <c r="G24" i="6"/>
  <c r="G25" i="6"/>
  <c r="G26" i="6"/>
  <c r="J14" i="6" s="1"/>
  <c r="G27" i="6"/>
  <c r="G28" i="6"/>
  <c r="G29" i="6"/>
  <c r="G30" i="6"/>
  <c r="G31" i="6"/>
  <c r="G32" i="6"/>
  <c r="G33" i="6"/>
  <c r="G34" i="6"/>
  <c r="G35" i="6"/>
  <c r="G36" i="6"/>
  <c r="G37" i="6"/>
  <c r="G38" i="6"/>
  <c r="G39" i="6"/>
  <c r="G40" i="6"/>
  <c r="J8" i="6" s="1"/>
  <c r="H3" i="4"/>
  <c r="F21" i="6" s="1"/>
  <c r="H4" i="4"/>
  <c r="F12" i="6" s="1"/>
  <c r="H5" i="4"/>
  <c r="F5" i="6" s="1"/>
  <c r="H6" i="4"/>
  <c r="F27" i="6" s="1"/>
  <c r="H7" i="4"/>
  <c r="F8" i="6" s="1"/>
  <c r="H8" i="4"/>
  <c r="F24" i="6" s="1"/>
  <c r="H9" i="4"/>
  <c r="F20" i="6" s="1"/>
  <c r="H10" i="4"/>
  <c r="F10" i="6" s="1"/>
  <c r="H11" i="4"/>
  <c r="F35" i="6" s="1"/>
  <c r="H12" i="4"/>
  <c r="F40" i="6" s="1"/>
  <c r="H13" i="4"/>
  <c r="F14" i="6" s="1"/>
  <c r="H14" i="4"/>
  <c r="F22" i="6" s="1"/>
  <c r="H15" i="4"/>
  <c r="F13" i="6" s="1"/>
  <c r="H16" i="4"/>
  <c r="F29" i="6" s="1"/>
  <c r="H17" i="4"/>
  <c r="F7" i="6" s="1"/>
  <c r="H18" i="4"/>
  <c r="F32" i="6" s="1"/>
  <c r="H19" i="4"/>
  <c r="F33" i="6" s="1"/>
  <c r="H20" i="4"/>
  <c r="F26" i="6" s="1"/>
  <c r="H21" i="4"/>
  <c r="F2" i="6" s="1"/>
  <c r="F41" i="6" s="1"/>
  <c r="H22" i="4"/>
  <c r="F36" i="6" s="1"/>
  <c r="H23" i="4"/>
  <c r="F18" i="6" s="1"/>
  <c r="H24" i="4"/>
  <c r="F28" i="6" s="1"/>
  <c r="H25" i="4"/>
  <c r="F38" i="6" s="1"/>
  <c r="H26" i="4"/>
  <c r="F11" i="6" s="1"/>
  <c r="H27" i="4"/>
  <c r="F4" i="6" s="1"/>
  <c r="H28" i="4"/>
  <c r="F3" i="6" s="1"/>
  <c r="H29" i="4"/>
  <c r="F15" i="6" s="1"/>
  <c r="H30" i="4"/>
  <c r="F9" i="6" s="1"/>
  <c r="H31" i="4"/>
  <c r="F30" i="6" s="1"/>
  <c r="H32" i="4"/>
  <c r="F17" i="6" s="1"/>
  <c r="H33" i="4"/>
  <c r="F25" i="6" s="1"/>
  <c r="H34" i="4"/>
  <c r="F39" i="6" s="1"/>
  <c r="H35" i="4"/>
  <c r="F19" i="6" s="1"/>
  <c r="H36" i="4"/>
  <c r="F16" i="6" s="1"/>
  <c r="H37" i="4"/>
  <c r="F23" i="6" s="1"/>
  <c r="H38" i="4"/>
  <c r="F31" i="6" s="1"/>
  <c r="H39" i="4"/>
  <c r="F6" i="6" s="1"/>
  <c r="H40" i="4"/>
  <c r="F34" i="6" s="1"/>
  <c r="H2" i="4"/>
  <c r="F37" i="6" s="1"/>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E2" i="4"/>
  <c r="E3" i="4"/>
  <c r="E4" i="4"/>
  <c r="E5" i="4"/>
  <c r="G5" i="4" s="1"/>
  <c r="E5" i="6" s="1"/>
  <c r="E6" i="4"/>
  <c r="E7" i="4"/>
  <c r="G7" i="4" s="1"/>
  <c r="E8" i="6" s="1"/>
  <c r="E8" i="4"/>
  <c r="E9" i="4"/>
  <c r="G9" i="4" s="1"/>
  <c r="E20" i="6" s="1"/>
  <c r="E10" i="4"/>
  <c r="E11" i="4"/>
  <c r="E12" i="4"/>
  <c r="E13" i="4"/>
  <c r="G13" i="4" s="1"/>
  <c r="E14" i="6" s="1"/>
  <c r="E14" i="4"/>
  <c r="E15" i="4"/>
  <c r="G15" i="4" s="1"/>
  <c r="E13" i="6" s="1"/>
  <c r="E16" i="4"/>
  <c r="E17" i="4"/>
  <c r="G17" i="4" s="1"/>
  <c r="E7" i="6" s="1"/>
  <c r="E18" i="4"/>
  <c r="E19" i="4"/>
  <c r="E20" i="4"/>
  <c r="E21" i="4"/>
  <c r="G21" i="4" s="1"/>
  <c r="E2" i="6" s="1"/>
  <c r="E22" i="4"/>
  <c r="E23" i="4"/>
  <c r="G23" i="4" s="1"/>
  <c r="E18" i="6" s="1"/>
  <c r="E24" i="4"/>
  <c r="E25" i="4"/>
  <c r="G25" i="4" s="1"/>
  <c r="E38" i="6" s="1"/>
  <c r="E26" i="4"/>
  <c r="E27" i="4"/>
  <c r="E28" i="4"/>
  <c r="E29" i="4"/>
  <c r="G29" i="4" s="1"/>
  <c r="E15" i="6" s="1"/>
  <c r="E30" i="4"/>
  <c r="E31" i="4"/>
  <c r="G31" i="4" s="1"/>
  <c r="E30" i="6" s="1"/>
  <c r="E32" i="4"/>
  <c r="E33" i="4"/>
  <c r="G33" i="4" s="1"/>
  <c r="E25" i="6" s="1"/>
  <c r="E34" i="4"/>
  <c r="E35" i="4"/>
  <c r="E36" i="4"/>
  <c r="E37" i="4"/>
  <c r="G37" i="4" s="1"/>
  <c r="E23" i="6" s="1"/>
  <c r="E38" i="4"/>
  <c r="E39" i="4"/>
  <c r="G39" i="4" s="1"/>
  <c r="E6" i="6" s="1"/>
  <c r="E40" i="4"/>
  <c r="H21" i="6"/>
  <c r="H12" i="6"/>
  <c r="H5" i="6"/>
  <c r="H27" i="6"/>
  <c r="H8" i="6"/>
  <c r="H24" i="6"/>
  <c r="H20" i="6"/>
  <c r="H10" i="6"/>
  <c r="H40" i="6"/>
  <c r="H35" i="6"/>
  <c r="H14" i="6"/>
  <c r="H22" i="6"/>
  <c r="H13" i="6"/>
  <c r="H29" i="6"/>
  <c r="H7" i="6"/>
  <c r="H32" i="6"/>
  <c r="H33" i="6"/>
  <c r="H26" i="6"/>
  <c r="H2" i="6"/>
  <c r="H36" i="6"/>
  <c r="H18" i="6"/>
  <c r="H28" i="6"/>
  <c r="H38" i="6"/>
  <c r="H11" i="6"/>
  <c r="H4" i="6"/>
  <c r="H3" i="6"/>
  <c r="H15" i="6"/>
  <c r="H9" i="6"/>
  <c r="H30" i="6"/>
  <c r="H17" i="6"/>
  <c r="H39" i="6"/>
  <c r="H25" i="6"/>
  <c r="H19" i="6"/>
  <c r="H16" i="6"/>
  <c r="H23" i="6"/>
  <c r="H31" i="6"/>
  <c r="H6" i="6"/>
  <c r="H34" i="6"/>
  <c r="H37" i="6"/>
  <c r="G2"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G16" i="4"/>
  <c r="E29" i="6" s="1"/>
  <c r="G30" i="4"/>
  <c r="E9" i="6" s="1"/>
  <c r="K13" i="3"/>
  <c r="K21" i="3"/>
  <c r="K8" i="3"/>
  <c r="K7" i="3"/>
  <c r="K32" i="3"/>
  <c r="K12" i="3"/>
  <c r="K40" i="3"/>
  <c r="K11" i="3"/>
  <c r="K31" i="3"/>
  <c r="K17" i="3"/>
  <c r="K20" i="3"/>
  <c r="K26" i="3"/>
  <c r="K19" i="3"/>
  <c r="K18" i="3"/>
  <c r="K30" i="3"/>
  <c r="K3" i="3"/>
  <c r="K16" i="3"/>
  <c r="K10" i="3"/>
  <c r="K15" i="3"/>
  <c r="K2" i="3"/>
  <c r="K6" i="3"/>
  <c r="K14" i="3"/>
  <c r="K5" i="3"/>
  <c r="K24" i="3"/>
  <c r="K29" i="3"/>
  <c r="K28" i="3"/>
  <c r="K4" i="3"/>
  <c r="K9" i="3"/>
  <c r="K39" i="3"/>
  <c r="K35" i="3"/>
  <c r="K27" i="3"/>
  <c r="K34" i="3"/>
  <c r="K33" i="3"/>
  <c r="K23" i="3"/>
  <c r="K38" i="3"/>
  <c r="K37" i="3"/>
  <c r="K22" i="3"/>
  <c r="K25" i="3"/>
  <c r="K36" i="3"/>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2" i="1"/>
  <c r="J11" i="6" l="1"/>
  <c r="J21" i="6"/>
  <c r="J6" i="6"/>
  <c r="J22" i="6"/>
  <c r="J18" i="6"/>
  <c r="J17" i="6"/>
  <c r="J35" i="6"/>
  <c r="J30" i="6"/>
  <c r="J37" i="6"/>
  <c r="J4" i="6"/>
  <c r="J40" i="6"/>
  <c r="J5" i="6"/>
  <c r="J32" i="6"/>
  <c r="J29" i="6"/>
  <c r="J13" i="6"/>
  <c r="J24" i="6"/>
  <c r="J26" i="6"/>
  <c r="J33" i="6"/>
  <c r="J31" i="6"/>
  <c r="J23" i="6"/>
  <c r="J36" i="6"/>
  <c r="J2" i="6"/>
  <c r="J16" i="6"/>
  <c r="J9" i="6"/>
  <c r="J7" i="6"/>
  <c r="J20" i="6"/>
  <c r="J3" i="6"/>
  <c r="J34" i="6"/>
  <c r="J10" i="6"/>
  <c r="J15" i="6"/>
  <c r="J38" i="6"/>
  <c r="J28" i="6"/>
  <c r="J25" i="6"/>
  <c r="J12" i="6"/>
  <c r="J39" i="6"/>
  <c r="J19" i="6"/>
  <c r="G4" i="4"/>
  <c r="G27" i="4"/>
  <c r="E4" i="6" s="1"/>
  <c r="G19" i="4"/>
  <c r="E33" i="6" s="1"/>
  <c r="G11" i="4"/>
  <c r="E35" i="6" s="1"/>
  <c r="G3" i="4"/>
  <c r="E21" i="6" s="1"/>
  <c r="G40" i="4"/>
  <c r="E34" i="6" s="1"/>
  <c r="G32" i="4"/>
  <c r="E17" i="6" s="1"/>
  <c r="G24" i="4"/>
  <c r="E28" i="6" s="1"/>
  <c r="G8" i="4"/>
  <c r="E24" i="6" s="1"/>
  <c r="G38" i="4"/>
  <c r="E31" i="6" s="1"/>
  <c r="G14" i="4"/>
  <c r="E22" i="6" s="1"/>
  <c r="G22" i="4"/>
  <c r="E36" i="6" s="1"/>
  <c r="G6" i="4"/>
  <c r="E27" i="6" s="1"/>
  <c r="G18" i="4"/>
  <c r="E32" i="6" s="1"/>
  <c r="G10" i="4"/>
  <c r="E10" i="6" s="1"/>
  <c r="G2" i="4"/>
  <c r="E37" i="6" s="1"/>
  <c r="G26" i="4"/>
  <c r="E11" i="6" s="1"/>
  <c r="G35" i="4"/>
  <c r="E19" i="6" s="1"/>
  <c r="G36" i="4"/>
  <c r="E16" i="6" s="1"/>
  <c r="G28" i="4"/>
  <c r="E3" i="6" s="1"/>
  <c r="E41" i="6" s="1"/>
  <c r="G20" i="4"/>
  <c r="E26" i="6" s="1"/>
  <c r="G12" i="4"/>
  <c r="E40" i="6" s="1"/>
  <c r="G34" i="4"/>
  <c r="E39" i="6" s="1"/>
  <c r="J41" i="6" l="1"/>
</calcChain>
</file>

<file path=xl/sharedStrings.xml><?xml version="1.0" encoding="utf-8"?>
<sst xmlns="http://schemas.openxmlformats.org/spreadsheetml/2006/main" count="1468" uniqueCount="435">
  <si>
    <t xml:space="preserve">RA
</t>
  </si>
  <si>
    <t xml:space="preserve">Nome
</t>
  </si>
  <si>
    <t>21.01922-3</t>
  </si>
  <si>
    <t>André Soares</t>
  </si>
  <si>
    <t>21.00663-6</t>
  </si>
  <si>
    <t>Antonio Macedo Ferrite</t>
  </si>
  <si>
    <t>20.02194-0</t>
  </si>
  <si>
    <t>Bruno Augusto Lopes Fevereiro</t>
  </si>
  <si>
    <t>20.00041-3</t>
  </si>
  <si>
    <t>Bruno Bosa Lopes</t>
  </si>
  <si>
    <t>21.00931-7</t>
  </si>
  <si>
    <t>Caio Montes Correia</t>
  </si>
  <si>
    <t>20.01308-6</t>
  </si>
  <si>
    <t>Carlos Alberto Matias da Costa</t>
  </si>
  <si>
    <t>21.00781-0</t>
  </si>
  <si>
    <t>Carlos Augusto Freire Maia de Oliveira</t>
  </si>
  <si>
    <t>21.00478-0</t>
  </si>
  <si>
    <t>Cesar Fukushima Kim Bresciani</t>
  </si>
  <si>
    <t>20.01913-0</t>
  </si>
  <si>
    <t>Eduardo Lucas Felippa</t>
  </si>
  <si>
    <t>21.01535-0</t>
  </si>
  <si>
    <t>Enzo Moura</t>
  </si>
  <si>
    <t>21.02093-0</t>
  </si>
  <si>
    <t>Enzo Pucci</t>
  </si>
  <si>
    <t>21.00210-0</t>
  </si>
  <si>
    <t>Enzo Sakamoto</t>
  </si>
  <si>
    <t>21.00690-3</t>
  </si>
  <si>
    <t>Erick Eiji Nagao</t>
  </si>
  <si>
    <t>21.00127-8</t>
  </si>
  <si>
    <t>Felipe Rodrigues Peixoto da Silva</t>
  </si>
  <si>
    <t>21.01192-3</t>
  </si>
  <si>
    <t>Flavio Murata</t>
  </si>
  <si>
    <t>20.00822-8</t>
  </si>
  <si>
    <t>Gabriel Bianconi</t>
  </si>
  <si>
    <t>21.01286-5</t>
  </si>
  <si>
    <t>Gabriel Henrique Baca Rado</t>
  </si>
  <si>
    <t>21.01350-0</t>
  </si>
  <si>
    <t>Gabriel Zendron Allievi</t>
  </si>
  <si>
    <t>21.00834-5</t>
  </si>
  <si>
    <t>Igor Improta</t>
  </si>
  <si>
    <t>21.00098-0</t>
  </si>
  <si>
    <t>Izabel Sampaio Goes</t>
  </si>
  <si>
    <t>21.01809-0</t>
  </si>
  <si>
    <t>João Paulo de Souza Rodrigues</t>
  </si>
  <si>
    <t>21.00410-2</t>
  </si>
  <si>
    <t>joao pedro soares dos santos</t>
  </si>
  <si>
    <t>21.01075-7</t>
  </si>
  <si>
    <t>João Vitor Choueri Branco</t>
  </si>
  <si>
    <t>21.01997-5</t>
  </si>
  <si>
    <t>Júlia Galhardi Cerqueira</t>
  </si>
  <si>
    <t>20.02146-0</t>
  </si>
  <si>
    <t>Kaiven Yang Su</t>
  </si>
  <si>
    <t>19.02028-7</t>
  </si>
  <si>
    <t>Larissa Navarro Pizarro</t>
  </si>
  <si>
    <t>19.00386-2</t>
  </si>
  <si>
    <t>Lucas Miguel de Matos Negri</t>
  </si>
  <si>
    <t>21.00256-8</t>
  </si>
  <si>
    <t>Maria Fernanda Pinho Garcia</t>
  </si>
  <si>
    <t>20.01629-8</t>
  </si>
  <si>
    <t>Matheus Igino Machado</t>
  </si>
  <si>
    <t>21.01208-3</t>
  </si>
  <si>
    <t xml:space="preserve">Nathan Zanoni </t>
  </si>
  <si>
    <t>21.00368-8</t>
  </si>
  <si>
    <t>Nicole Martins Fragnan</t>
  </si>
  <si>
    <t>21.00784-5</t>
  </si>
  <si>
    <t>Pedro Henrique de Sousa Matumoto</t>
  </si>
  <si>
    <t>21.02028-0</t>
  </si>
  <si>
    <t>Pedro Mesquita</t>
  </si>
  <si>
    <t>20.00611-0</t>
  </si>
  <si>
    <t>Rafael Rubio</t>
  </si>
  <si>
    <t>21.00334-3</t>
  </si>
  <si>
    <t>Raphael Fernandes Raymundo</t>
  </si>
  <si>
    <t>21.00745-4</t>
  </si>
  <si>
    <t>Ryuske Hideaki Sato</t>
  </si>
  <si>
    <t>21.01219-9</t>
  </si>
  <si>
    <t>Vinícius de Oliveira Berti</t>
  </si>
  <si>
    <t>20.00601-2</t>
  </si>
  <si>
    <t>Vinicius Urias da Cruz</t>
  </si>
  <si>
    <t>21.01444-2</t>
  </si>
  <si>
    <t>Vitor Guirão Soller</t>
  </si>
  <si>
    <t>Grupo</t>
  </si>
  <si>
    <t>Nota Ex 4.1</t>
  </si>
  <si>
    <t>Nota Ex 4.2</t>
  </si>
  <si>
    <t>ERICK EIJI NAGAO</t>
  </si>
  <si>
    <t>GABRIEL HENRIQUE BACA RADO</t>
  </si>
  <si>
    <t>IGOR IMPROTA MARTINEZ DA SILVA</t>
  </si>
  <si>
    <t>RYUSKE HIDEAKI SATO</t>
  </si>
  <si>
    <t>VINICIUS DE OLIVEIRA BERTI</t>
  </si>
  <si>
    <t>João Branco</t>
  </si>
  <si>
    <t>Pedro Matumoto</t>
  </si>
  <si>
    <t>Vitor Soller</t>
  </si>
  <si>
    <t>Gabriel Zendron Alliev</t>
  </si>
  <si>
    <t>João Pedro Soares dos Santos</t>
  </si>
  <si>
    <t>Nathan Zanoni Da Hora</t>
  </si>
  <si>
    <t>Vinicius Urias Da Cruz</t>
  </si>
  <si>
    <t>Enzo Leonardo Sabatelli de Moura</t>
  </si>
  <si>
    <t>Andre Lucas Gois Soares</t>
  </si>
  <si>
    <t>Enzo Suannes Pucci</t>
  </si>
  <si>
    <t>Pedro Judice Mesquita</t>
  </si>
  <si>
    <t xml:space="preserve"> </t>
  </si>
  <si>
    <t xml:space="preserve">Eduardo Lucas Felippa </t>
  </si>
  <si>
    <t xml:space="preserve">Flávio Murata </t>
  </si>
  <si>
    <t xml:space="preserve">Kaiven Yang Su </t>
  </si>
  <si>
    <t xml:space="preserve">Nicole Martins Fragnan </t>
  </si>
  <si>
    <t xml:space="preserve">Raphael Raymundo </t>
  </si>
  <si>
    <t>Nome</t>
  </si>
  <si>
    <t>Comentários Ex 4.1</t>
  </si>
  <si>
    <t>Comentários Ex 4.2</t>
  </si>
  <si>
    <t>Adjusted Rand Index (ARI), não foi a comparação pedida...</t>
  </si>
  <si>
    <t>Deviam ser seguido com a matriz de confusão inicial e não o ARI</t>
  </si>
  <si>
    <t>A matriz de confusão precisava ser ajustada em todos os casos</t>
  </si>
  <si>
    <t>Modelo 1</t>
  </si>
  <si>
    <t>Modelo 2</t>
  </si>
  <si>
    <t>!ollama pull mistral</t>
  </si>
  <si>
    <t>NLTK - Natural Language Toolkit</t>
  </si>
  <si>
    <t>neuralmind/bert-base-portuguese-cased</t>
  </si>
  <si>
    <t>TextBlob: Simplified Text Processing</t>
  </si>
  <si>
    <t>Análises bastante superficiais</t>
  </si>
  <si>
    <t>lucas-leme/FinBERT-PT-BR</t>
  </si>
  <si>
    <t>SentiLex-PT</t>
  </si>
  <si>
    <t>nlptown/bert-base-multilingual-uncased-sentiment</t>
  </si>
  <si>
    <t>LeIA import SentimentIntensityAnalyzer</t>
  </si>
  <si>
    <t>lipaoMai/sentiment-model-portuguese-distilbert-pos-neg</t>
  </si>
  <si>
    <t>Análises um pouco confusas e superficiais</t>
  </si>
  <si>
    <t>Excelente!</t>
  </si>
  <si>
    <t>Análise da escolha do modelo superficial, mas excelente terem empregado o SARIMAX o que compensou</t>
  </si>
  <si>
    <t>joeddav/xlm-roberta-large-xnli</t>
  </si>
  <si>
    <t>from nltk.sentiment import SentimentIntensityAnalyzer</t>
  </si>
  <si>
    <t>Não chegaram na predição, mas empregaram modelos diferentes embora a análise dos dois modelos não tenha sido a mais adequada.</t>
  </si>
  <si>
    <t>Interessante terem usado o rolling up, embora as conclusões não tenham uma justificativa adequada</t>
  </si>
  <si>
    <t>from nltk.sentiment.vader import SentimentIntensityAnalyzer</t>
  </si>
  <si>
    <t>Análises bastante superficiais, não seria melhor empregarem métricas no lugar de 'observa-se'</t>
  </si>
  <si>
    <t>Ex 4</t>
  </si>
  <si>
    <t>Apresentação muito boa, TFIDF, BERT,... Comparativos. Jogo na aplicação, muito bom. Resultados, 83% 97%. Conjunto de treinamento, talvez um pouco falho. Artigo médio e falta de referências.</t>
  </si>
  <si>
    <t>Apresentação centrada apenas no Código, sem dar qualquer relevância ao tema ou ao caso de uso, API key para 1000, duzentas de cada genêro... Não faz  muito sentido uma distribuição equitativa só para facilitar. Poderiam ter traduzido os resumos com qualquer IA. Aplicação e problemas bastante simples, e como falamos antes, seria então necessário explorar de forma mais aprofundada/rigorosa. Acurácia e F1, sem explicar muito... Artigo, demasiadamente resumido e referências protocolares.</t>
  </si>
  <si>
    <t>Apresentação muit boa (exceção à parte da história de dificuldade/problema/5GB, o que é desnessário neste tipo de apresentação). 
Excelente, terem empregado testes estatísticos para medir a eficácia dos remédios. O resultados não foram tão bons, XGBClassifier, 54% acurácia... mas era um projeto desafiador e no tempo que tiveram fizeram bastante progresso.
O GitHub deixou um pouco a desejar pela simplicidade e por colocar os artefatos fora (notion etc.). O artigo, simples, mas ok.</t>
  </si>
  <si>
    <t xml:space="preserve">Apresentação muito boa, um tema relevante e aplicação ok. sem fine-tunnig, mas avaliado...  </t>
  </si>
  <si>
    <t>Apresentação média... Não localizei no GitHub, mas achei o vídeo. Poderiam ter falado o toxi-Bert, llimitações do modelo, falando mais da relevância e cenários de uso. Teriam muito o que explorar aqui. Aplicação simples, mas atende. Conjunto de dados de treinamento um pouco limitado, e a classificação... mas para um trabalho escolar, ok. Faltou um comparativo/métrica para entendermos o quanto funciona. Também não localizei no GitHub o artigo, que era um dos entregáveis do projeto.</t>
  </si>
  <si>
    <t xml:space="preserve">Mascaram um problema de regressao em problema de classificação. Acho que alertei para esse problema antes de seguirem com essa entrega. Métricas e metodologia de treinamento que foram aplicadas estão inadequadadas. O artigo, foi protocolar, de fato não atende. Ficou bastante incompleto. Para um projeto, tivemos exercícios que exigiram mais, não acham? </t>
  </si>
  <si>
    <t xml:space="preserve">O trabalho, focou em uma análise de sentimentos, que não era nenhum dos temas do trabalho, ficando assim fora da possibilidade de uma avaliação. Isso foi apontado antes nas propostas e deveria ter sido tratado. </t>
  </si>
  <si>
    <t>A ausência do vídeo na apresentação não teve impacto; apresentação foi muito boa, e vi o vídeo depois; Fizeram seleção de vários modelos; SHAP; curva ROC; (Optuna + Weights &amp; Bias); Técnicas de data augumentation, SHAP, excelente! O problema dos tamanhos diferentes nas avaliações, acaba sendo um problema menor. A aplicação excelente, como também o artigo.</t>
  </si>
  <si>
    <t>Excelente trabalho. 73%, tracking, ELO, Optuna, SHAP, empregando várias técnicas... monetizaram... A aplicação excelente, artigo também ok. Apenas o GitHub, com um trabalho tão bom, merecia uma apresentação melhor. Não encontrei lá nem o link para o vídeo (embora tenha acessado pelo link no form, e ok).</t>
  </si>
  <si>
    <t>Cold start, Apresentação muito boa, 42K dados, baixo, médio, luxo... Não foi muito bom... LIME e SHAP, resultados muito bons na parte da explicabilidade. Aplicação muito boa... Gráfica etc. Não encontrei o "artigo" no GitHub, talvez tenham confundido com o readme, mas seriam coisas diferentes.</t>
  </si>
  <si>
    <t>Projeto 2</t>
  </si>
  <si>
    <t>Comentários Projeto 2</t>
  </si>
  <si>
    <t>Carimbo de data/hora</t>
  </si>
  <si>
    <t>Endereço de e-mail</t>
  </si>
  <si>
    <t xml:space="preserve">Q1. PCA, qual o número de features obtido no modelo? </t>
  </si>
  <si>
    <t xml:space="preserve">Q2.  Qual o melhor modelo segundo os critérios informados e a acuracidade obtida sobre os dados de teste? </t>
  </si>
  <si>
    <t>Q3.  Qual a classe mais prevista nos novos dados e a sua quantidade? (informe mais de uma classe no caso de empate das quantidades)</t>
  </si>
  <si>
    <t xml:space="preserve">Q4. Qual a acuracidade de clusterização obtida? </t>
  </si>
  <si>
    <t xml:space="preserve">Q5. Qual o valor de silhueta e melhor número de clusters obtidos?
(não se esqueça de fazer os gráfico dos sinais médios de cada grupo no seu notebook) </t>
  </si>
  <si>
    <t xml:space="preserve">Poste aqui o link do seu notebook Colab compartilhado como público. Exemplo:
https://colab.research.google.com/drive/1cJJWfFTIJ_iWYw7t1VPlPOFBsv9XsCWF#scrollTo=edfpleAbtOzo
</t>
  </si>
  <si>
    <t>21.00834-5@maua.br</t>
  </si>
  <si>
    <t>Melhor modelo: MultinomialNB-full (sem PCA)
Acurácia no conjunto de teste: 0.8052 (80,52%)
Usando PCA: Não</t>
  </si>
  <si>
    <t>Classes mais previstas (empatadas):
talk.politics.misc – 3 previsões
rec.sport.baseball – 3 previsões
alt.atheism – 3 previsões</t>
  </si>
  <si>
    <t>Acurácia de clusterização (KMeans): 0.5252</t>
  </si>
  <si>
    <t>Melhor número de clusters: 2  Valor da silhueta: 0.2533</t>
  </si>
  <si>
    <t>https://colab.research.google.com/drive/1tMpEe1TD29uXUlEvM1rYZy2aDVJYDWzo?usp=sharing</t>
  </si>
  <si>
    <t>tomferrite1@gmail.com</t>
  </si>
  <si>
    <t>Naive Bayes 
0.857</t>
  </si>
  <si>
    <t xml:space="preserve">talk.politics.guns / comp.os.ms-windows.misc 
Ambas com 3 </t>
  </si>
  <si>
    <t>k=2 silhueta=0,253</t>
  </si>
  <si>
    <t>https://colab.research.google.com/drive/1_VN2Gi8q1oYHPSH94MtaM1DEWiWpOfb3?usp=sharing</t>
  </si>
  <si>
    <t>21.00410-2@maua.br</t>
  </si>
  <si>
    <t>Joao Pedro Soares dos Santos</t>
  </si>
  <si>
    <t>Regressão Logística , acurácia : 0.8545</t>
  </si>
  <si>
    <t>talk.politics.guns, 4 casos</t>
  </si>
  <si>
    <t>valor de silhueta: 0.2533, melhor número de clusters:2</t>
  </si>
  <si>
    <t>https://colab.research.google.com/drive/1nuMcL1yKVlo_jomqMEkboSziJYHcUk0L?usp=sharing</t>
  </si>
  <si>
    <t>gabriel.allievi10@gmail.com</t>
  </si>
  <si>
    <t>Modelo de regressão logística, com acuracidade de 0.85</t>
  </si>
  <si>
    <t>As classes mais previstas foram comp.os.ms-windows.misc e talk.politics.guns, com 3.</t>
  </si>
  <si>
    <t>Melhor valor de silhueta: 0.253; Melhor número: 2</t>
  </si>
  <si>
    <t>https://colab.research.google.com/drive/1tC9r32nZ6eS8FYIm3YBGsRmI2NxtLxwc?usp=sharing</t>
  </si>
  <si>
    <t>raphaelfr01@gmail.com</t>
  </si>
  <si>
    <t>LogisticRegression</t>
  </si>
  <si>
    <t>talk.politics.misc, rec.sport.baseball, alt.atheism</t>
  </si>
  <si>
    <t>k=2 e  silhueta = 0.269</t>
  </si>
  <si>
    <t>https://colab.research.google.com/drive/1Fw1RZ0C_-6H6vsmCBZLdmWWaJnvQAIlw?usp=sharing</t>
  </si>
  <si>
    <t>vinicius.urias@gmail.com</t>
  </si>
  <si>
    <t>Regressão Logística</t>
  </si>
  <si>
    <t>talk.politics.guns: 4</t>
  </si>
  <si>
    <t>sil: 0.2693239841894235; n_clusters: 2</t>
  </si>
  <si>
    <t>https://colab.research.google.com/drive/1MCognV-AgQdpvUD9uqJdyxkgrS0QJ1Pz?usp=sharing</t>
  </si>
  <si>
    <t>20.00822-8@maua.br</t>
  </si>
  <si>
    <t>Logistic Regression, acuracidade com PCA, acuracidade: 0.854470</t>
  </si>
  <si>
    <t>talk.politics.guns quantidade = 4</t>
  </si>
  <si>
    <t>k = 2, silhueta = 0.2545</t>
  </si>
  <si>
    <t>https://colab.research.google.com/drive/1A5gi7Os5PfDUCfb6r10DWuzKR2yG9WYq?usp=sharing</t>
  </si>
  <si>
    <t>juliagalhardi.c@gmail.com</t>
  </si>
  <si>
    <t>O melhor modelo é de Regressão Logística com dados reduzidos (PCA)</t>
  </si>
  <si>
    <t>As classes mais previstas (quantidade = 3) foram talk.politics.misc e alt.atheism</t>
  </si>
  <si>
    <t>Acurácia de Clusterização: 0.4171</t>
  </si>
  <si>
    <t>Melhor número de clusters (k): 2 (Silhueta: 0.2533)</t>
  </si>
  <si>
    <t>https://colab.research.google.com/drive/1vgSjyZbXvQ6WCPGEm68HgEsPl_i9vmir?usp=sharing</t>
  </si>
  <si>
    <t>21.00781-0@maua.br</t>
  </si>
  <si>
    <t>O melhor modelo foi o NaiveBayes_Multinomial, com acurácia de 0.8565 sobre os dados de teste. Esse modelo teve o melhor desempenho sem o uso de PCA.
Porém considerando o uso do PCA, o modelo LogReg foi escolhido como o melhor modelo com acurácia de 0.8420, já que a perda de acurácia foi de menos de 10%</t>
  </si>
  <si>
    <t>As classes "talk.politics.guns" e "comp.os.ms-windows.misc" são as mais previstas com 3 ocorrências cada.</t>
  </si>
  <si>
    <t xml:space="preserve"> k: 2 Valor de silhueta:  0.2693239841894235</t>
  </si>
  <si>
    <t>https://colab.research.google.com/drive/1LEEfZy61VYbdvsMGwPJ8e2rZL4at1UU_?usp=sharing</t>
  </si>
  <si>
    <t>21.01922-3@maua.br</t>
  </si>
  <si>
    <t>André Lucas Gois Soares</t>
  </si>
  <si>
    <t>talk.politics.misc</t>
  </si>
  <si>
    <t>0.173 e k=2</t>
  </si>
  <si>
    <t>https://colab.research.google.com/drive/1iSuuU97BbSIVThHcSNeeudYAVxexSdJN?usp=sharing</t>
  </si>
  <si>
    <t>vinicius.berti33@gmail.com</t>
  </si>
  <si>
    <t>LogisticRegression:0.817869</t>
  </si>
  <si>
    <t>Classe: talk.politics.misc, Quantidade: 3
Classe: rec.sport.baseball, Quantidade: 3
Classe: alt.atheism, Quantidade: 3</t>
  </si>
  <si>
    <t>Melhor número de clusters: k=2, Valor de silhueta: 0.2533</t>
  </si>
  <si>
    <t>https://github.com/ViniciusBerti/20241_maua_ecm252_intro_git/blob/main/IMT_P4_2025.ipynb</t>
  </si>
  <si>
    <t>20.01308-6@maua.br</t>
  </si>
  <si>
    <t xml:space="preserve"> DecisionTree (entropy); acuracidade:0.251559</t>
  </si>
  <si>
    <t>comp.os.ms-windows.misc e talk.politics.guns , que ficaram empatadas com 3 ocorrências cada</t>
  </si>
  <si>
    <t>acuracidade: 0.2076</t>
  </si>
  <si>
    <t>silhueta: 0.2693; melhor número de clusters: 2</t>
  </si>
  <si>
    <t>https://colab.research.google.com/drive/1ubhjkdDpoYNYyACC4ZUMve5bjvHBzJcI?usp=sharing</t>
  </si>
  <si>
    <t>pedro.gjmesquita@gmail.com</t>
  </si>
  <si>
    <t>Regressão Logística PCA; 0.858058</t>
  </si>
  <si>
    <t>talk.politics.guns	3
comp.os.ms-windows.misc	3</t>
  </si>
  <si>
    <t>2; 0.2693</t>
  </si>
  <si>
    <t>https://colab.research.google.com/drive/1lyCpjTUuy9JS2FDzara9_fTdc2kS3Ey1?usp=sharing</t>
  </si>
  <si>
    <t>21.00690-3@maua.br</t>
  </si>
  <si>
    <t>Regressão Logística (com PCA).
A acurácia com PCA (0.8179) foi extremamente próxima da original (0.8202), respeitando o critério de perda menor que 10%.</t>
  </si>
  <si>
    <t>talk.politics.misc, rec.sport.baseball, alt.atheism / Quantidade: 3</t>
  </si>
  <si>
    <t>Acuracidade (Silhouette Score) para k=2: 0.2693</t>
  </si>
  <si>
    <t>Melhor número de clusters: 2 Valor de silhueta: 0.2693</t>
  </si>
  <si>
    <t>https://colab.research.google.com/drive/1okrjPZvaTOOW4VtedLnbbaCNNoPpJ2mA?usp=sharing</t>
  </si>
  <si>
    <t>21.01444-2@maua.br</t>
  </si>
  <si>
    <t>LogisticRegression com PCA - 0.842</t>
  </si>
  <si>
    <t>talk.politics.guns         3
comp.os.ms-windows.misc    3</t>
  </si>
  <si>
    <t>0.267, 2</t>
  </si>
  <si>
    <t>https://colab.research.google.com/drive/1l4oF6hnmB3fJzABZCNyaquRN_DDQpcPd?usp=sharing</t>
  </si>
  <si>
    <t>lucas.matosnegri@hotmail.com</t>
  </si>
  <si>
    <t>Número de features: 441</t>
  </si>
  <si>
    <t>LogReg -  0.8441</t>
  </si>
  <si>
    <t>talk.politics.guns  = 3
comp.os.ms-windows.misc  = 3</t>
  </si>
  <si>
    <t>Acurácia da clusterização (K-means): 0.5641</t>
  </si>
  <si>
    <t xml:space="preserve"> Melhor número de clusters: k = 2 (silhouette = 0.2798)</t>
  </si>
  <si>
    <t>https://colab.research.google.com/drive/1wuk9CQ7LSSH3ilUyw3PR6-RIXmcF3sTT?usp=sharing</t>
  </si>
  <si>
    <t>larissa.navarro.pizarro@gmail.com</t>
  </si>
  <si>
    <t>LogisticRegression_PCA com acurácia de 0.75</t>
  </si>
  <si>
    <t>['talk.politics.misc', 'alt.atheism'] previstas 3 vezes.</t>
  </si>
  <si>
    <t>0.253 e cluster 2</t>
  </si>
  <si>
    <t>https://colab.research.google.com/drive/1VnaySQ7kKx3ApXvl6QkR8Q5ct99tO6o6?usp=sharing</t>
  </si>
  <si>
    <t>flaviomurata02@gmail.com</t>
  </si>
  <si>
    <t>LogisticRegression (com PCA), 0.818</t>
  </si>
  <si>
    <t>['talk.politics.misc', 'rec.sport.baseball', 'alt.atheism'], Quantidade: 3</t>
  </si>
  <si>
    <t xml:space="preserve">  Numero clusters: 2, Silhouette Score: 0.2693</t>
  </si>
  <si>
    <t>https://colab.research.google.com/drive/1HJ6woaU0cpmgdrcT6qsdJS0XlcWwJ3VF?usp=sharing</t>
  </si>
  <si>
    <t>mathmachadoo@gmail.com</t>
  </si>
  <si>
    <t>Melhor Modelo: LogReg
Acurácia: 0.7952</t>
  </si>
  <si>
    <t>Classe mais prevista: ['talk.politics.guns']
Quantidade: 3</t>
  </si>
  <si>
    <t>Acurácia da clusterização: 0.4000</t>
  </si>
  <si>
    <t>Melhor número de clusters: 2 Silhueta: 0.2533</t>
  </si>
  <si>
    <t>https://colab.research.google.com/drive/1aFhIa18wOrxHThQYmLEMe9N9wRyjgXdH?usp=sharing</t>
  </si>
  <si>
    <t>21.00478-0@maua.br</t>
  </si>
  <si>
    <t>Regressão Logística. 85.81%</t>
  </si>
  <si>
    <t xml:space="preserve">talk.politics.guns, comp.os.ms-windows.misc 	</t>
  </si>
  <si>
    <t>Melhor valor de silhueta: 0.269. Melhor número de clusters: 2</t>
  </si>
  <si>
    <t>https://colab.research.google.com/drive/12ovuI-e04k7nfdWPCs-IoPE6tM5HVvKb?usp=sharing</t>
  </si>
  <si>
    <t>21.00931-7@maua.br</t>
  </si>
  <si>
    <t>LogisticRegression; 0.806</t>
  </si>
  <si>
    <t>talk.politics.misc: 3 , rec.sport.baseball:3 ; alt.atheism: 3</t>
  </si>
  <si>
    <t>0.2693, 2 clusters</t>
  </si>
  <si>
    <t>https://colab.research.google.com/drive/13fKo-wgEZgS37GK481Bd1vkL5VYM7VZl?usp=sharing</t>
  </si>
  <si>
    <t>21.01208-3@maua.br</t>
  </si>
  <si>
    <t>Nathan Zanoni da Hora</t>
  </si>
  <si>
    <t>O melhor modelo é a Regressão Logística, sendo que a acuracidade obtida é de 0.804031</t>
  </si>
  <si>
    <t>Classe prevista = talk.politics.misc; Quantidade = 3
Classe prevista = rec.sport.baseball; Quantidade = 3
Classe prevista = alt.atheism; Quantidade = 3</t>
  </si>
  <si>
    <t>Acuracidade = 0.33851276359600446</t>
  </si>
  <si>
    <t>k=2; valor de silheta = 0.2693</t>
  </si>
  <si>
    <t>https://colab.research.google.com/drive/1zsqBoO8CsHVlIsPn0lb6FH5JBu9Iflkq?usp=sharing</t>
  </si>
  <si>
    <t>Ryuske2009@hotmail.com</t>
  </si>
  <si>
    <t>Logistic Regression PCA com acuracidade de 0.8581</t>
  </si>
  <si>
    <t>Teve empate entre a classe talk.politics.guns e comp.os.ms-windows.misc os dois com 3</t>
  </si>
  <si>
    <t>0.2533 de silhueta com 2 clusters</t>
  </si>
  <si>
    <t>https://colab.research.google.com/drive/16W1DQL9M041BTjPg2S0d4stAdw2Q-Bir?usp=sharing</t>
  </si>
  <si>
    <t>20.02146-0@maua.br</t>
  </si>
  <si>
    <t>O Melhor modelo é a Regressão Logística pois apresnta a maior acurácia, e sua acurácia com o PCA não foi impactada siginificativamente. (84.20% com PCA vs 84.93% sem PCA)</t>
  </si>
  <si>
    <t>As classes mais previstas foram talk.politics.guns e comp.os.ms-windows.misc, ambas com 3 predições, entre os novos dados (com PCA)</t>
  </si>
  <si>
    <t>silhueta: 0.1975, n_cluster: 3</t>
  </si>
  <si>
    <t>https://colab.research.google.com/drive/1pBQS_FGFl1l6WPDHKIdRubZ4UPnXU3U8?usp=sharing</t>
  </si>
  <si>
    <t>pedromatumoto@gmail.com</t>
  </si>
  <si>
    <t xml:space="preserve"> (LogisticRegression(max_iter=1000, random_state=42), np.float64(0.758))]</t>
  </si>
  <si>
    <t>alt.atheism e talk.politics.misc</t>
  </si>
  <si>
    <t>0.148 com 2 clusters</t>
  </si>
  <si>
    <t>https://colab.research.google.com/drive/1W7EfjsJMgy3WR-VdsAAJcUMRW9rXStsb?usp=sharing</t>
  </si>
  <si>
    <t>21.01809-0@maua.br</t>
  </si>
  <si>
    <t>O melhor modelo foi o de regressão logística sem PCA, com acurácia de 0,81</t>
  </si>
  <si>
    <t>Classe mais vista foi a talk.politics.guns, vista 3 vezes</t>
  </si>
  <si>
    <t>Melhor número de clusters foi 2, valor da silhueta igual a 0,269</t>
  </si>
  <si>
    <t>https://colab.research.google.com/drive/1Z88I0-mxBXF46q1fr6JqHmuNSDrv1xh6?usp=sharing</t>
  </si>
  <si>
    <t>21.01286-5@maua.br</t>
  </si>
  <si>
    <t>Regressão Logística, acuracidade: 0.7581</t>
  </si>
  <si>
    <t>talk.politics.misc: 3 ocorrências
alt.atheism: 3 ocorrências</t>
  </si>
  <si>
    <t>valor de silhueta: 0.1238; 2 clusters</t>
  </si>
  <si>
    <t>https://colab.research.google.com/drive/1RWBDCnyFNQ_u2m6PJjZ7Oc5irZ0vizum?usp=sharing</t>
  </si>
  <si>
    <t>enderenzo@gmail.com</t>
  </si>
  <si>
    <t xml:space="preserve">LogisticRegression(max_iter=1000, random_state=42), Acuracidade nos dados de teste: 0.858 </t>
  </si>
  <si>
    <t>talk.politics.guns, comp.os.ms-windows.misc, com 3 quantidades cada</t>
  </si>
  <si>
    <t>Silhueta: 0.2533, Clusters: 2</t>
  </si>
  <si>
    <t>https://colab.research.google.com/drive/17EZnI-Zm3ewvDORaMiBJgPummZjUOK6l?usp=sharing</t>
  </si>
  <si>
    <t>enzo.britto.pucci@gmail.com</t>
  </si>
  <si>
    <t>O melhor modelo, segundo os critérios informados, é o Naive Bayes sem PCA, com acurácia de aproximadamente 85,6% nos dados de teste.</t>
  </si>
  <si>
    <t>Classes: ['talk.politics.guns', 'comp.os.ms-windows.misc']
Quantidade: 3</t>
  </si>
  <si>
    <t>Acurácia da clusterização: ~40% (0.3979)</t>
  </si>
  <si>
    <t>Melhor número de clusters (k): 2  | Valor da silhueta: 0.2533</t>
  </si>
  <si>
    <t>https://colab.research.google.com/drive/1PTMIdHgu9s01UIAl2qlHwyd0wdvfVANw?usp=sharing</t>
  </si>
  <si>
    <t>20.02194-0@maua.br</t>
  </si>
  <si>
    <t>Logistic Regression (REDUZIDO – PCA/SVD) com acurácia = 0.8399</t>
  </si>
  <si>
    <t>talk.politics.guns, comp.os.ms-windows.misc</t>
  </si>
  <si>
    <t>k = 2 clusters, com silhueta = 0.2693</t>
  </si>
  <si>
    <t>https://colab.research.google.com/drive/19NdMGw5TcVwOuh75WV3T4C9D6KNp3u4J?usp=sharing</t>
  </si>
  <si>
    <t>21.01075-7@maua.br</t>
  </si>
  <si>
    <t>O melhor modelo, de acordo com o critério estabelecido, é a Regressão Logística utilizando os dados reduzidos por PCA, que apresentou acurácia de 0.7447, superior tanto ao modelo sem redução (0.7200) quanto aos demais classificadores avaliados. Além disso, a redução não resultou em perda de desempenho, mas sim em leve melhoria, atendendo integralmente ao critério de selecionar o modelo com PCA com perda inferior a 10%.</t>
  </si>
  <si>
    <t>Classe: 'talk.politics.misc', Quantidade: 4</t>
  </si>
  <si>
    <t>XPTO</t>
  </si>
  <si>
    <t>https://colab.research.google.com/drive/1YYGOlIZ-EufckD7UHHZRY17JVzt1PnEx?usp=sharing</t>
  </si>
  <si>
    <t>nicmfragnan1@gmail.com</t>
  </si>
  <si>
    <t>Logistic Regression com TF-IDF, Acurácia: 0.8493</t>
  </si>
  <si>
    <t>talk.politics.guns	e	comp.os.ms-windows.misc</t>
  </si>
  <si>
    <t>melhor número de clusters = 2. Valor de silhueta = 0.2533</t>
  </si>
  <si>
    <t>https://colab.research.google.com/drive/1KL3345xJ3Y9zGEmSdt9TXP9l6D7fq-aa?usp=sharing</t>
  </si>
  <si>
    <t>20.01913-0@maua.br</t>
  </si>
  <si>
    <t>O melhor modelo foi o de Regressão Logística com PCA, que teve acuracidade de 0.869797</t>
  </si>
  <si>
    <t>É a classe comp.os.ms-windows.misc, prevista 3 vezes</t>
  </si>
  <si>
    <t>Silhueta de 0.2693239841894235 para 2 clusters (melhor número)</t>
  </si>
  <si>
    <t>https://colab.research.google.com/drive/1EGQw0UGgun9sDdQEx3T1pk2g5AVTK4de?usp=sharing</t>
  </si>
  <si>
    <t>izabel.sampaio120@gmail.com</t>
  </si>
  <si>
    <t>Modelo: Regressão Logística
Dataset: Reduzido (PCA)
Acurácia: 0.8087</t>
  </si>
  <si>
    <t>talk.politics.guns e comp.os.ms-windows.misc (3)</t>
  </si>
  <si>
    <t>Acurácia de Clusterização: 0.4376</t>
  </si>
  <si>
    <t>Melhor número de clusters (k): 2 Melhor coeficiente de Silhueta: 0.2533</t>
  </si>
  <si>
    <t>https://colab.research.google.com/drive/1MBMegOFreDFyrm4EY2WG1ezb4UCxAd20?usp=sharing</t>
  </si>
  <si>
    <t>20.00041-3@maua.br</t>
  </si>
  <si>
    <t>NaiveBayes (Sem PCA) - 0.768</t>
  </si>
  <si>
    <t>talk.politics.misc', 'quantidade': 4</t>
  </si>
  <si>
    <t>melhor n clusters: 2, silhueta: 0.173</t>
  </si>
  <si>
    <t>https://colab.research.google.com/drive/1JARPotuWUC99JAwYduOjkq222cNsIXnT?usp=sharing</t>
  </si>
  <si>
    <t>mafepinhogarcia@gmail.com</t>
  </si>
  <si>
    <t>Regressão Logística, acurácia de 0.858</t>
  </si>
  <si>
    <t>Silhouette=0.3662, k=2</t>
  </si>
  <si>
    <t>https://colab.research.google.com/drive/1KJiy3mkwOhScOa6OXP6orGEVKxxWuKBL?usp=sharing</t>
  </si>
  <si>
    <t>21.00210-0@maua.br</t>
  </si>
  <si>
    <t>LogisticRegression, 0.858</t>
  </si>
  <si>
    <t>0.269, 2</t>
  </si>
  <si>
    <t>https://colab.research.google.com/drive/1PrBg19ttB_0w_B14dmJtkTbHo6YOzrN8?usp=sharing</t>
  </si>
  <si>
    <t>20.00611-0@maua.br</t>
  </si>
  <si>
    <t>LogisticRegression 0.849 sem PCA</t>
  </si>
  <si>
    <t>silhueta = 0.269 k = 2</t>
  </si>
  <si>
    <t>https://colab.research.google.com/drive/16NJraowRZMTHXQcUjuEeP867wJldFUZG?usp=sharing</t>
  </si>
  <si>
    <t>frps2003@gmail.com</t>
  </si>
  <si>
    <t>FELIPE RODRIGUES PEIXOTO DA SILVA</t>
  </si>
  <si>
    <t>Modelo: LogReg_PCA
Acurácia de teste: 0.7952
(PCA usado)</t>
  </si>
  <si>
    <t>pred
talk.politics.guns    3
Name: count, dtype: int64</t>
  </si>
  <si>
    <t>Melhor número de clusters: 2  Melhor silhueta: 0.2533</t>
  </si>
  <si>
    <t>https://colab.research.google.com/drive/1QsXbrE2Elm_9lKlCvDeXcjiolPF1Awbz?usp=sharing</t>
  </si>
  <si>
    <t>Ex1 2a parte</t>
  </si>
  <si>
    <t>Ex2</t>
  </si>
  <si>
    <t>Ex3</t>
  </si>
  <si>
    <t>Ex1 1a parte</t>
  </si>
  <si>
    <t>ver tfidf</t>
  </si>
  <si>
    <t>era sem pca</t>
  </si>
  <si>
    <t>fit_transform</t>
  </si>
  <si>
    <t>série errada, era a transposta</t>
  </si>
  <si>
    <t>algo errado na RL</t>
  </si>
  <si>
    <t>tf_idf precisaria ser reaplicado a todos os dados</t>
  </si>
  <si>
    <t>verificar, sem outputs no notebook</t>
  </si>
  <si>
    <t>SVD?</t>
  </si>
  <si>
    <t>label encode, Hungarian algorithm</t>
  </si>
  <si>
    <t>linear_sum_assignment???</t>
  </si>
  <si>
    <t xml:space="preserve">Faltou atenção à explicação do Ex 2 </t>
  </si>
  <si>
    <t>Deveria empregar CV</t>
  </si>
  <si>
    <t>stopwords</t>
  </si>
  <si>
    <t>sem pca</t>
  </si>
  <si>
    <t>stopwords; tfidf já é normalizado</t>
  </si>
  <si>
    <t>Código nem executa</t>
  </si>
  <si>
    <t>3 clusters</t>
  </si>
  <si>
    <t>X_train?</t>
  </si>
  <si>
    <t>fit_transform, mas compensou ao mostrar a matriz de confusão</t>
  </si>
  <si>
    <t>Predição de novos casos?</t>
  </si>
  <si>
    <t>Predição de novos casos? Estranha</t>
  </si>
  <si>
    <t xml:space="preserve">Task???; Deveria empregar CV </t>
  </si>
  <si>
    <t>Cálculo errado</t>
  </si>
  <si>
    <t>Ex1 Comentários</t>
  </si>
  <si>
    <t>Ex2 Comentários</t>
  </si>
  <si>
    <t>Ex3 Comentários</t>
  </si>
  <si>
    <t>Nota</t>
  </si>
  <si>
    <t>Izabel Sampaio Goes Pedreira Lapa</t>
  </si>
  <si>
    <t>Lucas Miguel De Matos Negri</t>
  </si>
  <si>
    <t>Carlos Alberto Matias Da Costa</t>
  </si>
  <si>
    <t>Felipe Rodrigues Peixoto Da Silva</t>
  </si>
  <si>
    <t>Enzo Yuji Sakamoto</t>
  </si>
  <si>
    <t>Joao Pedro Soares Dos Santos</t>
  </si>
  <si>
    <t>Rafael Rubio Carnes</t>
  </si>
  <si>
    <t>Carlos Augusto Freire Maia De Oliveira</t>
  </si>
  <si>
    <t>Pedro Henrique De Sousa Matumoto</t>
  </si>
  <si>
    <t>Igor Improta Martinez Da Silva</t>
  </si>
  <si>
    <t>Joao Vitor Choueri Branco</t>
  </si>
  <si>
    <t>Vinicius De Oliveira Berti</t>
  </si>
  <si>
    <t>Vitor Guirao Soller</t>
  </si>
  <si>
    <t>Enzo Leonardo Sabatelli De Moura</t>
  </si>
  <si>
    <t>Joao Paulo De Souza Rodrigues</t>
  </si>
  <si>
    <t>Julia Galhardi Cerqueira</t>
  </si>
  <si>
    <t>Pedro Guerra Judice Mesquita</t>
  </si>
  <si>
    <t>Enzo De Britto Suannes Pucci</t>
  </si>
  <si>
    <t>Exercícios</t>
  </si>
  <si>
    <t>Projeto</t>
  </si>
  <si>
    <t>nome</t>
  </si>
  <si>
    <t>RA</t>
  </si>
  <si>
    <t>Prova Lab 70%</t>
  </si>
  <si>
    <t>Prova Teoria 30%</t>
  </si>
  <si>
    <t>Ordem</t>
  </si>
  <si>
    <t>P4</t>
  </si>
  <si>
    <t>Médias</t>
  </si>
  <si>
    <t>P1</t>
  </si>
  <si>
    <t>P2</t>
  </si>
  <si>
    <t>P3</t>
  </si>
  <si>
    <t>p1</t>
  </si>
  <si>
    <t>p2</t>
  </si>
  <si>
    <t>p3</t>
  </si>
  <si>
    <t>p4</t>
  </si>
  <si>
    <t>sub1</t>
  </si>
  <si>
    <t>T1</t>
  </si>
  <si>
    <t>T2</t>
  </si>
  <si>
    <t>T4</t>
  </si>
  <si>
    <t>T5</t>
  </si>
  <si>
    <t>T6</t>
  </si>
  <si>
    <t>MP</t>
  </si>
  <si>
    <t>MT</t>
  </si>
  <si>
    <t>MF</t>
  </si>
  <si>
    <t>Aprovado</t>
  </si>
  <si>
    <t>ATENÇÃO: ESSAS NOTAS FORAM DIGITADAS MANUALMENTE</t>
  </si>
  <si>
    <t>APENAS PARA APOIO. O QUE VALE É O QUE ESTÁ NO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</si>
</sst>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m/d/yyyy\ h:mm:ss"/>
  </numFmts>
  <fonts count="16" x14ac:knownFonts="1">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0"/>
      <color theme="1"/>
      <name val="Aptos Narrow"/>
      <family val="2"/>
      <scheme val="minor"/>
    </font>
    <font>
      <sz val="8"/>
      <name val="Aptos Narrow"/>
      <family val="2"/>
      <scheme val="minor"/>
    </font>
    <font>
      <u/>
      <sz val="10"/>
      <color rgb="FF0000FF"/>
      <name val="Roboto"/>
    </font>
    <font>
      <sz val="10"/>
      <color theme="0"/>
      <name val="Aptos Narrow"/>
      <family val="2"/>
      <scheme val="minor"/>
    </font>
    <font>
      <b/>
      <sz val="10"/>
      <color theme="0"/>
      <name val="Aptos Narrow"/>
      <family val="2"/>
      <scheme val="minor"/>
    </font>
    <font>
      <sz val="12"/>
      <color rgb="FF1A1A1A"/>
      <name val="Aptos Narrow"/>
      <family val="2"/>
      <scheme val="minor"/>
    </font>
    <font>
      <b/>
      <sz val="11"/>
      <color rgb="FF000000"/>
      <name val="Aptos Narrow"/>
      <family val="2"/>
      <scheme val="minor"/>
    </font>
    <font>
      <sz val="11"/>
      <color rgb="FF000000"/>
      <name val="Aptos Narrow"/>
      <family val="2"/>
      <scheme val="minor"/>
    </font>
    <font>
      <b/>
      <sz val="12"/>
      <color theme="0"/>
      <name val="Aptos Narrow"/>
      <family val="2"/>
      <scheme val="minor"/>
    </font>
    <font>
      <b/>
      <sz val="11"/>
      <color rgb="FFC00000"/>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rgb="FFF8F9FA"/>
        <bgColor rgb="FFF8F9FA"/>
      </patternFill>
    </fill>
    <fill>
      <patternFill patternType="solid">
        <fgColor theme="4"/>
        <bgColor indexed="64"/>
      </patternFill>
    </fill>
  </fills>
  <borders count="5">
    <border>
      <left/>
      <right/>
      <top/>
      <bottom/>
      <diagonal/>
    </border>
    <border>
      <left/>
      <right/>
      <top/>
      <bottom style="thin">
        <color indexed="64"/>
      </bottom>
      <diagonal/>
    </border>
    <border>
      <left/>
      <right style="thin">
        <color rgb="FF5B3F86"/>
      </right>
      <top/>
      <bottom/>
      <diagonal/>
    </border>
    <border>
      <left/>
      <right/>
      <top style="medium">
        <color rgb="FFECEEEE"/>
      </top>
      <bottom/>
      <diagonal/>
    </border>
    <border>
      <left/>
      <right/>
      <top/>
      <bottom style="medium">
        <color rgb="FFECEEEE"/>
      </bottom>
      <diagonal/>
    </border>
  </borders>
  <cellStyleXfs count="1">
    <xf numFmtId="0" fontId="0" fillId="0" borderId="0"/>
  </cellStyleXfs>
  <cellXfs count="71">
    <xf numFmtId="0" fontId="0" fillId="0" borderId="0" xfId="0"/>
    <xf numFmtId="0" fontId="0" fillId="0" borderId="0" xfId="0" applyAlignment="1">
      <alignment horizontal="center"/>
    </xf>
    <xf numFmtId="2" fontId="0" fillId="0" borderId="0" xfId="0" applyNumberFormat="1" applyAlignment="1">
      <alignment horizontal="center"/>
    </xf>
    <xf numFmtId="0" fontId="2" fillId="0" borderId="0" xfId="0" applyFont="1"/>
    <xf numFmtId="0" fontId="2" fillId="0" borderId="0" xfId="0" applyFont="1" applyAlignment="1">
      <alignment horizontal="center"/>
    </xf>
    <xf numFmtId="164" fontId="0" fillId="0" borderId="0" xfId="0" applyNumberFormat="1" applyAlignment="1">
      <alignment horizontal="center"/>
    </xf>
    <xf numFmtId="164" fontId="0" fillId="0" borderId="0" xfId="0" applyNumberFormat="1"/>
    <xf numFmtId="0" fontId="0" fillId="0" borderId="0" xfId="0" applyAlignment="1">
      <alignment horizontal="left"/>
    </xf>
    <xf numFmtId="2" fontId="0" fillId="0" borderId="0" xfId="0" applyNumberFormat="1" applyAlignment="1">
      <alignment horizontal="left"/>
    </xf>
    <xf numFmtId="0" fontId="0" fillId="0" borderId="1" xfId="0" applyBorder="1"/>
    <xf numFmtId="0" fontId="0" fillId="0" borderId="1" xfId="0" applyBorder="1" applyAlignment="1">
      <alignment horizontal="center"/>
    </xf>
    <xf numFmtId="2" fontId="0" fillId="0" borderId="1" xfId="0" applyNumberFormat="1" applyBorder="1" applyAlignment="1">
      <alignment horizontal="center"/>
    </xf>
    <xf numFmtId="2" fontId="0" fillId="0" borderId="1" xfId="0" applyNumberFormat="1" applyBorder="1" applyAlignment="1">
      <alignment horizontal="left"/>
    </xf>
    <xf numFmtId="164" fontId="0" fillId="0" borderId="1" xfId="0" applyNumberFormat="1" applyBorder="1" applyAlignment="1">
      <alignment horizontal="center"/>
    </xf>
    <xf numFmtId="0" fontId="0" fillId="0" borderId="1" xfId="0" applyBorder="1" applyAlignment="1">
      <alignment horizontal="left"/>
    </xf>
    <xf numFmtId="0" fontId="3" fillId="0" borderId="1" xfId="0" applyFont="1" applyBorder="1"/>
    <xf numFmtId="0" fontId="3" fillId="0" borderId="1" xfId="0" applyFont="1" applyBorder="1" applyAlignment="1">
      <alignment horizontal="center"/>
    </xf>
    <xf numFmtId="164" fontId="3" fillId="0" borderId="1" xfId="0" applyNumberFormat="1" applyFont="1" applyBorder="1" applyAlignment="1">
      <alignment horizontal="center"/>
    </xf>
    <xf numFmtId="0" fontId="3" fillId="0" borderId="1" xfId="0" applyFont="1" applyBorder="1" applyAlignment="1">
      <alignment horizontal="left"/>
    </xf>
    <xf numFmtId="0" fontId="0" fillId="2" borderId="0" xfId="0" applyFill="1"/>
    <xf numFmtId="0" fontId="0" fillId="2" borderId="0" xfId="0" applyFill="1" applyAlignment="1">
      <alignment horizontal="center"/>
    </xf>
    <xf numFmtId="164" fontId="0" fillId="2" borderId="0" xfId="0" applyNumberFormat="1" applyFill="1" applyAlignment="1">
      <alignment horizontal="center"/>
    </xf>
    <xf numFmtId="2" fontId="0" fillId="2" borderId="0" xfId="0" applyNumberFormat="1" applyFill="1" applyAlignment="1">
      <alignment horizontal="left"/>
    </xf>
    <xf numFmtId="0" fontId="2" fillId="2" borderId="0" xfId="0" applyFont="1" applyFill="1"/>
    <xf numFmtId="0" fontId="2" fillId="2" borderId="0" xfId="0" applyFont="1" applyFill="1" applyAlignment="1">
      <alignment horizontal="center"/>
    </xf>
    <xf numFmtId="0" fontId="0" fillId="2" borderId="1" xfId="0" applyFill="1" applyBorder="1"/>
    <xf numFmtId="0" fontId="0" fillId="2" borderId="1" xfId="0" applyFill="1" applyBorder="1" applyAlignment="1">
      <alignment horizontal="center"/>
    </xf>
    <xf numFmtId="164" fontId="0" fillId="2" borderId="1" xfId="0" applyNumberFormat="1" applyFill="1" applyBorder="1" applyAlignment="1">
      <alignment horizontal="center"/>
    </xf>
    <xf numFmtId="2" fontId="0" fillId="2" borderId="1" xfId="0" applyNumberFormat="1" applyFill="1" applyBorder="1" applyAlignment="1">
      <alignment horizontal="left"/>
    </xf>
    <xf numFmtId="0" fontId="0" fillId="0" borderId="0" xfId="0" applyAlignment="1">
      <alignment wrapText="1"/>
    </xf>
    <xf numFmtId="0" fontId="0" fillId="2" borderId="0" xfId="0" applyFill="1" applyAlignment="1">
      <alignment wrapText="1"/>
    </xf>
    <xf numFmtId="0" fontId="3" fillId="0" borderId="1" xfId="0" applyFont="1" applyBorder="1" applyAlignment="1">
      <alignment wrapText="1"/>
    </xf>
    <xf numFmtId="164" fontId="3" fillId="0" borderId="0" xfId="0" applyNumberFormat="1" applyFont="1" applyAlignment="1">
      <alignment horizontal="center"/>
    </xf>
    <xf numFmtId="165" fontId="5" fillId="0" borderId="0" xfId="0" applyNumberFormat="1" applyFont="1" applyAlignment="1">
      <alignment vertical="center"/>
    </xf>
    <xf numFmtId="0" fontId="5" fillId="0" borderId="0" xfId="0" applyFont="1" applyAlignment="1">
      <alignment vertical="center"/>
    </xf>
    <xf numFmtId="0" fontId="8" fillId="0" borderId="0" xfId="0" applyFont="1" applyAlignment="1">
      <alignment vertical="center"/>
    </xf>
    <xf numFmtId="3" fontId="5" fillId="0" borderId="0" xfId="0" applyNumberFormat="1" applyFont="1" applyAlignment="1">
      <alignment vertical="center"/>
    </xf>
    <xf numFmtId="9" fontId="5" fillId="0" borderId="0" xfId="0" applyNumberFormat="1" applyFont="1" applyAlignment="1">
      <alignment vertical="center"/>
    </xf>
    <xf numFmtId="0" fontId="5" fillId="0" borderId="0" xfId="0" quotePrefix="1" applyFont="1" applyAlignment="1">
      <alignment vertical="center"/>
    </xf>
    <xf numFmtId="0" fontId="9" fillId="0" borderId="0" xfId="0" applyFont="1" applyAlignment="1">
      <alignment horizontal="left" vertical="center"/>
    </xf>
    <xf numFmtId="164" fontId="9" fillId="0" borderId="0" xfId="0" applyNumberFormat="1" applyFont="1" applyAlignment="1">
      <alignment horizontal="center" vertical="center"/>
    </xf>
    <xf numFmtId="164" fontId="4" fillId="0" borderId="0" xfId="0" applyNumberFormat="1" applyFont="1" applyAlignment="1">
      <alignment horizontal="center"/>
    </xf>
    <xf numFmtId="164" fontId="0" fillId="3" borderId="0" xfId="0" applyNumberFormat="1" applyFill="1" applyAlignment="1">
      <alignment horizontal="center"/>
    </xf>
    <xf numFmtId="164" fontId="0" fillId="3" borderId="2" xfId="0" applyNumberFormat="1" applyFill="1" applyBorder="1" applyAlignment="1">
      <alignment horizontal="center"/>
    </xf>
    <xf numFmtId="164" fontId="2" fillId="0" borderId="0" xfId="0" applyNumberFormat="1" applyFont="1" applyAlignment="1">
      <alignment horizontal="center"/>
    </xf>
    <xf numFmtId="0" fontId="10" fillId="0" borderId="0" xfId="0" applyFont="1" applyAlignment="1">
      <alignment horizontal="center" vertical="center"/>
    </xf>
    <xf numFmtId="164" fontId="6" fillId="0" borderId="0" xfId="0" applyNumberFormat="1" applyFont="1" applyAlignment="1">
      <alignment horizontal="center" vertical="center"/>
    </xf>
    <xf numFmtId="0" fontId="3" fillId="0" borderId="0" xfId="0" applyFont="1" applyAlignment="1">
      <alignment horizontal="center"/>
    </xf>
    <xf numFmtId="164" fontId="12" fillId="0" borderId="0" xfId="0" applyNumberFormat="1" applyFont="1" applyAlignment="1">
      <alignment horizontal="center"/>
    </xf>
    <xf numFmtId="164" fontId="12" fillId="0" borderId="1" xfId="0" applyNumberFormat="1" applyFont="1" applyBorder="1" applyAlignment="1">
      <alignment horizontal="center"/>
    </xf>
    <xf numFmtId="1" fontId="3" fillId="0" borderId="1" xfId="0" applyNumberFormat="1" applyFont="1" applyBorder="1" applyAlignment="1">
      <alignment horizontal="center"/>
    </xf>
    <xf numFmtId="0" fontId="3" fillId="0" borderId="0" xfId="0" applyFont="1"/>
    <xf numFmtId="1" fontId="0" fillId="0" borderId="0" xfId="0" applyNumberFormat="1" applyAlignment="1">
      <alignment horizontal="center"/>
    </xf>
    <xf numFmtId="0" fontId="11" fillId="0" borderId="0" xfId="0" applyFont="1" applyAlignment="1">
      <alignment horizontal="left" vertical="center"/>
    </xf>
    <xf numFmtId="0" fontId="11" fillId="0" borderId="1" xfId="0" applyFont="1" applyBorder="1" applyAlignment="1">
      <alignment horizontal="left" vertical="center"/>
    </xf>
    <xf numFmtId="0" fontId="11" fillId="0" borderId="4" xfId="0" applyFont="1" applyBorder="1" applyAlignment="1">
      <alignment horizontal="left" vertical="center"/>
    </xf>
    <xf numFmtId="0" fontId="11" fillId="0" borderId="3" xfId="0" applyFont="1" applyBorder="1" applyAlignment="1">
      <alignment horizontal="left" vertical="center"/>
    </xf>
    <xf numFmtId="1" fontId="13" fillId="0" borderId="0" xfId="0" applyNumberFormat="1" applyFont="1" applyAlignment="1">
      <alignment horizontal="center"/>
    </xf>
    <xf numFmtId="1" fontId="13" fillId="0" borderId="1" xfId="0" applyNumberFormat="1" applyFont="1" applyBorder="1" applyAlignment="1">
      <alignment horizontal="center"/>
    </xf>
    <xf numFmtId="164" fontId="1" fillId="4" borderId="0" xfId="0" applyNumberFormat="1" applyFont="1" applyFill="1" applyAlignment="1">
      <alignment horizontal="center"/>
    </xf>
    <xf numFmtId="164" fontId="4" fillId="4" borderId="0" xfId="0" applyNumberFormat="1" applyFont="1" applyFill="1" applyAlignment="1">
      <alignment horizontal="center"/>
    </xf>
    <xf numFmtId="0" fontId="4" fillId="4" borderId="0" xfId="0" applyFont="1" applyFill="1"/>
    <xf numFmtId="0" fontId="14" fillId="4" borderId="0" xfId="0" applyFont="1" applyFill="1" applyAlignment="1">
      <alignment horizontal="left" vertical="center"/>
    </xf>
    <xf numFmtId="0" fontId="0" fillId="4" borderId="0" xfId="0" applyFill="1"/>
    <xf numFmtId="0" fontId="0" fillId="0" borderId="0" xfId="0" applyAlignment="1">
      <alignment horizontal="left" vertical="top" wrapText="1"/>
    </xf>
    <xf numFmtId="0" fontId="0" fillId="2" borderId="0" xfId="0" applyFill="1" applyAlignment="1">
      <alignment horizontal="left" vertical="top"/>
    </xf>
    <xf numFmtId="0" fontId="0" fillId="2" borderId="0" xfId="0" applyFill="1" applyAlignment="1">
      <alignment horizontal="left" vertical="top" wrapText="1"/>
    </xf>
    <xf numFmtId="0" fontId="11" fillId="0" borderId="0" xfId="0" applyFont="1" applyBorder="1" applyAlignment="1">
      <alignment horizontal="left" vertical="center"/>
    </xf>
    <xf numFmtId="1" fontId="13" fillId="0" borderId="0" xfId="0" applyNumberFormat="1" applyFont="1" applyBorder="1" applyAlignment="1">
      <alignment horizontal="center"/>
    </xf>
    <xf numFmtId="164" fontId="12" fillId="0" borderId="0" xfId="0" applyNumberFormat="1" applyFont="1" applyBorder="1" applyAlignment="1">
      <alignment horizontal="center"/>
    </xf>
    <xf numFmtId="0" fontId="15" fillId="0" borderId="0" xfId="0" applyFont="1"/>
  </cellXfs>
  <cellStyles count="1">
    <cellStyle name="Normal" xfId="0" builtinId="0"/>
  </cellStyles>
  <dxfs count="14">
    <dxf>
      <numFmt numFmtId="164" formatCode="0.0"/>
      <alignment horizontal="center"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font>
        <b val="0"/>
        <i val="0"/>
        <strike val="0"/>
        <condense val="0"/>
        <extend val="0"/>
        <outline val="0"/>
        <shadow val="0"/>
        <u/>
        <vertAlign val="baseline"/>
        <sz val="10"/>
        <color rgb="FF0000FF"/>
        <name val="Roboto"/>
        <scheme val="none"/>
      </font>
      <numFmt numFmtId="164" formatCode="0.0"/>
      <alignment horizontal="center" vertical="center" textRotation="0" wrapText="0" indent="0" justifyLastLine="0" shrinkToFit="0" readingOrder="0"/>
    </dxf>
    <dxf>
      <numFmt numFmtId="164" formatCode="0.0"/>
      <alignment horizontal="center" vertical="bottom" textRotation="0" wrapText="0" indent="0" justifyLastLine="0" shrinkToFit="0" readingOrder="0"/>
    </dxf>
    <dxf>
      <font>
        <b val="0"/>
        <i val="0"/>
        <strike val="0"/>
        <condense val="0"/>
        <extend val="0"/>
        <outline val="0"/>
        <shadow val="0"/>
        <u/>
        <vertAlign val="baseline"/>
        <sz val="10"/>
        <color rgb="FF0000FF"/>
        <name val="Roboto"/>
        <scheme val="none"/>
      </font>
      <numFmt numFmtId="164" formatCode="0.0"/>
      <alignment horizontal="center" vertical="center" textRotation="0" wrapText="0" indent="0" justifyLastLine="0" shrinkToFit="0" readingOrder="0"/>
    </dxf>
    <dxf>
      <font>
        <b val="0"/>
        <i val="0"/>
        <strike val="0"/>
        <condense val="0"/>
        <extend val="0"/>
        <outline val="0"/>
        <shadow val="0"/>
        <u/>
        <vertAlign val="baseline"/>
        <sz val="10"/>
        <color rgb="FF0000FF"/>
        <name val="Roboto"/>
        <scheme val="none"/>
      </font>
      <numFmt numFmtId="164" formatCode="0.0"/>
      <alignment horizontal="center" vertical="center" textRotation="0" wrapText="0" indent="0" justifyLastLine="0" shrinkToFit="0" readingOrder="0"/>
    </dxf>
    <dxf>
      <font>
        <b/>
        <i val="0"/>
        <strike val="0"/>
        <condense val="0"/>
        <extend val="0"/>
        <outline val="0"/>
        <shadow val="0"/>
        <u val="none"/>
        <vertAlign val="baseline"/>
        <sz val="10"/>
        <color theme="1"/>
        <name val="Aptos Narrow"/>
        <family val="2"/>
        <scheme val="minor"/>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0" indent="0" justifyLastLine="0" shrinkToFit="0" readingOrder="0"/>
    </dxf>
    <dxf>
      <font>
        <strike val="0"/>
        <outline val="0"/>
        <shadow val="0"/>
        <u val="none"/>
        <vertAlign val="baseline"/>
        <color theme="0"/>
        <name val="Aptos Narrow"/>
        <family val="2"/>
        <scheme val="minor"/>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Respostas ao formulário 1-style" pivot="0" count="4" xr9:uid="{D3A368DC-3D3F-40CE-A1A0-E78194E2A4F5}">
      <tableStyleElement type="wholeTable" size="0" dxfId="13"/>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A12D89-F062-496A-8C34-25E79F0DED1E}" name="Form_Responses" displayName="Form_Responses" ref="A1:R40" headerRowDxfId="9">
  <autoFilter ref="A1:R40" xr:uid="{F7A12D89-F062-496A-8C34-25E79F0DED1E}"/>
  <tableColumns count="18">
    <tableColumn id="1" xr3:uid="{C5B1D923-B259-48A9-A6CB-26DED14E0939}" name="Carimbo de data/hora"/>
    <tableColumn id="2" xr3:uid="{7A4302D5-01EF-4769-AD39-72A0AF20D86A}" name="Endereço de e-mail"/>
    <tableColumn id="4" xr3:uid="{5968DA9B-3856-4C22-84C9-4573D27C35B5}" name="RA_x000a_"/>
    <tableColumn id="3" xr3:uid="{911DD203-50C6-4C27-8F91-84E83031E42F}" name="Nome_x000a_" dataDxfId="8"/>
    <tableColumn id="18" xr3:uid="{2196250C-C7CC-403B-8F96-B6DB3189C6EC}" name="Nota" dataDxfId="7">
      <calculatedColumnFormula>(Form_Responses[[#This Row],[Ex1 1a parte]]+Form_Responses[[#This Row],[Ex1 2a parte]]+Form_Responses[[#This Row],[Ex2]]+Form_Responses[[#This Row],[Ex3]])</calculatedColumnFormula>
    </tableColumn>
    <tableColumn id="5" xr3:uid="{D9F11C92-978E-4280-85AE-358FC60848CB}" name="Q1. PCA, qual o número de features obtido no modelo? "/>
    <tableColumn id="6" xr3:uid="{6B2780D1-86E0-4FF1-B966-0656EF335D57}" name="Q2.  Qual o melhor modelo segundo os critérios informados e a acuracidade obtida sobre os dados de teste? "/>
    <tableColumn id="7" xr3:uid="{D2AEF2EB-4D39-4A25-B2BD-0BA6742AE67E}" name="Q3.  Qual a classe mais prevista nos novos dados e a sua quantidade? (informe mais de uma classe no caso de empate das quantidades)"/>
    <tableColumn id="8" xr3:uid="{B81C0E24-FB52-4858-BAA1-A706E2A4FA11}" name="Q4. Qual a acuracidade de clusterização obtida? "/>
    <tableColumn id="9" xr3:uid="{9616FC7E-6C29-4D6B-A6F0-D8CB049B2C10}" name="Q5. Qual o valor de silhueta e melhor número de clusters obtidos?_x000a__x000a_(não se esqueça de fazer os gráfico dos sinais médios de cada grupo no seu notebook) "/>
    <tableColumn id="10" xr3:uid="{0E7209BC-0621-4480-89C3-44FC279B9351}" name="Poste aqui o link do seu notebook Colab compartilhado como público. Exemplo:_x000a_ _x000a_https://colab.research.google.com/drive/1cJJWfFTIJ_iWYw7t1VPlPOFBsv9XsCWF#scrollTo=edfpleAbtOzo_x000a__x000a_"/>
    <tableColumn id="13" xr3:uid="{E09D784A-340C-4EE2-8923-BE9FE34EA106}" name="Ex1 1a parte" dataDxfId="6"/>
    <tableColumn id="14" xr3:uid="{EF892373-41B7-469B-8A97-6DB2D8282F10}" name="Ex1 2a parte" dataDxfId="5"/>
    <tableColumn id="15" xr3:uid="{F728A1FA-1603-4292-8AD8-A13849B472C8}" name="Ex1 Comentários" dataDxfId="4"/>
    <tableColumn id="12" xr3:uid="{412D7050-4402-4C80-8ADB-024FAC13E0D3}" name="Ex2" dataDxfId="3"/>
    <tableColumn id="16" xr3:uid="{6FF676EA-4135-4A7F-AFD3-E2CC4A905311}" name="Ex2 Comentários" dataDxfId="2"/>
    <tableColumn id="17" xr3:uid="{9A4614B2-020C-46BC-8526-923AE912BE51}" name="Ex3" dataDxfId="1"/>
    <tableColumn id="11" xr3:uid="{0A7D127A-6EC7-4AB3-B853-59B3470F5A58}" name="Ex3 Comentários" dataDxfId="0"/>
  </tableColumns>
  <tableStyleInfo name="Respostas ao formulário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colab.research.google.com/drive/1lyCpjTUuy9JS2FDzara9_fTdc2kS3Ey1?usp=sharing" TargetMode="External"/><Relationship Id="rId18" Type="http://schemas.openxmlformats.org/officeDocument/2006/relationships/hyperlink" Target="https://colab.research.google.com/drive/1HJ6woaU0cpmgdrcT6qsdJS0XlcWwJ3VF?usp=sharing" TargetMode="External"/><Relationship Id="rId26" Type="http://schemas.openxmlformats.org/officeDocument/2006/relationships/hyperlink" Target="https://colab.research.google.com/drive/1Z88I0-mxBXF46q1fr6JqHmuNSDrv1xh6?usp=sharing" TargetMode="External"/><Relationship Id="rId39" Type="http://schemas.openxmlformats.org/officeDocument/2006/relationships/hyperlink" Target="https://colab.research.google.com/drive/1QsXbrE2Elm_9lKlCvDeXcjiolPF1Awbz?usp=sharing" TargetMode="External"/><Relationship Id="rId21" Type="http://schemas.openxmlformats.org/officeDocument/2006/relationships/hyperlink" Target="https://colab.research.google.com/drive/13fKo-wgEZgS37GK481Bd1vkL5VYM7VZl?usp=sharing" TargetMode="External"/><Relationship Id="rId34" Type="http://schemas.openxmlformats.org/officeDocument/2006/relationships/hyperlink" Target="https://colab.research.google.com/drive/1MBMegOFreDFyrm4EY2WG1ezb4UCxAd20?usp=sharing" TargetMode="External"/><Relationship Id="rId7" Type="http://schemas.openxmlformats.org/officeDocument/2006/relationships/hyperlink" Target="https://colab.research.google.com/drive/1A5gi7Os5PfDUCfb6r10DWuzKR2yG9WYq?usp=sharing" TargetMode="External"/><Relationship Id="rId12" Type="http://schemas.openxmlformats.org/officeDocument/2006/relationships/hyperlink" Target="https://colab.research.google.com/drive/1ubhjkdDpoYNYyACC4ZUMve5bjvHBzJcI?usp=sharing" TargetMode="External"/><Relationship Id="rId17" Type="http://schemas.openxmlformats.org/officeDocument/2006/relationships/hyperlink" Target="https://colab.research.google.com/drive/1VnaySQ7kKx3ApXvl6QkR8Q5ct99tO6o6?usp=sharing" TargetMode="External"/><Relationship Id="rId25" Type="http://schemas.openxmlformats.org/officeDocument/2006/relationships/hyperlink" Target="https://colab.research.google.com/drive/1W7EfjsJMgy3WR-VdsAAJcUMRW9rXStsb?usp=sharing" TargetMode="External"/><Relationship Id="rId33" Type="http://schemas.openxmlformats.org/officeDocument/2006/relationships/hyperlink" Target="https://colab.research.google.com/drive/1EGQw0UGgun9sDdQEx3T1pk2g5AVTK4de?usp=sharing" TargetMode="External"/><Relationship Id="rId38" Type="http://schemas.openxmlformats.org/officeDocument/2006/relationships/hyperlink" Target="https://colab.research.google.com/drive/16NJraowRZMTHXQcUjuEeP867wJldFUZG?usp=sharing" TargetMode="External"/><Relationship Id="rId2" Type="http://schemas.openxmlformats.org/officeDocument/2006/relationships/hyperlink" Target="https://colab.research.google.com/drive/1_VN2Gi8q1oYHPSH94MtaM1DEWiWpOfb3?usp=sharing" TargetMode="External"/><Relationship Id="rId16" Type="http://schemas.openxmlformats.org/officeDocument/2006/relationships/hyperlink" Target="https://colab.research.google.com/drive/1wuk9CQ7LSSH3ilUyw3PR6-RIXmcF3sTT?usp=sharing" TargetMode="External"/><Relationship Id="rId20" Type="http://schemas.openxmlformats.org/officeDocument/2006/relationships/hyperlink" Target="https://colab.research.google.com/drive/12ovuI-e04k7nfdWPCs-IoPE6tM5HVvKb?usp=sharing" TargetMode="External"/><Relationship Id="rId29" Type="http://schemas.openxmlformats.org/officeDocument/2006/relationships/hyperlink" Target="https://colab.research.google.com/drive/1PTMIdHgu9s01UIAl2qlHwyd0wdvfVANw?usp=sharing" TargetMode="External"/><Relationship Id="rId1" Type="http://schemas.openxmlformats.org/officeDocument/2006/relationships/hyperlink" Target="https://colab.research.google.com/drive/1tMpEe1TD29uXUlEvM1rYZy2aDVJYDWzo?usp=sharing" TargetMode="External"/><Relationship Id="rId6" Type="http://schemas.openxmlformats.org/officeDocument/2006/relationships/hyperlink" Target="https://colab.research.google.com/drive/1MCognV-AgQdpvUD9uqJdyxkgrS0QJ1Pz?usp=sharing" TargetMode="External"/><Relationship Id="rId11" Type="http://schemas.openxmlformats.org/officeDocument/2006/relationships/hyperlink" Target="https://github.com/ViniciusBerti/20241_maua_ecm252_intro_git/blob/main/IMT_P4_2025.ipynb" TargetMode="External"/><Relationship Id="rId24" Type="http://schemas.openxmlformats.org/officeDocument/2006/relationships/hyperlink" Target="https://colab.research.google.com/drive/1pBQS_FGFl1l6WPDHKIdRubZ4UPnXU3U8?usp=sharing" TargetMode="External"/><Relationship Id="rId32" Type="http://schemas.openxmlformats.org/officeDocument/2006/relationships/hyperlink" Target="https://colab.research.google.com/drive/1KL3345xJ3Y9zGEmSdt9TXP9l6D7fq-aa?usp=sharing" TargetMode="External"/><Relationship Id="rId37" Type="http://schemas.openxmlformats.org/officeDocument/2006/relationships/hyperlink" Target="https://colab.research.google.com/drive/1PrBg19ttB_0w_B14dmJtkTbHo6YOzrN8?usp=sharing" TargetMode="External"/><Relationship Id="rId40" Type="http://schemas.openxmlformats.org/officeDocument/2006/relationships/table" Target="../tables/table1.xml"/><Relationship Id="rId5" Type="http://schemas.openxmlformats.org/officeDocument/2006/relationships/hyperlink" Target="https://colab.research.google.com/drive/1Fw1RZ0C_-6H6vsmCBZLdmWWaJnvQAIlw?usp=sharing" TargetMode="External"/><Relationship Id="rId15" Type="http://schemas.openxmlformats.org/officeDocument/2006/relationships/hyperlink" Target="https://colab.research.google.com/drive/1l4oF6hnmB3fJzABZCNyaquRN_DDQpcPd?usp=sharing" TargetMode="External"/><Relationship Id="rId23" Type="http://schemas.openxmlformats.org/officeDocument/2006/relationships/hyperlink" Target="https://colab.research.google.com/drive/16W1DQL9M041BTjPg2S0d4stAdw2Q-Bir?usp=sharing" TargetMode="External"/><Relationship Id="rId28" Type="http://schemas.openxmlformats.org/officeDocument/2006/relationships/hyperlink" Target="https://colab.research.google.com/drive/17EZnI-Zm3ewvDORaMiBJgPummZjUOK6l?usp=sharing" TargetMode="External"/><Relationship Id="rId36" Type="http://schemas.openxmlformats.org/officeDocument/2006/relationships/hyperlink" Target="https://colab.research.google.com/drive/1KJiy3mkwOhScOa6OXP6orGEVKxxWuKBL?usp=sharing" TargetMode="External"/><Relationship Id="rId10" Type="http://schemas.openxmlformats.org/officeDocument/2006/relationships/hyperlink" Target="https://colab.research.google.com/drive/1iSuuU97BbSIVThHcSNeeudYAVxexSdJN?usp=sharing" TargetMode="External"/><Relationship Id="rId19" Type="http://schemas.openxmlformats.org/officeDocument/2006/relationships/hyperlink" Target="https://colab.research.google.com/drive/1aFhIa18wOrxHThQYmLEMe9N9wRyjgXdH?usp=sharing" TargetMode="External"/><Relationship Id="rId31" Type="http://schemas.openxmlformats.org/officeDocument/2006/relationships/hyperlink" Target="https://colab.research.google.com/drive/1YYGOlIZ-EufckD7UHHZRY17JVzt1PnEx?usp=sharing" TargetMode="External"/><Relationship Id="rId4" Type="http://schemas.openxmlformats.org/officeDocument/2006/relationships/hyperlink" Target="https://colab.research.google.com/drive/1tC9r32nZ6eS8FYIm3YBGsRmI2NxtLxwc?usp=sharing" TargetMode="External"/><Relationship Id="rId9" Type="http://schemas.openxmlformats.org/officeDocument/2006/relationships/hyperlink" Target="https://colab.research.google.com/drive/1LEEfZy61VYbdvsMGwPJ8e2rZL4at1UU_?usp=sharing" TargetMode="External"/><Relationship Id="rId14" Type="http://schemas.openxmlformats.org/officeDocument/2006/relationships/hyperlink" Target="https://colab.research.google.com/drive/1okrjPZvaTOOW4VtedLnbbaCNNoPpJ2mA?usp=sharing" TargetMode="External"/><Relationship Id="rId22" Type="http://schemas.openxmlformats.org/officeDocument/2006/relationships/hyperlink" Target="https://colab.research.google.com/drive/1zsqBoO8CsHVlIsPn0lb6FH5JBu9Iflkq?usp=sharing" TargetMode="External"/><Relationship Id="rId27" Type="http://schemas.openxmlformats.org/officeDocument/2006/relationships/hyperlink" Target="https://colab.research.google.com/drive/1RWBDCnyFNQ_u2m6PJjZ7Oc5irZ0vizum?usp=sharing" TargetMode="External"/><Relationship Id="rId30" Type="http://schemas.openxmlformats.org/officeDocument/2006/relationships/hyperlink" Target="https://colab.research.google.com/drive/19NdMGw5TcVwOuh75WV3T4C9D6KNp3u4J?usp=sharing" TargetMode="External"/><Relationship Id="rId35" Type="http://schemas.openxmlformats.org/officeDocument/2006/relationships/hyperlink" Target="https://colab.research.google.com/drive/1JARPotuWUC99JAwYduOjkq222cNsIXnT?usp=sharing" TargetMode="External"/><Relationship Id="rId8" Type="http://schemas.openxmlformats.org/officeDocument/2006/relationships/hyperlink" Target="https://colab.research.google.com/drive/1vgSjyZbXvQ6WCPGEm68HgEsPl_i9vmir?usp=sharing" TargetMode="External"/><Relationship Id="rId3" Type="http://schemas.openxmlformats.org/officeDocument/2006/relationships/hyperlink" Target="https://colab.research.google.com/drive/1nuMcL1yKVlo_jomqMEkboSziJYHcUk0L?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D158-1B73-4F14-A6FD-DD612C880081}">
  <dimension ref="A1:J41"/>
  <sheetViews>
    <sheetView workbookViewId="0">
      <selection activeCell="E2" sqref="E2:F40"/>
    </sheetView>
  </sheetViews>
  <sheetFormatPr defaultRowHeight="15" x14ac:dyDescent="0.25"/>
  <cols>
    <col min="1" max="1" width="11.42578125" bestFit="1" customWidth="1"/>
    <col min="2" max="2" width="11.42578125" style="52" customWidth="1"/>
    <col min="3" max="3" width="37.28515625" bestFit="1" customWidth="1"/>
    <col min="4" max="4" width="36.7109375" hidden="1" customWidth="1"/>
    <col min="5" max="6" width="11.42578125" style="5" customWidth="1"/>
    <col min="7" max="7" width="11.42578125" style="5" hidden="1" customWidth="1"/>
    <col min="8" max="8" width="9.140625" hidden="1" customWidth="1"/>
    <col min="9" max="9" width="11.42578125" style="32" hidden="1" customWidth="1"/>
    <col min="10" max="10" width="11.42578125" style="32" customWidth="1"/>
  </cols>
  <sheetData>
    <row r="1" spans="1:10" x14ac:dyDescent="0.25">
      <c r="A1" s="15" t="s">
        <v>410</v>
      </c>
      <c r="B1" s="50" t="s">
        <v>413</v>
      </c>
      <c r="C1" s="15" t="s">
        <v>409</v>
      </c>
      <c r="D1" s="9"/>
      <c r="E1" s="17" t="s">
        <v>407</v>
      </c>
      <c r="F1" s="17" t="s">
        <v>408</v>
      </c>
      <c r="G1" s="17" t="s">
        <v>411</v>
      </c>
      <c r="I1" s="17" t="s">
        <v>412</v>
      </c>
      <c r="J1" s="17" t="s">
        <v>414</v>
      </c>
    </row>
    <row r="2" spans="1:10" ht="15.75" x14ac:dyDescent="0.25">
      <c r="A2" s="67" t="s">
        <v>40</v>
      </c>
      <c r="B2" s="68">
        <f>VLOOKUP(A2,'Ordem Turmas'!A:B,2,FALSE)</f>
        <v>1</v>
      </c>
      <c r="C2" s="67" t="s">
        <v>389</v>
      </c>
      <c r="D2" t="str">
        <f>VLOOKUP(A2,'Atividades e Projeto Notas'!A:H,2,FALSE)</f>
        <v>Izabel Sampaio Goes</v>
      </c>
      <c r="E2" s="69">
        <f>VLOOKUP(A2,'Atividades e Projeto Notas'!A:H,7,FALSE)</f>
        <v>10</v>
      </c>
      <c r="F2" s="69">
        <f>VLOOKUP(A2,'Atividades e Projeto Notas'!A:H,8,FALSE)</f>
        <v>10</v>
      </c>
      <c r="G2" s="69">
        <f>VLOOKUP(A2,'Nota P4 Lab'!C:E,3,FALSE)</f>
        <v>8</v>
      </c>
      <c r="H2" t="str">
        <f>VLOOKUP(A2,'Nota P4 Lab'!C:E,2,FALSE)</f>
        <v>Izabel Sampaio Goes</v>
      </c>
      <c r="I2" s="69">
        <v>2</v>
      </c>
      <c r="J2" s="69">
        <f>MROUND(G2+0.5*I2/6,0.5)</f>
        <v>8</v>
      </c>
    </row>
    <row r="3" spans="1:10" ht="15.75" x14ac:dyDescent="0.25">
      <c r="A3" s="53" t="s">
        <v>54</v>
      </c>
      <c r="B3" s="57">
        <f>VLOOKUP(A3,'Ordem Turmas'!A:B,2,FALSE)</f>
        <v>2</v>
      </c>
      <c r="C3" s="53" t="s">
        <v>390</v>
      </c>
      <c r="D3" t="str">
        <f>VLOOKUP(A3,'Atividades e Projeto Notas'!A:H,2,FALSE)</f>
        <v>Lucas Miguel de Matos Negri</v>
      </c>
      <c r="E3" s="48">
        <f>VLOOKUP(A3,'Atividades e Projeto Notas'!A:H,7,FALSE)</f>
        <v>10</v>
      </c>
      <c r="F3" s="48">
        <f>VLOOKUP(A3,'Atividades e Projeto Notas'!A:H,8,FALSE)</f>
        <v>5</v>
      </c>
      <c r="G3" s="48">
        <f>VLOOKUP(A3,'Nota P4 Lab'!C:E,3,FALSE)</f>
        <v>7</v>
      </c>
      <c r="H3" t="str">
        <f>VLOOKUP(A3,'Nota P4 Lab'!C:E,2,FALSE)</f>
        <v>Lucas Miguel de Matos Negri</v>
      </c>
      <c r="I3" s="48">
        <v>2</v>
      </c>
      <c r="J3" s="48">
        <f>MROUND(G3+0.5*I3/6,0.5)</f>
        <v>7</v>
      </c>
    </row>
    <row r="4" spans="1:10" ht="15.75" x14ac:dyDescent="0.25">
      <c r="A4" s="53" t="s">
        <v>52</v>
      </c>
      <c r="B4" s="57">
        <f>VLOOKUP(A4,'Ordem Turmas'!A:B,2,FALSE)</f>
        <v>3</v>
      </c>
      <c r="C4" s="53" t="s">
        <v>53</v>
      </c>
      <c r="D4" t="str">
        <f>VLOOKUP(A4,'Atividades e Projeto Notas'!A:H,2,FALSE)</f>
        <v>Larissa Navarro Pizarro</v>
      </c>
      <c r="E4" s="48">
        <f>VLOOKUP(A4,'Atividades e Projeto Notas'!A:H,7,FALSE)</f>
        <v>10</v>
      </c>
      <c r="F4" s="48">
        <f>VLOOKUP(A4,'Atividades e Projeto Notas'!A:H,8,FALSE)</f>
        <v>5</v>
      </c>
      <c r="G4" s="48">
        <f>VLOOKUP(A4,'Nota P4 Lab'!C:E,3,FALSE)</f>
        <v>3</v>
      </c>
      <c r="H4" t="str">
        <f>VLOOKUP(A4,'Nota P4 Lab'!C:E,2,FALSE)</f>
        <v>Larissa Navarro Pizarro</v>
      </c>
      <c r="I4" s="48">
        <v>0</v>
      </c>
      <c r="J4" s="48">
        <f>MROUND(G4+0.5*I4/6,0.5)</f>
        <v>3</v>
      </c>
    </row>
    <row r="5" spans="1:10" ht="15.75" x14ac:dyDescent="0.25">
      <c r="A5" s="53" t="s">
        <v>8</v>
      </c>
      <c r="B5" s="57">
        <f>VLOOKUP(A5,'Ordem Turmas'!A:B,2,FALSE)</f>
        <v>4</v>
      </c>
      <c r="C5" s="53" t="s">
        <v>9</v>
      </c>
      <c r="D5" t="str">
        <f>VLOOKUP(A5,'Atividades e Projeto Notas'!A:H,2,FALSE)</f>
        <v>Bruno Bosa Lopes</v>
      </c>
      <c r="E5" s="48">
        <f>VLOOKUP(A5,'Atividades e Projeto Notas'!A:H,7,FALSE)</f>
        <v>9</v>
      </c>
      <c r="F5" s="48">
        <f>VLOOKUP(A5,'Atividades e Projeto Notas'!A:H,8,FALSE)</f>
        <v>10</v>
      </c>
      <c r="G5" s="48">
        <f>VLOOKUP(A5,'Nota P4 Lab'!C:E,3,FALSE)</f>
        <v>8</v>
      </c>
      <c r="H5" t="str">
        <f>VLOOKUP(A5,'Nota P4 Lab'!C:E,2,FALSE)</f>
        <v>Bruno Bosa Lopes</v>
      </c>
      <c r="I5" s="48">
        <v>0</v>
      </c>
      <c r="J5" s="48">
        <f>MROUND(G5+0.5*I5/6,0.5)</f>
        <v>8</v>
      </c>
    </row>
    <row r="6" spans="1:10" ht="15.75" x14ac:dyDescent="0.25">
      <c r="A6" s="54" t="s">
        <v>76</v>
      </c>
      <c r="B6" s="58">
        <f>VLOOKUP(A6,'Ordem Turmas'!A:B,2,FALSE)</f>
        <v>5</v>
      </c>
      <c r="C6" s="54" t="s">
        <v>94</v>
      </c>
      <c r="D6" t="str">
        <f>VLOOKUP(A6,'Atividades e Projeto Notas'!A:H,2,FALSE)</f>
        <v>Vinicius Urias da Cruz</v>
      </c>
      <c r="E6" s="49">
        <f>VLOOKUP(A6,'Atividades e Projeto Notas'!A:H,7,FALSE)</f>
        <v>10</v>
      </c>
      <c r="F6" s="49">
        <f>VLOOKUP(A6,'Atividades e Projeto Notas'!A:H,8,FALSE)</f>
        <v>5</v>
      </c>
      <c r="G6" s="49">
        <f>VLOOKUP(A6,'Nota P4 Lab'!C:E,3,FALSE)</f>
        <v>5</v>
      </c>
      <c r="H6" t="str">
        <f>VLOOKUP(A6,'Nota P4 Lab'!C:E,2,FALSE)</f>
        <v>Vinicius Urias da Cruz</v>
      </c>
      <c r="I6" s="49">
        <v>0</v>
      </c>
      <c r="J6" s="49">
        <f>MROUND(G6+0.5*I6/6,0.5)</f>
        <v>5</v>
      </c>
    </row>
    <row r="7" spans="1:10" ht="15.75" x14ac:dyDescent="0.25">
      <c r="A7" s="53" t="s">
        <v>32</v>
      </c>
      <c r="B7" s="57">
        <f>VLOOKUP(A7,'Ordem Turmas'!A:B,2,FALSE)</f>
        <v>6</v>
      </c>
      <c r="C7" s="53" t="s">
        <v>33</v>
      </c>
      <c r="D7" t="str">
        <f>VLOOKUP(A7,'Atividades e Projeto Notas'!A:H,2,FALSE)</f>
        <v>Gabriel Bianconi</v>
      </c>
      <c r="E7" s="48">
        <f>VLOOKUP(A7,'Atividades e Projeto Notas'!A:H,7,FALSE)</f>
        <v>9.5</v>
      </c>
      <c r="F7" s="48">
        <f>VLOOKUP(A7,'Atividades e Projeto Notas'!A:H,8,FALSE)</f>
        <v>6</v>
      </c>
      <c r="G7" s="48">
        <f>VLOOKUP(A7,'Nota P4 Lab'!C:E,3,FALSE)</f>
        <v>7.5</v>
      </c>
      <c r="H7" t="str">
        <f>VLOOKUP(A7,'Nota P4 Lab'!C:E,2,FALSE)</f>
        <v>Gabriel Bianconi</v>
      </c>
      <c r="I7" s="48">
        <v>1.5</v>
      </c>
      <c r="J7" s="48">
        <f>MROUND(G7+0.5*I7/6,0.5)</f>
        <v>7.5</v>
      </c>
    </row>
    <row r="8" spans="1:10" ht="15.75" x14ac:dyDescent="0.25">
      <c r="A8" s="53" t="s">
        <v>12</v>
      </c>
      <c r="B8" s="57">
        <f>VLOOKUP(A8,'Ordem Turmas'!A:B,2,FALSE)</f>
        <v>7</v>
      </c>
      <c r="C8" s="53" t="s">
        <v>391</v>
      </c>
      <c r="D8" t="str">
        <f>VLOOKUP(A8,'Atividades e Projeto Notas'!A:H,2,FALSE)</f>
        <v>Carlos Alberto Matias da Costa</v>
      </c>
      <c r="E8" s="48">
        <f>VLOOKUP(A8,'Atividades e Projeto Notas'!A:H,7,FALSE)</f>
        <v>9.5</v>
      </c>
      <c r="F8" s="48">
        <f>VLOOKUP(A8,'Atividades e Projeto Notas'!A:H,8,FALSE)</f>
        <v>6</v>
      </c>
      <c r="G8" s="48">
        <f>VLOOKUP(A8,'Nota P4 Lab'!C:E,3,FALSE)</f>
        <v>7</v>
      </c>
      <c r="H8" t="str">
        <f>VLOOKUP(A8,'Nota P4 Lab'!C:E,2,FALSE)</f>
        <v>Carlos Alberto Matias da Costa</v>
      </c>
      <c r="I8" s="48">
        <v>1</v>
      </c>
      <c r="J8" s="48">
        <f>MROUND(G8+0.5*I8/6,0.5)</f>
        <v>7</v>
      </c>
    </row>
    <row r="9" spans="1:10" ht="15.75" x14ac:dyDescent="0.25">
      <c r="A9" s="53" t="s">
        <v>58</v>
      </c>
      <c r="B9" s="57">
        <f>VLOOKUP(A9,'Ordem Turmas'!A:B,2,FALSE)</f>
        <v>8</v>
      </c>
      <c r="C9" s="53" t="s">
        <v>59</v>
      </c>
      <c r="D9" t="str">
        <f>VLOOKUP(A9,'Atividades e Projeto Notas'!A:H,2,FALSE)</f>
        <v>Matheus Igino Machado</v>
      </c>
      <c r="E9" s="48">
        <f>VLOOKUP(A9,'Atividades e Projeto Notas'!A:H,7,FALSE)</f>
        <v>10</v>
      </c>
      <c r="F9" s="48">
        <f>VLOOKUP(A9,'Atividades e Projeto Notas'!A:H,8,FALSE)</f>
        <v>5</v>
      </c>
      <c r="G9" s="48">
        <f>VLOOKUP(A9,'Nota P4 Lab'!C:E,3,FALSE)</f>
        <v>7</v>
      </c>
      <c r="H9" t="str">
        <f>VLOOKUP(A9,'Nota P4 Lab'!C:E,2,FALSE)</f>
        <v>Matheus Igino Machado</v>
      </c>
      <c r="I9" s="48">
        <v>2</v>
      </c>
      <c r="J9" s="48">
        <f>MROUND(G9+0.5*I9/6,0.5)</f>
        <v>7</v>
      </c>
    </row>
    <row r="10" spans="1:10" ht="15.75" x14ac:dyDescent="0.25">
      <c r="A10" s="53" t="s">
        <v>18</v>
      </c>
      <c r="B10" s="57">
        <f>VLOOKUP(A10,'Ordem Turmas'!A:B,2,FALSE)</f>
        <v>9</v>
      </c>
      <c r="C10" s="53" t="s">
        <v>19</v>
      </c>
      <c r="D10" t="str">
        <f>VLOOKUP(A10,'Atividades e Projeto Notas'!A:H,2,FALSE)</f>
        <v>Eduardo Lucas Felippa</v>
      </c>
      <c r="E10" s="48">
        <f>VLOOKUP(A10,'Atividades e Projeto Notas'!A:H,7,FALSE)</f>
        <v>10</v>
      </c>
      <c r="F10" s="48">
        <f>VLOOKUP(A10,'Atividades e Projeto Notas'!A:H,8,FALSE)</f>
        <v>9</v>
      </c>
      <c r="G10" s="48">
        <f>VLOOKUP(A10,'Nota P4 Lab'!C:E,3,FALSE)</f>
        <v>8</v>
      </c>
      <c r="H10" t="str">
        <f>VLOOKUP(A10,'Nota P4 Lab'!C:E,2,FALSE)</f>
        <v>Eduardo Lucas Felippa</v>
      </c>
      <c r="I10" s="48">
        <v>4</v>
      </c>
      <c r="J10" s="48">
        <f>MROUND(G10+0.5*I10/6,0.5)</f>
        <v>8.5</v>
      </c>
    </row>
    <row r="11" spans="1:10" ht="15.75" x14ac:dyDescent="0.25">
      <c r="A11" s="54" t="s">
        <v>50</v>
      </c>
      <c r="B11" s="58">
        <f>VLOOKUP(A11,'Ordem Turmas'!A:B,2,FALSE)</f>
        <v>10</v>
      </c>
      <c r="C11" s="54" t="s">
        <v>51</v>
      </c>
      <c r="D11" t="str">
        <f>VLOOKUP(A11,'Atividades e Projeto Notas'!A:H,2,FALSE)</f>
        <v>Kaiven Yang Su</v>
      </c>
      <c r="E11" s="49">
        <f>VLOOKUP(A11,'Atividades e Projeto Notas'!A:H,7,FALSE)</f>
        <v>10</v>
      </c>
      <c r="F11" s="49">
        <f>VLOOKUP(A11,'Atividades e Projeto Notas'!A:H,8,FALSE)</f>
        <v>9</v>
      </c>
      <c r="G11" s="49">
        <f>VLOOKUP(A11,'Nota P4 Lab'!C:E,3,FALSE)</f>
        <v>7</v>
      </c>
      <c r="H11" t="str">
        <f>VLOOKUP(A11,'Nota P4 Lab'!C:E,2,FALSE)</f>
        <v>Kaiven Yang Su</v>
      </c>
      <c r="I11" s="49">
        <v>1</v>
      </c>
      <c r="J11" s="49">
        <f>MROUND(G11+0.5*I11/6,0.5)</f>
        <v>7</v>
      </c>
    </row>
    <row r="12" spans="1:10" ht="15.75" x14ac:dyDescent="0.25">
      <c r="A12" s="53" t="s">
        <v>6</v>
      </c>
      <c r="B12" s="57">
        <f>VLOOKUP(A12,'Ordem Turmas'!A:B,2,FALSE)</f>
        <v>11</v>
      </c>
      <c r="C12" s="53" t="s">
        <v>7</v>
      </c>
      <c r="D12" t="str">
        <f>VLOOKUP(A12,'Atividades e Projeto Notas'!A:H,2,FALSE)</f>
        <v>Bruno Augusto Lopes Fevereiro</v>
      </c>
      <c r="E12" s="48">
        <f>VLOOKUP(A12,'Atividades e Projeto Notas'!A:H,7,FALSE)</f>
        <v>9.5</v>
      </c>
      <c r="F12" s="48">
        <f>VLOOKUP(A12,'Atividades e Projeto Notas'!A:H,8,FALSE)</f>
        <v>6</v>
      </c>
      <c r="G12" s="48">
        <f>VLOOKUP(A12,'Nota P4 Lab'!C:E,3,FALSE)</f>
        <v>8.5</v>
      </c>
      <c r="H12" t="str">
        <f>VLOOKUP(A12,'Nota P4 Lab'!C:E,2,FALSE)</f>
        <v>Bruno Augusto Lopes Fevereiro</v>
      </c>
      <c r="I12" s="48">
        <v>2</v>
      </c>
      <c r="J12" s="48">
        <f>MROUND(G12+0.5*I12/6,0.5)</f>
        <v>8.5</v>
      </c>
    </row>
    <row r="13" spans="1:10" ht="15.75" x14ac:dyDescent="0.25">
      <c r="A13" s="53" t="s">
        <v>28</v>
      </c>
      <c r="B13" s="57">
        <f>VLOOKUP(A13,'Ordem Turmas'!A:B,2,FALSE)</f>
        <v>12</v>
      </c>
      <c r="C13" s="53" t="s">
        <v>392</v>
      </c>
      <c r="D13" t="str">
        <f>VLOOKUP(A13,'Atividades e Projeto Notas'!A:H,2,FALSE)</f>
        <v>Felipe Rodrigues Peixoto da Silva</v>
      </c>
      <c r="E13" s="48">
        <f>VLOOKUP(A13,'Atividades e Projeto Notas'!A:H,7,FALSE)</f>
        <v>10</v>
      </c>
      <c r="F13" s="48">
        <f>VLOOKUP(A13,'Atividades e Projeto Notas'!A:H,8,FALSE)</f>
        <v>9</v>
      </c>
      <c r="G13" s="48">
        <f>VLOOKUP(A13,'Nota P4 Lab'!C:E,3,FALSE)</f>
        <v>8</v>
      </c>
      <c r="H13" t="str">
        <f>VLOOKUP(A13,'Nota P4 Lab'!C:E,2,FALSE)</f>
        <v>FELIPE RODRIGUES PEIXOTO DA SILVA</v>
      </c>
      <c r="I13" s="48">
        <v>2</v>
      </c>
      <c r="J13" s="48">
        <f>MROUND(G13+0.5*I13/6,0.5)</f>
        <v>8</v>
      </c>
    </row>
    <row r="14" spans="1:10" ht="15.75" x14ac:dyDescent="0.25">
      <c r="A14" s="53" t="s">
        <v>24</v>
      </c>
      <c r="B14" s="57">
        <f>VLOOKUP(A14,'Ordem Turmas'!A:B,2,FALSE)</f>
        <v>13</v>
      </c>
      <c r="C14" s="53" t="s">
        <v>393</v>
      </c>
      <c r="D14" t="str">
        <f>VLOOKUP(A14,'Atividades e Projeto Notas'!A:H,2,FALSE)</f>
        <v>Enzo Sakamoto</v>
      </c>
      <c r="E14" s="48">
        <f>VLOOKUP(A14,'Atividades e Projeto Notas'!A:H,7,FALSE)</f>
        <v>10</v>
      </c>
      <c r="F14" s="48">
        <f>VLOOKUP(A14,'Atividades e Projeto Notas'!A:H,8,FALSE)</f>
        <v>10</v>
      </c>
      <c r="G14" s="48">
        <f>VLOOKUP(A14,'Nota P4 Lab'!C:E,3,FALSE)</f>
        <v>8</v>
      </c>
      <c r="H14" t="str">
        <f>VLOOKUP(A14,'Nota P4 Lab'!C:E,2,FALSE)</f>
        <v>Enzo Sakamoto</v>
      </c>
      <c r="I14" s="48">
        <v>2</v>
      </c>
      <c r="J14" s="48">
        <f>MROUND(G14+0.5*I14/6,0.5)</f>
        <v>8</v>
      </c>
    </row>
    <row r="15" spans="1:10" ht="15.75" x14ac:dyDescent="0.25">
      <c r="A15" s="53" t="s">
        <v>56</v>
      </c>
      <c r="B15" s="57">
        <f>VLOOKUP(A15,'Ordem Turmas'!A:B,2,FALSE)</f>
        <v>14</v>
      </c>
      <c r="C15" s="53" t="s">
        <v>57</v>
      </c>
      <c r="D15" t="str">
        <f>VLOOKUP(A15,'Atividades e Projeto Notas'!A:H,2,FALSE)</f>
        <v>Maria Fernanda Pinho Garcia</v>
      </c>
      <c r="E15" s="48">
        <f>VLOOKUP(A15,'Atividades e Projeto Notas'!A:H,7,FALSE)</f>
        <v>10</v>
      </c>
      <c r="F15" s="48">
        <f>VLOOKUP(A15,'Atividades e Projeto Notas'!A:H,8,FALSE)</f>
        <v>9.5</v>
      </c>
      <c r="G15" s="48">
        <f>VLOOKUP(A15,'Nota P4 Lab'!C:E,3,FALSE)</f>
        <v>9</v>
      </c>
      <c r="H15" t="str">
        <f>VLOOKUP(A15,'Nota P4 Lab'!C:E,2,FALSE)</f>
        <v>Maria Fernanda Pinho Garcia</v>
      </c>
      <c r="I15" s="48">
        <v>2.5</v>
      </c>
      <c r="J15" s="48">
        <f>MROUND(G15+0.5*I15/6,0.5)</f>
        <v>9</v>
      </c>
    </row>
    <row r="16" spans="1:10" ht="15.75" x14ac:dyDescent="0.25">
      <c r="A16" s="54" t="s">
        <v>70</v>
      </c>
      <c r="B16" s="58">
        <f>VLOOKUP(A16,'Ordem Turmas'!A:B,2,FALSE)</f>
        <v>15</v>
      </c>
      <c r="C16" s="54" t="s">
        <v>71</v>
      </c>
      <c r="D16" t="str">
        <f>VLOOKUP(A16,'Atividades e Projeto Notas'!A:H,2,FALSE)</f>
        <v>Raphael Fernandes Raymundo</v>
      </c>
      <c r="E16" s="49">
        <f>VLOOKUP(A16,'Atividades e Projeto Notas'!A:H,7,FALSE)</f>
        <v>10</v>
      </c>
      <c r="F16" s="49">
        <f>VLOOKUP(A16,'Atividades e Projeto Notas'!A:H,8,FALSE)</f>
        <v>9</v>
      </c>
      <c r="G16" s="49">
        <f>VLOOKUP(A16,'Nota P4 Lab'!C:E,3,FALSE)</f>
        <v>7.5</v>
      </c>
      <c r="H16" t="str">
        <f>VLOOKUP(A16,'Nota P4 Lab'!C:E,2,FALSE)</f>
        <v>Raphael Fernandes Raymundo</v>
      </c>
      <c r="I16" s="49">
        <v>2</v>
      </c>
      <c r="J16" s="49">
        <f>MROUND(G16+0.5*I16/6,0.5)</f>
        <v>7.5</v>
      </c>
    </row>
    <row r="17" spans="1:10" ht="15.75" x14ac:dyDescent="0.25">
      <c r="A17" s="53" t="s">
        <v>62</v>
      </c>
      <c r="B17" s="57">
        <f>VLOOKUP(A17,'Ordem Turmas'!A:B,2,FALSE)</f>
        <v>16</v>
      </c>
      <c r="C17" s="53" t="s">
        <v>63</v>
      </c>
      <c r="D17" t="str">
        <f>VLOOKUP(A17,'Atividades e Projeto Notas'!A:H,2,FALSE)</f>
        <v>Nicole Martins Fragnan</v>
      </c>
      <c r="E17" s="48">
        <f>VLOOKUP(A17,'Atividades e Projeto Notas'!A:H,7,FALSE)</f>
        <v>10</v>
      </c>
      <c r="F17" s="48">
        <f>VLOOKUP(A17,'Atividades e Projeto Notas'!A:H,8,FALSE)</f>
        <v>9</v>
      </c>
      <c r="G17" s="48">
        <f>VLOOKUP(A17,'Nota P4 Lab'!C:E,3,FALSE)</f>
        <v>7</v>
      </c>
      <c r="H17" t="str">
        <f>VLOOKUP(A17,'Nota P4 Lab'!C:E,2,FALSE)</f>
        <v>Nicole Martins Fragnan</v>
      </c>
      <c r="I17" s="48">
        <v>3.5</v>
      </c>
      <c r="J17" s="48">
        <f>MROUND(G17+0.5*I17/6,0.5)</f>
        <v>7.5</v>
      </c>
    </row>
    <row r="18" spans="1:10" ht="16.5" thickBot="1" x14ac:dyDescent="0.3">
      <c r="A18" s="55" t="s">
        <v>44</v>
      </c>
      <c r="B18" s="57">
        <f>VLOOKUP(A18,'Ordem Turmas'!A:B,2,FALSE)</f>
        <v>17</v>
      </c>
      <c r="C18" s="55" t="s">
        <v>394</v>
      </c>
      <c r="D18" t="str">
        <f>VLOOKUP(A18,'Atividades e Projeto Notas'!A:H,2,FALSE)</f>
        <v>joao pedro soares dos santos</v>
      </c>
      <c r="E18" s="48">
        <f>VLOOKUP(A18,'Atividades e Projeto Notas'!A:H,7,FALSE)</f>
        <v>10</v>
      </c>
      <c r="F18" s="48">
        <f>VLOOKUP(A18,'Atividades e Projeto Notas'!A:H,8,FALSE)</f>
        <v>7</v>
      </c>
      <c r="G18" s="48">
        <f>VLOOKUP(A18,'Nota P4 Lab'!C:E,3,FALSE)</f>
        <v>7.5</v>
      </c>
      <c r="H18" t="str">
        <f>VLOOKUP(A18,'Nota P4 Lab'!C:E,2,FALSE)</f>
        <v>Joao Pedro Soares dos Santos</v>
      </c>
      <c r="I18" s="48">
        <v>3</v>
      </c>
      <c r="J18" s="48">
        <f>MROUND(G18+0.5*I18/6,0.5)</f>
        <v>8</v>
      </c>
    </row>
    <row r="19" spans="1:10" ht="15.75" x14ac:dyDescent="0.25">
      <c r="A19" s="56" t="s">
        <v>68</v>
      </c>
      <c r="B19" s="57">
        <f>VLOOKUP(A19,'Ordem Turmas'!A:B,2,FALSE)</f>
        <v>18</v>
      </c>
      <c r="C19" s="56" t="s">
        <v>395</v>
      </c>
      <c r="D19" t="str">
        <f>VLOOKUP(A19,'Atividades e Projeto Notas'!A:H,2,FALSE)</f>
        <v>Rafael Rubio</v>
      </c>
      <c r="E19" s="48">
        <f>VLOOKUP(A19,'Atividades e Projeto Notas'!A:H,7,FALSE)</f>
        <v>10</v>
      </c>
      <c r="F19" s="48">
        <f>VLOOKUP(A19,'Atividades e Projeto Notas'!A:H,8,FALSE)</f>
        <v>10</v>
      </c>
      <c r="G19" s="48">
        <f>VLOOKUP(A19,'Nota P4 Lab'!C:E,3,FALSE)</f>
        <v>7</v>
      </c>
      <c r="H19" t="str">
        <f>VLOOKUP(A19,'Nota P4 Lab'!C:E,2,FALSE)</f>
        <v>Rafael Rubio</v>
      </c>
      <c r="I19" s="48">
        <v>1</v>
      </c>
      <c r="J19" s="48">
        <f>MROUND(G19+0.5*I19/6,0.5)</f>
        <v>7</v>
      </c>
    </row>
    <row r="20" spans="1:10" ht="15.75" x14ac:dyDescent="0.25">
      <c r="A20" s="53" t="s">
        <v>16</v>
      </c>
      <c r="B20" s="57">
        <f>VLOOKUP(A20,'Ordem Turmas'!A:B,2,FALSE)</f>
        <v>19</v>
      </c>
      <c r="C20" s="53" t="s">
        <v>17</v>
      </c>
      <c r="D20" t="str">
        <f>VLOOKUP(A20,'Atividades e Projeto Notas'!A:H,2,FALSE)</f>
        <v>Cesar Fukushima Kim Bresciani</v>
      </c>
      <c r="E20" s="48">
        <f>VLOOKUP(A20,'Atividades e Projeto Notas'!A:H,7,FALSE)</f>
        <v>10</v>
      </c>
      <c r="F20" s="48">
        <f>VLOOKUP(A20,'Atividades e Projeto Notas'!A:H,8,FALSE)</f>
        <v>9.5</v>
      </c>
      <c r="G20" s="48">
        <f>VLOOKUP(A20,'Nota P4 Lab'!C:E,3,FALSE)</f>
        <v>8</v>
      </c>
      <c r="H20" t="str">
        <f>VLOOKUP(A20,'Nota P4 Lab'!C:E,2,FALSE)</f>
        <v>Cesar Fukushima Kim Bresciani</v>
      </c>
      <c r="I20" s="48">
        <v>2</v>
      </c>
      <c r="J20" s="48">
        <f>MROUND(G20+0.5*I20/6,0.5)</f>
        <v>8</v>
      </c>
    </row>
    <row r="21" spans="1:10" ht="15.75" x14ac:dyDescent="0.25">
      <c r="A21" s="54" t="s">
        <v>4</v>
      </c>
      <c r="B21" s="58">
        <f>VLOOKUP(A21,'Ordem Turmas'!A:B,2,FALSE)</f>
        <v>20</v>
      </c>
      <c r="C21" s="54" t="s">
        <v>5</v>
      </c>
      <c r="D21" t="str">
        <f>VLOOKUP(A21,'Atividades e Projeto Notas'!A:H,2,FALSE)</f>
        <v>Antonio Macedo Ferrite</v>
      </c>
      <c r="E21" s="49">
        <f>VLOOKUP(A21,'Atividades e Projeto Notas'!A:H,7,FALSE)</f>
        <v>10</v>
      </c>
      <c r="F21" s="49">
        <f>VLOOKUP(A21,'Atividades e Projeto Notas'!A:H,8,FALSE)</f>
        <v>9.5</v>
      </c>
      <c r="G21" s="49">
        <f>VLOOKUP(A21,'Nota P4 Lab'!C:E,3,FALSE)</f>
        <v>7.5</v>
      </c>
      <c r="H21" t="str">
        <f>VLOOKUP(A21,'Nota P4 Lab'!C:E,2,FALSE)</f>
        <v>Antonio Macedo Ferrite</v>
      </c>
      <c r="I21" s="49">
        <v>1</v>
      </c>
      <c r="J21" s="49">
        <f>MROUND(G21+0.5*I21/6,0.5)</f>
        <v>7.5</v>
      </c>
    </row>
    <row r="22" spans="1:10" ht="15.75" x14ac:dyDescent="0.25">
      <c r="A22" s="53" t="s">
        <v>26</v>
      </c>
      <c r="B22" s="57">
        <f>VLOOKUP(A22,'Ordem Turmas'!A:B,2,FALSE)</f>
        <v>21</v>
      </c>
      <c r="C22" s="53" t="s">
        <v>27</v>
      </c>
      <c r="D22" t="str">
        <f>VLOOKUP(A22,'Atividades e Projeto Notas'!A:H,2,FALSE)</f>
        <v>Erick Eiji Nagao</v>
      </c>
      <c r="E22" s="48">
        <f>VLOOKUP(A22,'Atividades e Projeto Notas'!A:H,7,FALSE)</f>
        <v>10</v>
      </c>
      <c r="F22" s="48">
        <f>VLOOKUP(A22,'Atividades e Projeto Notas'!A:H,8,FALSE)</f>
        <v>9</v>
      </c>
      <c r="G22" s="48">
        <f>VLOOKUP(A22,'Nota P4 Lab'!C:E,3,FALSE)</f>
        <v>5.5</v>
      </c>
      <c r="H22" t="str">
        <f>VLOOKUP(A22,'Nota P4 Lab'!C:E,2,FALSE)</f>
        <v>Erick Eiji Nagao</v>
      </c>
      <c r="I22" s="48">
        <v>0</v>
      </c>
      <c r="J22" s="48">
        <f>MROUND(G22+0.5*I22/6,0.5)</f>
        <v>5.5</v>
      </c>
    </row>
    <row r="23" spans="1:10" ht="15.75" x14ac:dyDescent="0.25">
      <c r="A23" s="53" t="s">
        <v>72</v>
      </c>
      <c r="B23" s="57">
        <f>VLOOKUP(A23,'Ordem Turmas'!A:B,2,FALSE)</f>
        <v>22</v>
      </c>
      <c r="C23" s="53" t="s">
        <v>73</v>
      </c>
      <c r="D23" t="str">
        <f>VLOOKUP(A23,'Atividades e Projeto Notas'!A:H,2,FALSE)</f>
        <v>Ryuske Hideaki Sato</v>
      </c>
      <c r="E23" s="48">
        <f>VLOOKUP(A23,'Atividades e Projeto Notas'!A:H,7,FALSE)</f>
        <v>10</v>
      </c>
      <c r="F23" s="48">
        <f>VLOOKUP(A23,'Atividades e Projeto Notas'!A:H,8,FALSE)</f>
        <v>9</v>
      </c>
      <c r="G23" s="48">
        <f>VLOOKUP(A23,'Nota P4 Lab'!C:E,3,FALSE)</f>
        <v>7.5</v>
      </c>
      <c r="H23" t="str">
        <f>VLOOKUP(A23,'Nota P4 Lab'!C:E,2,FALSE)</f>
        <v>Ryuske Hideaki Sato</v>
      </c>
      <c r="I23" s="48">
        <v>0</v>
      </c>
      <c r="J23" s="48">
        <f>MROUND(G23+0.5*I23/6,0.5)</f>
        <v>7.5</v>
      </c>
    </row>
    <row r="24" spans="1:10" ht="15.75" x14ac:dyDescent="0.25">
      <c r="A24" s="53" t="s">
        <v>14</v>
      </c>
      <c r="B24" s="57">
        <f>VLOOKUP(A24,'Ordem Turmas'!A:B,2,FALSE)</f>
        <v>23</v>
      </c>
      <c r="C24" s="53" t="s">
        <v>396</v>
      </c>
      <c r="D24" t="str">
        <f>VLOOKUP(A24,'Atividades e Projeto Notas'!A:H,2,FALSE)</f>
        <v>Carlos Augusto Freire Maia de Oliveira</v>
      </c>
      <c r="E24" s="48">
        <f>VLOOKUP(A24,'Atividades e Projeto Notas'!A:H,7,FALSE)</f>
        <v>10</v>
      </c>
      <c r="F24" s="48">
        <f>VLOOKUP(A24,'Atividades e Projeto Notas'!A:H,8,FALSE)</f>
        <v>9.5</v>
      </c>
      <c r="G24" s="48">
        <f>VLOOKUP(A24,'Nota P4 Lab'!C:E,3,FALSE)</f>
        <v>8.5</v>
      </c>
      <c r="H24" t="str">
        <f>VLOOKUP(A24,'Nota P4 Lab'!C:E,2,FALSE)</f>
        <v>Carlos Augusto Freire Maia de Oliveira</v>
      </c>
      <c r="I24" s="48">
        <v>2</v>
      </c>
      <c r="J24" s="48">
        <f>MROUND(G24+0.5*I24/6,0.5)</f>
        <v>8.5</v>
      </c>
    </row>
    <row r="25" spans="1:10" ht="15.75" x14ac:dyDescent="0.25">
      <c r="A25" s="53" t="s">
        <v>64</v>
      </c>
      <c r="B25" s="57">
        <f>VLOOKUP(A25,'Ordem Turmas'!A:B,2,FALSE)</f>
        <v>24</v>
      </c>
      <c r="C25" s="53" t="s">
        <v>397</v>
      </c>
      <c r="D25" t="str">
        <f>VLOOKUP(A25,'Atividades e Projeto Notas'!A:H,2,FALSE)</f>
        <v>Pedro Henrique de Sousa Matumoto</v>
      </c>
      <c r="E25" s="48">
        <f>VLOOKUP(A25,'Atividades e Projeto Notas'!A:H,7,FALSE)</f>
        <v>10</v>
      </c>
      <c r="F25" s="48">
        <f>VLOOKUP(A25,'Atividades e Projeto Notas'!A:H,8,FALSE)</f>
        <v>10</v>
      </c>
      <c r="G25" s="48">
        <f>VLOOKUP(A25,'Nota P4 Lab'!C:E,3,FALSE)</f>
        <v>8</v>
      </c>
      <c r="H25" t="str">
        <f>VLOOKUP(A25,'Nota P4 Lab'!C:E,2,FALSE)</f>
        <v>Pedro Henrique de Sousa Matumoto</v>
      </c>
      <c r="I25" s="48">
        <v>5.5</v>
      </c>
      <c r="J25" s="48">
        <f>MROUND(G25+0.5*I25/6,0.5)</f>
        <v>8.5</v>
      </c>
    </row>
    <row r="26" spans="1:10" ht="15.75" x14ac:dyDescent="0.25">
      <c r="A26" s="54" t="s">
        <v>38</v>
      </c>
      <c r="B26" s="58">
        <f>VLOOKUP(A26,'Ordem Turmas'!A:B,2,FALSE)</f>
        <v>25</v>
      </c>
      <c r="C26" s="54" t="s">
        <v>398</v>
      </c>
      <c r="D26" t="str">
        <f>VLOOKUP(A26,'Atividades e Projeto Notas'!A:H,2,FALSE)</f>
        <v>Igor Improta</v>
      </c>
      <c r="E26" s="49">
        <f>VLOOKUP(A26,'Atividades e Projeto Notas'!A:H,7,FALSE)</f>
        <v>10</v>
      </c>
      <c r="F26" s="49">
        <f>VLOOKUP(A26,'Atividades e Projeto Notas'!A:H,8,FALSE)</f>
        <v>9</v>
      </c>
      <c r="G26" s="49">
        <f>VLOOKUP(A26,'Nota P4 Lab'!C:E,3,FALSE)</f>
        <v>8.5</v>
      </c>
      <c r="H26" t="str">
        <f>VLOOKUP(A26,'Nota P4 Lab'!C:E,2,FALSE)</f>
        <v>Igor Improta</v>
      </c>
      <c r="I26" s="49">
        <v>1</v>
      </c>
      <c r="J26" s="49">
        <f>MROUND(G26+0.5*I26/6,0.5)</f>
        <v>8.5</v>
      </c>
    </row>
    <row r="27" spans="1:10" ht="15.75" x14ac:dyDescent="0.25">
      <c r="A27" s="67" t="s">
        <v>10</v>
      </c>
      <c r="B27" s="68">
        <f>VLOOKUP(A27,'Ordem Turmas'!A:B,2,FALSE)</f>
        <v>26</v>
      </c>
      <c r="C27" s="67" t="s">
        <v>11</v>
      </c>
      <c r="D27" t="str">
        <f>VLOOKUP(A27,'Atividades e Projeto Notas'!A:H,2,FALSE)</f>
        <v>Caio Montes Correia</v>
      </c>
      <c r="E27" s="69">
        <f>VLOOKUP(A27,'Atividades e Projeto Notas'!A:H,7,FALSE)</f>
        <v>9</v>
      </c>
      <c r="F27" s="69">
        <f>VLOOKUP(A27,'Atividades e Projeto Notas'!A:H,8,FALSE)</f>
        <v>10</v>
      </c>
      <c r="G27" s="69">
        <f>VLOOKUP(A27,'Nota P4 Lab'!C:E,3,FALSE)</f>
        <v>8</v>
      </c>
      <c r="H27" t="str">
        <f>VLOOKUP(A27,'Nota P4 Lab'!C:E,2,FALSE)</f>
        <v>Caio Montes Correia</v>
      </c>
      <c r="I27" s="69">
        <v>2</v>
      </c>
      <c r="J27" s="69">
        <f>MROUND(G27+0.5*I27/6,0.5)</f>
        <v>8</v>
      </c>
    </row>
    <row r="28" spans="1:10" ht="15.75" x14ac:dyDescent="0.25">
      <c r="A28" s="53" t="s">
        <v>46</v>
      </c>
      <c r="B28" s="57">
        <f>VLOOKUP(A28,'Ordem Turmas'!A:B,2,FALSE)</f>
        <v>27</v>
      </c>
      <c r="C28" s="53" t="s">
        <v>399</v>
      </c>
      <c r="D28" t="str">
        <f>VLOOKUP(A28,'Atividades e Projeto Notas'!A:H,2,FALSE)</f>
        <v>João Vitor Choueri Branco</v>
      </c>
      <c r="E28" s="48">
        <f>VLOOKUP(A28,'Atividades e Projeto Notas'!A:H,7,FALSE)</f>
        <v>10</v>
      </c>
      <c r="F28" s="48">
        <f>VLOOKUP(A28,'Atividades e Projeto Notas'!A:H,8,FALSE)</f>
        <v>10</v>
      </c>
      <c r="G28" s="48">
        <f>VLOOKUP(A28,'Nota P4 Lab'!C:E,3,FALSE)</f>
        <v>6</v>
      </c>
      <c r="H28" t="str">
        <f>VLOOKUP(A28,'Nota P4 Lab'!C:E,2,FALSE)</f>
        <v>João Vitor Choueri Branco</v>
      </c>
      <c r="I28" s="48">
        <v>4.5</v>
      </c>
      <c r="J28" s="48">
        <f>MROUND(G28+0.5*I28/6,0.5)</f>
        <v>6.5</v>
      </c>
    </row>
    <row r="29" spans="1:10" ht="15.75" x14ac:dyDescent="0.25">
      <c r="A29" s="67" t="s">
        <v>30</v>
      </c>
      <c r="B29" s="68">
        <f>VLOOKUP(A29,'Ordem Turmas'!A:B,2,FALSE)</f>
        <v>28</v>
      </c>
      <c r="C29" s="67" t="s">
        <v>31</v>
      </c>
      <c r="D29" t="str">
        <f>VLOOKUP(A29,'Atividades e Projeto Notas'!A:H,2,FALSE)</f>
        <v>Flavio Murata</v>
      </c>
      <c r="E29" s="69">
        <f>VLOOKUP(A29,'Atividades e Projeto Notas'!A:H,7,FALSE)</f>
        <v>10</v>
      </c>
      <c r="F29" s="69">
        <f>VLOOKUP(A29,'Atividades e Projeto Notas'!A:H,8,FALSE)</f>
        <v>9</v>
      </c>
      <c r="G29" s="69">
        <f>VLOOKUP(A29,'Nota P4 Lab'!C:E,3,FALSE)</f>
        <v>7</v>
      </c>
      <c r="H29" t="str">
        <f>VLOOKUP(A29,'Nota P4 Lab'!C:E,2,FALSE)</f>
        <v>Flavio Murata</v>
      </c>
      <c r="I29" s="69">
        <v>1</v>
      </c>
      <c r="J29" s="69">
        <f>MROUND(G29+0.5*I29/6,0.5)</f>
        <v>7</v>
      </c>
    </row>
    <row r="30" spans="1:10" ht="15.75" x14ac:dyDescent="0.25">
      <c r="A30" s="67" t="s">
        <v>60</v>
      </c>
      <c r="B30" s="68">
        <f>VLOOKUP(A30,'Ordem Turmas'!A:B,2,FALSE)</f>
        <v>29</v>
      </c>
      <c r="C30" s="67" t="s">
        <v>93</v>
      </c>
      <c r="D30" t="str">
        <f>VLOOKUP(A30,'Atividades e Projeto Notas'!A:H,2,FALSE)</f>
        <v xml:space="preserve">Nathan Zanoni </v>
      </c>
      <c r="E30" s="69">
        <f>VLOOKUP(A30,'Atividades e Projeto Notas'!A:H,7,FALSE)</f>
        <v>10</v>
      </c>
      <c r="F30" s="69">
        <f>VLOOKUP(A30,'Atividades e Projeto Notas'!A:H,8,FALSE)</f>
        <v>7</v>
      </c>
      <c r="G30" s="69">
        <f>VLOOKUP(A30,'Nota P4 Lab'!C:E,3,FALSE)</f>
        <v>7</v>
      </c>
      <c r="H30" t="str">
        <f>VLOOKUP(A30,'Nota P4 Lab'!C:E,2,FALSE)</f>
        <v>Nathan Zanoni da Hora</v>
      </c>
      <c r="I30" s="69">
        <v>2</v>
      </c>
      <c r="J30" s="69">
        <f>MROUND(G30+0.5*I30/6,0.5)</f>
        <v>7</v>
      </c>
    </row>
    <row r="31" spans="1:10" ht="15.75" x14ac:dyDescent="0.25">
      <c r="A31" s="54" t="s">
        <v>74</v>
      </c>
      <c r="B31" s="58">
        <f>VLOOKUP(A31,'Ordem Turmas'!A:B,2,FALSE)</f>
        <v>30</v>
      </c>
      <c r="C31" s="54" t="s">
        <v>400</v>
      </c>
      <c r="D31" t="str">
        <f>VLOOKUP(A31,'Atividades e Projeto Notas'!A:H,2,FALSE)</f>
        <v>Vinícius de Oliveira Berti</v>
      </c>
      <c r="E31" s="49">
        <f>VLOOKUP(A31,'Atividades e Projeto Notas'!A:H,7,FALSE)</f>
        <v>10</v>
      </c>
      <c r="F31" s="49">
        <f>VLOOKUP(A31,'Atividades e Projeto Notas'!A:H,8,FALSE)</f>
        <v>9</v>
      </c>
      <c r="G31" s="49">
        <f>VLOOKUP(A31,'Nota P4 Lab'!C:E,3,FALSE)</f>
        <v>7</v>
      </c>
      <c r="H31" t="str">
        <f>VLOOKUP(A31,'Nota P4 Lab'!C:E,2,FALSE)</f>
        <v>Vinícius de Oliveira Berti</v>
      </c>
      <c r="I31" s="49">
        <v>3</v>
      </c>
      <c r="J31" s="49">
        <f>MROUND(G31+0.5*I31/6,0.5)</f>
        <v>7.5</v>
      </c>
    </row>
    <row r="32" spans="1:10" ht="15.75" x14ac:dyDescent="0.25">
      <c r="A32" s="67" t="s">
        <v>34</v>
      </c>
      <c r="B32" s="57">
        <f>VLOOKUP(A32,'Ordem Turmas'!A:B,2,FALSE)</f>
        <v>31</v>
      </c>
      <c r="C32" s="67" t="s">
        <v>35</v>
      </c>
      <c r="D32" t="str">
        <f>VLOOKUP(A32,'Atividades e Projeto Notas'!A:H,2,FALSE)</f>
        <v>Gabriel Henrique Baca Rado</v>
      </c>
      <c r="E32" s="48">
        <f>VLOOKUP(A32,'Atividades e Projeto Notas'!A:H,7,FALSE)</f>
        <v>10</v>
      </c>
      <c r="F32" s="48">
        <f>VLOOKUP(A32,'Atividades e Projeto Notas'!A:H,8,FALSE)</f>
        <v>9</v>
      </c>
      <c r="G32" s="48">
        <f>VLOOKUP(A32,'Nota P4 Lab'!C:E,3,FALSE)</f>
        <v>8</v>
      </c>
      <c r="H32" t="str">
        <f>VLOOKUP(A32,'Nota P4 Lab'!C:E,2,FALSE)</f>
        <v>Gabriel Henrique Baca Rado</v>
      </c>
      <c r="I32" s="48">
        <v>2</v>
      </c>
      <c r="J32" s="48">
        <f>MROUND(G32+0.5*I32/6,0.5)</f>
        <v>8</v>
      </c>
    </row>
    <row r="33" spans="1:10" ht="15.75" x14ac:dyDescent="0.25">
      <c r="A33" s="67" t="s">
        <v>36</v>
      </c>
      <c r="B33" s="57">
        <f>VLOOKUP(A33,'Ordem Turmas'!A:B,2,FALSE)</f>
        <v>32</v>
      </c>
      <c r="C33" s="67" t="s">
        <v>37</v>
      </c>
      <c r="D33" t="str">
        <f>VLOOKUP(A33,'Atividades e Projeto Notas'!A:H,2,FALSE)</f>
        <v>Gabriel Zendron Allievi</v>
      </c>
      <c r="E33" s="48">
        <f>VLOOKUP(A33,'Atividades e Projeto Notas'!A:H,7,FALSE)</f>
        <v>10</v>
      </c>
      <c r="F33" s="48">
        <f>VLOOKUP(A33,'Atividades e Projeto Notas'!A:H,8,FALSE)</f>
        <v>7</v>
      </c>
      <c r="G33" s="48">
        <f>VLOOKUP(A33,'Nota P4 Lab'!C:E,3,FALSE)</f>
        <v>8</v>
      </c>
      <c r="H33" t="str">
        <f>VLOOKUP(A33,'Nota P4 Lab'!C:E,2,FALSE)</f>
        <v>Gabriel Zendron Allievi</v>
      </c>
      <c r="I33" s="48">
        <v>2</v>
      </c>
      <c r="J33" s="48">
        <f>MROUND(G33+0.5*I33/6,0.5)</f>
        <v>8</v>
      </c>
    </row>
    <row r="34" spans="1:10" ht="15.75" x14ac:dyDescent="0.25">
      <c r="A34" s="67" t="s">
        <v>78</v>
      </c>
      <c r="B34" s="57">
        <f>VLOOKUP(A34,'Ordem Turmas'!A:B,2,FALSE)</f>
        <v>33</v>
      </c>
      <c r="C34" s="67" t="s">
        <v>401</v>
      </c>
      <c r="D34" t="str">
        <f>VLOOKUP(A34,'Atividades e Projeto Notas'!A:H,2,FALSE)</f>
        <v>Vitor Guirão Soller</v>
      </c>
      <c r="E34" s="48">
        <f>VLOOKUP(A34,'Atividades e Projeto Notas'!A:H,7,FALSE)</f>
        <v>10</v>
      </c>
      <c r="F34" s="48">
        <f>VLOOKUP(A34,'Atividades e Projeto Notas'!A:H,8,FALSE)</f>
        <v>10</v>
      </c>
      <c r="G34" s="48">
        <f>VLOOKUP(A34,'Nota P4 Lab'!C:E,3,FALSE)</f>
        <v>8</v>
      </c>
      <c r="H34" t="str">
        <f>VLOOKUP(A34,'Nota P4 Lab'!C:E,2,FALSE)</f>
        <v>Vitor Soller</v>
      </c>
      <c r="I34" s="48">
        <v>3.5</v>
      </c>
      <c r="J34" s="48">
        <f>MROUND(G34+0.5*I34/6,0.5)</f>
        <v>8.5</v>
      </c>
    </row>
    <row r="35" spans="1:10" ht="15.75" x14ac:dyDescent="0.25">
      <c r="A35" s="53" t="s">
        <v>20</v>
      </c>
      <c r="B35" s="57">
        <f>VLOOKUP(A35,'Ordem Turmas'!A:B,2,FALSE)</f>
        <v>34</v>
      </c>
      <c r="C35" s="53" t="s">
        <v>402</v>
      </c>
      <c r="D35" t="str">
        <f>VLOOKUP(A35,'Atividades e Projeto Notas'!A:H,2,FALSE)</f>
        <v>Enzo Moura</v>
      </c>
      <c r="E35" s="48">
        <f>VLOOKUP(A35,'Atividades e Projeto Notas'!A:H,7,FALSE)</f>
        <v>10</v>
      </c>
      <c r="F35" s="48">
        <f>VLOOKUP(A35,'Atividades e Projeto Notas'!A:H,8,FALSE)</f>
        <v>9.5</v>
      </c>
      <c r="G35" s="48">
        <f>VLOOKUP(A35,'Nota P4 Lab'!C:E,3,FALSE)</f>
        <v>8.5</v>
      </c>
      <c r="H35" t="str">
        <f>VLOOKUP(A35,'Nota P4 Lab'!C:E,2,FALSE)</f>
        <v>Enzo Moura</v>
      </c>
      <c r="I35" s="48">
        <v>2.5</v>
      </c>
      <c r="J35" s="48">
        <f>MROUND(G35+0.5*I35/6,0.5)</f>
        <v>8.5</v>
      </c>
    </row>
    <row r="36" spans="1:10" ht="15.75" x14ac:dyDescent="0.25">
      <c r="A36" s="54" t="s">
        <v>42</v>
      </c>
      <c r="B36" s="58">
        <f>VLOOKUP(A36,'Ordem Turmas'!A:B,2,FALSE)</f>
        <v>35</v>
      </c>
      <c r="C36" s="54" t="s">
        <v>403</v>
      </c>
      <c r="D36" t="str">
        <f>VLOOKUP(A36,'Atividades e Projeto Notas'!A:H,2,FALSE)</f>
        <v>João Paulo de Souza Rodrigues</v>
      </c>
      <c r="E36" s="49">
        <f>VLOOKUP(A36,'Atividades e Projeto Notas'!A:H,7,FALSE)</f>
        <v>10</v>
      </c>
      <c r="F36" s="49">
        <f>VLOOKUP(A36,'Atividades e Projeto Notas'!A:H,8,FALSE)</f>
        <v>7</v>
      </c>
      <c r="G36" s="49">
        <f>VLOOKUP(A36,'Nota P4 Lab'!C:E,3,FALSE)</f>
        <v>8</v>
      </c>
      <c r="H36" t="str">
        <f>VLOOKUP(A36,'Nota P4 Lab'!C:E,2,FALSE)</f>
        <v>João Paulo de Souza Rodrigues</v>
      </c>
      <c r="I36" s="49">
        <v>2</v>
      </c>
      <c r="J36" s="49">
        <f>MROUND(G36+0.5*I36/6,0.5)</f>
        <v>8</v>
      </c>
    </row>
    <row r="37" spans="1:10" ht="15.75" x14ac:dyDescent="0.25">
      <c r="A37" s="53" t="s">
        <v>2</v>
      </c>
      <c r="B37" s="57">
        <f>VLOOKUP(A37,'Ordem Turmas'!A:B,2,FALSE)</f>
        <v>36</v>
      </c>
      <c r="C37" s="53" t="s">
        <v>96</v>
      </c>
      <c r="D37" t="str">
        <f>VLOOKUP(A37,'Atividades e Projeto Notas'!A:H,2,FALSE)</f>
        <v>André Soares</v>
      </c>
      <c r="E37" s="48">
        <f>VLOOKUP(A37,'Atividades e Projeto Notas'!A:H,7,FALSE)</f>
        <v>9</v>
      </c>
      <c r="F37" s="48">
        <f>VLOOKUP(A37,'Atividades e Projeto Notas'!A:H,8,FALSE)</f>
        <v>10</v>
      </c>
      <c r="G37" s="48">
        <f>VLOOKUP(A37,'Nota P4 Lab'!C:E,3,FALSE)</f>
        <v>7</v>
      </c>
      <c r="H37" t="str">
        <f>VLOOKUP(A37,'Nota P4 Lab'!C:E,2,FALSE)</f>
        <v>André Lucas Gois Soares</v>
      </c>
      <c r="I37" s="48">
        <v>1</v>
      </c>
      <c r="J37" s="48">
        <f>MROUND(G37+0.5*I37/6,0.5)</f>
        <v>7</v>
      </c>
    </row>
    <row r="38" spans="1:10" ht="15.75" x14ac:dyDescent="0.25">
      <c r="A38" s="53" t="s">
        <v>48</v>
      </c>
      <c r="B38" s="57">
        <f>VLOOKUP(A38,'Ordem Turmas'!A:B,2,FALSE)</f>
        <v>37</v>
      </c>
      <c r="C38" s="53" t="s">
        <v>404</v>
      </c>
      <c r="D38" t="str">
        <f>VLOOKUP(A38,'Atividades e Projeto Notas'!A:H,2,FALSE)</f>
        <v>Júlia Galhardi Cerqueira</v>
      </c>
      <c r="E38" s="48">
        <f>VLOOKUP(A38,'Atividades e Projeto Notas'!A:H,7,FALSE)</f>
        <v>10</v>
      </c>
      <c r="F38" s="48">
        <f>VLOOKUP(A38,'Atividades e Projeto Notas'!A:H,8,FALSE)</f>
        <v>10</v>
      </c>
      <c r="G38" s="48">
        <f>VLOOKUP(A38,'Nota P4 Lab'!C:E,3,FALSE)</f>
        <v>8</v>
      </c>
      <c r="H38" t="str">
        <f>VLOOKUP(A38,'Nota P4 Lab'!C:E,2,FALSE)</f>
        <v>Júlia Galhardi Cerqueira</v>
      </c>
      <c r="I38" s="48">
        <v>1</v>
      </c>
      <c r="J38" s="48">
        <f>MROUND(G38+0.5*I38/6,0.5)</f>
        <v>8</v>
      </c>
    </row>
    <row r="39" spans="1:10" ht="15.75" x14ac:dyDescent="0.25">
      <c r="A39" s="53" t="s">
        <v>66</v>
      </c>
      <c r="B39" s="57">
        <f>VLOOKUP(A39,'Ordem Turmas'!A:B,2,FALSE)</f>
        <v>38</v>
      </c>
      <c r="C39" s="53" t="s">
        <v>405</v>
      </c>
      <c r="D39" t="str">
        <f>VLOOKUP(A39,'Atividades e Projeto Notas'!A:H,2,FALSE)</f>
        <v>Pedro Mesquita</v>
      </c>
      <c r="E39" s="48">
        <f>VLOOKUP(A39,'Atividades e Projeto Notas'!A:H,7,FALSE)</f>
        <v>9</v>
      </c>
      <c r="F39" s="48">
        <f>VLOOKUP(A39,'Atividades e Projeto Notas'!A:H,8,FALSE)</f>
        <v>10</v>
      </c>
      <c r="G39" s="48">
        <f>VLOOKUP(A39,'Nota P4 Lab'!C:E,3,FALSE)</f>
        <v>7.5</v>
      </c>
      <c r="H39" t="str">
        <f>VLOOKUP(A39,'Nota P4 Lab'!C:E,2,FALSE)</f>
        <v>Pedro Mesquita</v>
      </c>
      <c r="I39" s="48">
        <v>0</v>
      </c>
      <c r="J39" s="48">
        <f>MROUND(G39+0.5*I39/6,0.5)</f>
        <v>7.5</v>
      </c>
    </row>
    <row r="40" spans="1:10" ht="16.5" thickBot="1" x14ac:dyDescent="0.3">
      <c r="A40" s="55" t="s">
        <v>22</v>
      </c>
      <c r="B40" s="68">
        <f>VLOOKUP(A40,'Ordem Turmas'!A:B,2,FALSE)</f>
        <v>39</v>
      </c>
      <c r="C40" s="55" t="s">
        <v>406</v>
      </c>
      <c r="D40" t="str">
        <f>VLOOKUP(A40,'Atividades e Projeto Notas'!A:H,2,FALSE)</f>
        <v>Enzo Pucci</v>
      </c>
      <c r="E40" s="69">
        <f>VLOOKUP(A40,'Atividades e Projeto Notas'!A:H,7,FALSE)</f>
        <v>9</v>
      </c>
      <c r="F40" s="69">
        <f>VLOOKUP(A40,'Atividades e Projeto Notas'!A:H,8,FALSE)</f>
        <v>10</v>
      </c>
      <c r="G40" s="69">
        <f>VLOOKUP(A40,'Nota P4 Lab'!C:E,3,FALSE)</f>
        <v>5.5</v>
      </c>
      <c r="H40" t="str">
        <f>VLOOKUP(A40,'Nota P4 Lab'!C:E,2,FALSE)</f>
        <v>Enzo Pucci</v>
      </c>
      <c r="I40" s="69">
        <v>2</v>
      </c>
      <c r="J40" s="69">
        <f>MROUND(G40+0.5*I40/6,0.5)</f>
        <v>5.5</v>
      </c>
    </row>
    <row r="41" spans="1:10" ht="15.75" x14ac:dyDescent="0.25">
      <c r="A41" s="63"/>
      <c r="C41" s="62" t="s">
        <v>415</v>
      </c>
      <c r="E41" s="59">
        <f>AVERAGE(E2:E40)</f>
        <v>9.8333333333333339</v>
      </c>
      <c r="F41" s="59">
        <f>AVERAGE(F2:F40)</f>
        <v>8.5256410256410255</v>
      </c>
      <c r="G41" s="60"/>
      <c r="H41" s="61"/>
      <c r="I41" s="59"/>
      <c r="J41" s="59">
        <f>AVERAGE(J2:J40)</f>
        <v>7.4487179487179489</v>
      </c>
    </row>
  </sheetData>
  <autoFilter ref="A1:J41" xr:uid="{818CD158-1B73-4F14-A6FD-DD612C880081}">
    <sortState xmlns:xlrd2="http://schemas.microsoft.com/office/spreadsheetml/2017/richdata2" ref="A2:J41">
      <sortCondition ref="B1:B4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5A833-7875-4AB2-92CB-98D4939209E9}">
  <dimension ref="A1:V40"/>
  <sheetViews>
    <sheetView workbookViewId="0">
      <selection activeCell="G45" sqref="G45"/>
    </sheetView>
  </sheetViews>
  <sheetFormatPr defaultRowHeight="15" x14ac:dyDescent="0.25"/>
  <cols>
    <col min="6" max="6" width="9.140625" style="47"/>
    <col min="8" max="8" width="24" customWidth="1"/>
    <col min="9" max="9" width="19.5703125" customWidth="1"/>
    <col min="13" max="19" width="9.140625" style="5"/>
  </cols>
  <sheetData>
    <row r="1" spans="1:22" x14ac:dyDescent="0.25">
      <c r="A1" s="39" t="s">
        <v>145</v>
      </c>
      <c r="B1" s="39" t="s">
        <v>146</v>
      </c>
      <c r="C1" s="39" t="s">
        <v>0</v>
      </c>
      <c r="D1" s="39" t="s">
        <v>1</v>
      </c>
      <c r="E1" s="45" t="s">
        <v>388</v>
      </c>
      <c r="F1" s="39" t="s">
        <v>147</v>
      </c>
      <c r="G1" s="39" t="s">
        <v>148</v>
      </c>
      <c r="H1" s="39" t="s">
        <v>149</v>
      </c>
      <c r="I1" s="39" t="s">
        <v>150</v>
      </c>
      <c r="J1" s="39" t="s">
        <v>151</v>
      </c>
      <c r="K1" s="39" t="s">
        <v>152</v>
      </c>
      <c r="L1" s="40" t="s">
        <v>361</v>
      </c>
      <c r="M1" s="40" t="s">
        <v>358</v>
      </c>
      <c r="N1" s="40" t="s">
        <v>385</v>
      </c>
      <c r="O1" s="40" t="s">
        <v>359</v>
      </c>
      <c r="P1" s="40" t="s">
        <v>386</v>
      </c>
      <c r="Q1" s="41" t="s">
        <v>360</v>
      </c>
      <c r="R1" s="40" t="s">
        <v>387</v>
      </c>
      <c r="S1" t="s">
        <v>99</v>
      </c>
    </row>
    <row r="2" spans="1:22" x14ac:dyDescent="0.25">
      <c r="A2" s="33">
        <v>45980.757215185185</v>
      </c>
      <c r="B2" s="34" t="s">
        <v>201</v>
      </c>
      <c r="C2" s="34" t="s">
        <v>2</v>
      </c>
      <c r="D2" s="34" t="s">
        <v>202</v>
      </c>
      <c r="E2" s="46">
        <f>(Form_Responses[[#This Row],[Ex1 1a parte]]+Form_Responses[[#This Row],[Ex1 2a parte]]+Form_Responses[[#This Row],[Ex2]]+Form_Responses[[#This Row],[Ex3]])</f>
        <v>7</v>
      </c>
      <c r="F2" s="34">
        <v>438</v>
      </c>
      <c r="G2" s="34" t="s">
        <v>181</v>
      </c>
      <c r="H2" s="34" t="s">
        <v>203</v>
      </c>
      <c r="I2" s="36">
        <v>2444</v>
      </c>
      <c r="J2" s="34" t="s">
        <v>204</v>
      </c>
      <c r="K2" s="35" t="s">
        <v>205</v>
      </c>
      <c r="L2" s="5">
        <v>2</v>
      </c>
      <c r="M2" s="5">
        <v>2.5</v>
      </c>
      <c r="N2" t="s">
        <v>362</v>
      </c>
      <c r="O2" s="5">
        <v>2.5</v>
      </c>
      <c r="P2" t="s">
        <v>363</v>
      </c>
      <c r="Q2" s="5">
        <v>0</v>
      </c>
      <c r="R2"/>
      <c r="S2" t="s">
        <v>99</v>
      </c>
    </row>
    <row r="3" spans="1:22" x14ac:dyDescent="0.25">
      <c r="A3" s="33">
        <v>45980.750177465277</v>
      </c>
      <c r="B3" s="34" t="s">
        <v>159</v>
      </c>
      <c r="C3" s="34" t="s">
        <v>4</v>
      </c>
      <c r="D3" s="34" t="s">
        <v>5</v>
      </c>
      <c r="E3" s="46">
        <f>(Form_Responses[[#This Row],[Ex1 1a parte]]+Form_Responses[[#This Row],[Ex1 2a parte]]+Form_Responses[[#This Row],[Ex2]]+Form_Responses[[#This Row],[Ex3]])</f>
        <v>7.5</v>
      </c>
      <c r="F3" s="34">
        <v>446</v>
      </c>
      <c r="G3" s="34" t="s">
        <v>160</v>
      </c>
      <c r="H3" s="34" t="s">
        <v>161</v>
      </c>
      <c r="I3" s="34">
        <v>0.56399999999999995</v>
      </c>
      <c r="J3" s="34" t="s">
        <v>162</v>
      </c>
      <c r="K3" s="35" t="s">
        <v>163</v>
      </c>
      <c r="L3" s="5">
        <v>2.5</v>
      </c>
      <c r="M3" s="5">
        <v>2.5</v>
      </c>
      <c r="N3" t="s">
        <v>99</v>
      </c>
      <c r="O3" s="5">
        <v>2.5</v>
      </c>
      <c r="P3" t="s">
        <v>363</v>
      </c>
      <c r="Q3" s="5">
        <v>0</v>
      </c>
      <c r="R3"/>
      <c r="S3" t="s">
        <v>99</v>
      </c>
    </row>
    <row r="4" spans="1:22" x14ac:dyDescent="0.25">
      <c r="A4" s="33">
        <v>45980.764785659718</v>
      </c>
      <c r="B4" s="34" t="s">
        <v>309</v>
      </c>
      <c r="C4" s="34" t="s">
        <v>6</v>
      </c>
      <c r="D4" s="34" t="s">
        <v>7</v>
      </c>
      <c r="E4" s="46">
        <f>(Form_Responses[[#This Row],[Ex1 1a parte]]+Form_Responses[[#This Row],[Ex1 2a parte]]+Form_Responses[[#This Row],[Ex2]]+Form_Responses[[#This Row],[Ex3]])</f>
        <v>8.5</v>
      </c>
      <c r="F4" s="34">
        <v>300</v>
      </c>
      <c r="G4" s="34" t="s">
        <v>310</v>
      </c>
      <c r="H4" s="34" t="s">
        <v>311</v>
      </c>
      <c r="I4" s="36">
        <v>3974</v>
      </c>
      <c r="J4" s="34" t="s">
        <v>312</v>
      </c>
      <c r="K4" s="35" t="s">
        <v>313</v>
      </c>
      <c r="L4" s="5">
        <v>2.5</v>
      </c>
      <c r="M4" s="5">
        <v>2.5</v>
      </c>
      <c r="N4" t="s">
        <v>99</v>
      </c>
      <c r="O4" s="5">
        <v>3</v>
      </c>
      <c r="P4" t="s">
        <v>99</v>
      </c>
      <c r="Q4" s="5">
        <v>0.5</v>
      </c>
      <c r="R4" t="s">
        <v>365</v>
      </c>
      <c r="S4" t="s">
        <v>99</v>
      </c>
    </row>
    <row r="5" spans="1:22" x14ac:dyDescent="0.25">
      <c r="A5" s="33">
        <v>45980.76694173611</v>
      </c>
      <c r="B5" s="34" t="s">
        <v>335</v>
      </c>
      <c r="C5" s="34" t="s">
        <v>8</v>
      </c>
      <c r="D5" s="34" t="s">
        <v>9</v>
      </c>
      <c r="E5" s="46">
        <f>(Form_Responses[[#This Row],[Ex1 1a parte]]+Form_Responses[[#This Row],[Ex1 2a parte]]+Form_Responses[[#This Row],[Ex2]]+Form_Responses[[#This Row],[Ex3]])</f>
        <v>8</v>
      </c>
      <c r="F5" s="34">
        <v>443</v>
      </c>
      <c r="G5" s="34" t="s">
        <v>336</v>
      </c>
      <c r="H5" s="38" t="s">
        <v>337</v>
      </c>
      <c r="I5" s="36">
        <v>379</v>
      </c>
      <c r="J5" s="34" t="s">
        <v>338</v>
      </c>
      <c r="K5" s="35" t="s">
        <v>339</v>
      </c>
      <c r="L5" s="5">
        <v>2.5</v>
      </c>
      <c r="M5" s="5">
        <v>2.5</v>
      </c>
      <c r="N5" t="s">
        <v>99</v>
      </c>
      <c r="O5" s="5">
        <v>2.5</v>
      </c>
      <c r="P5" t="s">
        <v>364</v>
      </c>
      <c r="Q5" s="5">
        <v>0.5</v>
      </c>
      <c r="R5" t="s">
        <v>365</v>
      </c>
      <c r="S5" t="s">
        <v>99</v>
      </c>
    </row>
    <row r="6" spans="1:22" x14ac:dyDescent="0.25">
      <c r="A6" s="33">
        <v>45980.761417523143</v>
      </c>
      <c r="B6" s="34" t="s">
        <v>261</v>
      </c>
      <c r="C6" s="34" t="s">
        <v>10</v>
      </c>
      <c r="D6" s="34" t="s">
        <v>11</v>
      </c>
      <c r="E6" s="46">
        <f>(Form_Responses[[#This Row],[Ex1 1a parte]]+Form_Responses[[#This Row],[Ex1 2a parte]]+Form_Responses[[#This Row],[Ex2]]+Form_Responses[[#This Row],[Ex3]])</f>
        <v>8</v>
      </c>
      <c r="F6" s="34">
        <v>495</v>
      </c>
      <c r="G6" s="34" t="s">
        <v>262</v>
      </c>
      <c r="H6" s="34" t="s">
        <v>263</v>
      </c>
      <c r="I6" s="36">
        <v>5516</v>
      </c>
      <c r="J6" s="34" t="s">
        <v>264</v>
      </c>
      <c r="K6" s="35" t="s">
        <v>265</v>
      </c>
      <c r="L6" s="5">
        <v>2.5</v>
      </c>
      <c r="M6" s="5">
        <v>2.5</v>
      </c>
      <c r="N6" t="s">
        <v>99</v>
      </c>
      <c r="O6" s="5">
        <v>2.5</v>
      </c>
      <c r="P6" t="s">
        <v>364</v>
      </c>
      <c r="Q6" s="5">
        <v>0.5</v>
      </c>
      <c r="R6" t="s">
        <v>365</v>
      </c>
      <c r="S6" t="s">
        <v>99</v>
      </c>
    </row>
    <row r="7" spans="1:22" x14ac:dyDescent="0.25">
      <c r="A7" s="33">
        <v>45980.757592789349</v>
      </c>
      <c r="B7" s="34" t="s">
        <v>211</v>
      </c>
      <c r="C7" s="34" t="s">
        <v>12</v>
      </c>
      <c r="D7" s="34" t="s">
        <v>13</v>
      </c>
      <c r="E7" s="46">
        <f>(Form_Responses[[#This Row],[Ex1 1a parte]]+Form_Responses[[#This Row],[Ex1 2a parte]]+Form_Responses[[#This Row],[Ex2]]+Form_Responses[[#This Row],[Ex3]])</f>
        <v>7</v>
      </c>
      <c r="F7" s="34">
        <v>1</v>
      </c>
      <c r="G7" s="34" t="s">
        <v>212</v>
      </c>
      <c r="H7" s="34" t="s">
        <v>213</v>
      </c>
      <c r="I7" s="34" t="s">
        <v>214</v>
      </c>
      <c r="J7" s="34" t="s">
        <v>215</v>
      </c>
      <c r="K7" s="35" t="s">
        <v>216</v>
      </c>
      <c r="L7" s="5">
        <v>2.5</v>
      </c>
      <c r="M7" s="5">
        <v>2</v>
      </c>
      <c r="N7" t="s">
        <v>366</v>
      </c>
      <c r="O7" s="5">
        <v>2</v>
      </c>
      <c r="P7" t="s">
        <v>367</v>
      </c>
      <c r="Q7" s="5">
        <v>0.5</v>
      </c>
      <c r="R7" t="s">
        <v>365</v>
      </c>
      <c r="S7" t="s">
        <v>99</v>
      </c>
    </row>
    <row r="8" spans="1:22" x14ac:dyDescent="0.25">
      <c r="A8" s="33">
        <v>45980.756381851854</v>
      </c>
      <c r="B8" s="34" t="s">
        <v>196</v>
      </c>
      <c r="C8" s="34" t="s">
        <v>14</v>
      </c>
      <c r="D8" s="34" t="s">
        <v>15</v>
      </c>
      <c r="E8" s="46">
        <f>(Form_Responses[[#This Row],[Ex1 1a parte]]+Form_Responses[[#This Row],[Ex1 2a parte]]+Form_Responses[[#This Row],[Ex2]]+Form_Responses[[#This Row],[Ex3]])</f>
        <v>8.5</v>
      </c>
      <c r="F8" s="34">
        <v>446</v>
      </c>
      <c r="G8" s="34" t="s">
        <v>197</v>
      </c>
      <c r="H8" s="34" t="s">
        <v>198</v>
      </c>
      <c r="I8" s="36">
        <v>3352</v>
      </c>
      <c r="J8" s="34" t="s">
        <v>199</v>
      </c>
      <c r="K8" s="35" t="s">
        <v>200</v>
      </c>
      <c r="L8" s="5">
        <v>2.5</v>
      </c>
      <c r="M8" s="5">
        <v>2.5</v>
      </c>
      <c r="N8" t="s">
        <v>99</v>
      </c>
      <c r="O8" s="5">
        <v>3</v>
      </c>
      <c r="P8" t="s">
        <v>99</v>
      </c>
      <c r="Q8" s="5">
        <v>0.5</v>
      </c>
      <c r="R8" t="s">
        <v>365</v>
      </c>
      <c r="S8" t="s">
        <v>99</v>
      </c>
    </row>
    <row r="9" spans="1:22" x14ac:dyDescent="0.25">
      <c r="A9" s="33">
        <v>45980.761026030093</v>
      </c>
      <c r="B9" s="34" t="s">
        <v>256</v>
      </c>
      <c r="C9" s="34" t="s">
        <v>16</v>
      </c>
      <c r="D9" s="34" t="s">
        <v>17</v>
      </c>
      <c r="E9" s="46">
        <f>(Form_Responses[[#This Row],[Ex1 1a parte]]+Form_Responses[[#This Row],[Ex1 2a parte]]+Form_Responses[[#This Row],[Ex2]]+Form_Responses[[#This Row],[Ex3]])</f>
        <v>8</v>
      </c>
      <c r="F9" s="34">
        <v>446</v>
      </c>
      <c r="G9" s="34" t="s">
        <v>257</v>
      </c>
      <c r="H9" s="34" t="s">
        <v>258</v>
      </c>
      <c r="I9" s="37">
        <v>0.64</v>
      </c>
      <c r="J9" s="34" t="s">
        <v>259</v>
      </c>
      <c r="K9" s="35" t="s">
        <v>260</v>
      </c>
      <c r="L9" s="5">
        <v>2.5</v>
      </c>
      <c r="M9" s="5">
        <v>2.5</v>
      </c>
      <c r="N9" t="s">
        <v>99</v>
      </c>
      <c r="O9" s="5">
        <v>2.5</v>
      </c>
      <c r="P9" t="s">
        <v>371</v>
      </c>
      <c r="Q9" s="5">
        <v>0.5</v>
      </c>
      <c r="R9" t="s">
        <v>365</v>
      </c>
      <c r="S9" t="s">
        <v>99</v>
      </c>
    </row>
    <row r="10" spans="1:22" x14ac:dyDescent="0.25">
      <c r="A10" s="33">
        <v>45980.766442731481</v>
      </c>
      <c r="B10" s="34" t="s">
        <v>324</v>
      </c>
      <c r="C10" s="34" t="s">
        <v>18</v>
      </c>
      <c r="D10" s="34" t="s">
        <v>19</v>
      </c>
      <c r="E10" s="46">
        <f>(Form_Responses[[#This Row],[Ex1 1a parte]]+Form_Responses[[#This Row],[Ex1 2a parte]]+Form_Responses[[#This Row],[Ex2]]+Form_Responses[[#This Row],[Ex3]])</f>
        <v>8</v>
      </c>
      <c r="F10" s="34">
        <v>454</v>
      </c>
      <c r="G10" s="34" t="s">
        <v>325</v>
      </c>
      <c r="H10" s="34" t="s">
        <v>326</v>
      </c>
      <c r="I10" s="36">
        <v>5555</v>
      </c>
      <c r="J10" s="34" t="s">
        <v>327</v>
      </c>
      <c r="K10" s="35" t="s">
        <v>328</v>
      </c>
      <c r="L10" s="44">
        <v>2.5</v>
      </c>
      <c r="M10" s="44">
        <v>2.5</v>
      </c>
      <c r="N10" s="3" t="s">
        <v>368</v>
      </c>
      <c r="O10" s="44">
        <v>2.5</v>
      </c>
      <c r="P10" s="3" t="s">
        <v>368</v>
      </c>
      <c r="Q10" s="44">
        <v>0.5</v>
      </c>
      <c r="R10" t="s">
        <v>365</v>
      </c>
      <c r="S10" t="s">
        <v>99</v>
      </c>
    </row>
    <row r="11" spans="1:22" x14ac:dyDescent="0.25">
      <c r="A11" s="33">
        <v>45980.764490810187</v>
      </c>
      <c r="B11" s="34" t="s">
        <v>298</v>
      </c>
      <c r="C11" s="34" t="s">
        <v>20</v>
      </c>
      <c r="D11" s="34" t="s">
        <v>21</v>
      </c>
      <c r="E11" s="46">
        <f>(Form_Responses[[#This Row],[Ex1 1a parte]]+Form_Responses[[#This Row],[Ex1 2a parte]]+Form_Responses[[#This Row],[Ex2]]+Form_Responses[[#This Row],[Ex3]])</f>
        <v>8.5</v>
      </c>
      <c r="F11" s="34">
        <v>446</v>
      </c>
      <c r="G11" s="34" t="s">
        <v>299</v>
      </c>
      <c r="H11" s="34" t="s">
        <v>300</v>
      </c>
      <c r="I11" s="36">
        <v>640</v>
      </c>
      <c r="J11" s="34" t="s">
        <v>301</v>
      </c>
      <c r="K11" s="35" t="s">
        <v>302</v>
      </c>
      <c r="L11" s="5">
        <v>2.5</v>
      </c>
      <c r="M11" s="5">
        <v>2.5</v>
      </c>
      <c r="N11" t="s">
        <v>99</v>
      </c>
      <c r="O11" s="5">
        <v>3</v>
      </c>
      <c r="P11" t="s">
        <v>99</v>
      </c>
      <c r="Q11" s="5">
        <v>0.5</v>
      </c>
      <c r="R11" t="s">
        <v>365</v>
      </c>
      <c r="S11" t="s">
        <v>99</v>
      </c>
      <c r="T11" s="42"/>
      <c r="U11" s="42"/>
      <c r="V11" s="43"/>
    </row>
    <row r="12" spans="1:22" x14ac:dyDescent="0.25">
      <c r="A12" s="33">
        <v>45980.764758287041</v>
      </c>
      <c r="B12" s="34" t="s">
        <v>303</v>
      </c>
      <c r="C12" s="34" t="s">
        <v>22</v>
      </c>
      <c r="D12" s="34" t="s">
        <v>23</v>
      </c>
      <c r="E12" s="46">
        <f>(Form_Responses[[#This Row],[Ex1 1a parte]]+Form_Responses[[#This Row],[Ex1 2a parte]]+Form_Responses[[#This Row],[Ex2]]+Form_Responses[[#This Row],[Ex3]])</f>
        <v>5.5</v>
      </c>
      <c r="F12" s="34">
        <v>1</v>
      </c>
      <c r="G12" s="34" t="s">
        <v>304</v>
      </c>
      <c r="H12" s="34" t="s">
        <v>305</v>
      </c>
      <c r="I12" s="34" t="s">
        <v>306</v>
      </c>
      <c r="J12" s="34" t="s">
        <v>307</v>
      </c>
      <c r="K12" s="35" t="s">
        <v>308</v>
      </c>
      <c r="L12" s="5">
        <v>1</v>
      </c>
      <c r="M12" s="5">
        <v>2.5</v>
      </c>
      <c r="N12" t="s">
        <v>369</v>
      </c>
      <c r="O12" s="5">
        <v>1.5</v>
      </c>
      <c r="P12" t="s">
        <v>370</v>
      </c>
      <c r="Q12" s="5">
        <v>0.5</v>
      </c>
      <c r="R12" t="s">
        <v>365</v>
      </c>
      <c r="S12" t="s">
        <v>99</v>
      </c>
    </row>
    <row r="13" spans="1:22" x14ac:dyDescent="0.25">
      <c r="A13" s="33">
        <v>45980.768177557868</v>
      </c>
      <c r="B13" s="34" t="s">
        <v>344</v>
      </c>
      <c r="C13" s="34" t="s">
        <v>24</v>
      </c>
      <c r="D13" s="34" t="s">
        <v>25</v>
      </c>
      <c r="E13" s="46">
        <f>(Form_Responses[[#This Row],[Ex1 1a parte]]+Form_Responses[[#This Row],[Ex1 2a parte]]+Form_Responses[[#This Row],[Ex2]]+Form_Responses[[#This Row],[Ex3]])</f>
        <v>8</v>
      </c>
      <c r="F13" s="34">
        <v>446</v>
      </c>
      <c r="G13" s="34" t="s">
        <v>345</v>
      </c>
      <c r="H13" s="34" t="s">
        <v>311</v>
      </c>
      <c r="I13" s="36">
        <v>685</v>
      </c>
      <c r="J13" s="34" t="s">
        <v>346</v>
      </c>
      <c r="K13" s="35" t="s">
        <v>347</v>
      </c>
      <c r="L13" s="5">
        <v>2.5</v>
      </c>
      <c r="M13" s="5">
        <v>2.5</v>
      </c>
      <c r="N13" t="s">
        <v>99</v>
      </c>
      <c r="O13" s="5">
        <v>2.5</v>
      </c>
      <c r="P13" t="s">
        <v>371</v>
      </c>
      <c r="Q13" s="5">
        <v>0.5</v>
      </c>
      <c r="R13" t="s">
        <v>365</v>
      </c>
      <c r="S13" t="s">
        <v>99</v>
      </c>
    </row>
    <row r="14" spans="1:22" x14ac:dyDescent="0.25">
      <c r="A14" s="33">
        <v>45980.758659236111</v>
      </c>
      <c r="B14" s="34" t="s">
        <v>222</v>
      </c>
      <c r="C14" s="34" t="s">
        <v>26</v>
      </c>
      <c r="D14" s="34" t="s">
        <v>27</v>
      </c>
      <c r="E14" s="46">
        <f>(Form_Responses[[#This Row],[Ex1 1a parte]]+Form_Responses[[#This Row],[Ex1 2a parte]]+Form_Responses[[#This Row],[Ex2]]+Form_Responses[[#This Row],[Ex3]])</f>
        <v>5.5</v>
      </c>
      <c r="F14" s="34">
        <v>496</v>
      </c>
      <c r="G14" s="34" t="s">
        <v>223</v>
      </c>
      <c r="H14" s="34" t="s">
        <v>224</v>
      </c>
      <c r="I14" s="34" t="s">
        <v>225</v>
      </c>
      <c r="J14" s="34" t="s">
        <v>226</v>
      </c>
      <c r="K14" s="35" t="s">
        <v>227</v>
      </c>
      <c r="L14" s="5">
        <v>2.5</v>
      </c>
      <c r="M14" s="5">
        <v>2.5</v>
      </c>
      <c r="N14" t="s">
        <v>99</v>
      </c>
      <c r="O14" s="5">
        <v>0</v>
      </c>
      <c r="P14" t="s">
        <v>372</v>
      </c>
      <c r="Q14" s="5">
        <v>0.5</v>
      </c>
      <c r="R14" t="s">
        <v>365</v>
      </c>
      <c r="S14" t="s">
        <v>99</v>
      </c>
    </row>
    <row r="15" spans="1:22" x14ac:dyDescent="0.25">
      <c r="A15" s="33">
        <v>45980.770469560186</v>
      </c>
      <c r="B15" s="34" t="s">
        <v>352</v>
      </c>
      <c r="C15" s="34" t="s">
        <v>28</v>
      </c>
      <c r="D15" s="34" t="s">
        <v>353</v>
      </c>
      <c r="E15" s="46">
        <f>(Form_Responses[[#This Row],[Ex1 1a parte]]+Form_Responses[[#This Row],[Ex1 2a parte]]+Form_Responses[[#This Row],[Ex2]]+Form_Responses[[#This Row],[Ex3]])</f>
        <v>8</v>
      </c>
      <c r="F15" s="34">
        <v>524</v>
      </c>
      <c r="G15" s="34" t="s">
        <v>354</v>
      </c>
      <c r="H15" s="34" t="s">
        <v>355</v>
      </c>
      <c r="I15" s="36">
        <v>4011</v>
      </c>
      <c r="J15" s="34" t="s">
        <v>356</v>
      </c>
      <c r="K15" s="35" t="s">
        <v>357</v>
      </c>
      <c r="L15" s="5">
        <v>2.5</v>
      </c>
      <c r="M15" s="5">
        <v>2.5</v>
      </c>
      <c r="N15" t="s">
        <v>99</v>
      </c>
      <c r="O15" s="5">
        <v>2.5</v>
      </c>
      <c r="P15" t="s">
        <v>364</v>
      </c>
      <c r="Q15" s="5">
        <v>0.5</v>
      </c>
      <c r="R15" t="s">
        <v>365</v>
      </c>
      <c r="S15" t="s">
        <v>99</v>
      </c>
    </row>
    <row r="16" spans="1:22" x14ac:dyDescent="0.25">
      <c r="A16" s="33">
        <v>45980.760871747683</v>
      </c>
      <c r="B16" s="34" t="s">
        <v>245</v>
      </c>
      <c r="C16" s="34" t="s">
        <v>30</v>
      </c>
      <c r="D16" s="34" t="s">
        <v>31</v>
      </c>
      <c r="E16" s="46">
        <f>(Form_Responses[[#This Row],[Ex1 1a parte]]+Form_Responses[[#This Row],[Ex1 2a parte]]+Form_Responses[[#This Row],[Ex2]]+Form_Responses[[#This Row],[Ex3]])</f>
        <v>7</v>
      </c>
      <c r="F16" s="34">
        <v>496</v>
      </c>
      <c r="G16" s="34" t="s">
        <v>246</v>
      </c>
      <c r="H16" s="34" t="s">
        <v>247</v>
      </c>
      <c r="I16" s="36">
        <v>554</v>
      </c>
      <c r="J16" s="34" t="s">
        <v>248</v>
      </c>
      <c r="K16" s="35" t="s">
        <v>249</v>
      </c>
      <c r="L16" s="5">
        <v>2.5</v>
      </c>
      <c r="M16" s="5">
        <v>1.5</v>
      </c>
      <c r="N16" t="s">
        <v>373</v>
      </c>
      <c r="O16" s="5">
        <v>2.5</v>
      </c>
      <c r="P16" t="s">
        <v>364</v>
      </c>
      <c r="Q16" s="5">
        <v>0.5</v>
      </c>
      <c r="R16" t="s">
        <v>365</v>
      </c>
      <c r="S16" t="s">
        <v>99</v>
      </c>
    </row>
    <row r="17" spans="1:19" x14ac:dyDescent="0.25">
      <c r="A17" s="33">
        <v>45980.755910555556</v>
      </c>
      <c r="B17" s="34" t="s">
        <v>185</v>
      </c>
      <c r="C17" s="34" t="s">
        <v>32</v>
      </c>
      <c r="D17" s="34" t="s">
        <v>33</v>
      </c>
      <c r="E17" s="46">
        <f>(Form_Responses[[#This Row],[Ex1 1a parte]]+Form_Responses[[#This Row],[Ex1 2a parte]]+Form_Responses[[#This Row],[Ex2]]+Form_Responses[[#This Row],[Ex3]])</f>
        <v>7.5</v>
      </c>
      <c r="F17" s="34">
        <v>453</v>
      </c>
      <c r="G17" s="34" t="s">
        <v>186</v>
      </c>
      <c r="H17" s="34" t="s">
        <v>187</v>
      </c>
      <c r="I17" s="36">
        <v>6309</v>
      </c>
      <c r="J17" s="34" t="s">
        <v>188</v>
      </c>
      <c r="K17" s="35" t="s">
        <v>189</v>
      </c>
      <c r="L17" s="5">
        <v>2</v>
      </c>
      <c r="M17" s="5">
        <v>2.5</v>
      </c>
      <c r="N17" t="s">
        <v>374</v>
      </c>
      <c r="O17" s="5">
        <v>2.5</v>
      </c>
      <c r="P17" t="s">
        <v>364</v>
      </c>
      <c r="Q17" s="5">
        <v>0.5</v>
      </c>
      <c r="R17" t="s">
        <v>365</v>
      </c>
      <c r="S17" t="s">
        <v>99</v>
      </c>
    </row>
    <row r="18" spans="1:19" x14ac:dyDescent="0.25">
      <c r="A18" s="33">
        <v>45980.764175462959</v>
      </c>
      <c r="B18" s="34" t="s">
        <v>293</v>
      </c>
      <c r="C18" s="34" t="s">
        <v>34</v>
      </c>
      <c r="D18" s="34" t="s">
        <v>35</v>
      </c>
      <c r="E18" s="46">
        <f>(Form_Responses[[#This Row],[Ex1 1a parte]]+Form_Responses[[#This Row],[Ex1 2a parte]]+Form_Responses[[#This Row],[Ex2]]+Form_Responses[[#This Row],[Ex3]])</f>
        <v>8</v>
      </c>
      <c r="F18" s="34">
        <v>446</v>
      </c>
      <c r="G18" s="34" t="s">
        <v>294</v>
      </c>
      <c r="H18" s="34" t="s">
        <v>295</v>
      </c>
      <c r="I18" s="36">
        <v>3736</v>
      </c>
      <c r="J18" s="34" t="s">
        <v>296</v>
      </c>
      <c r="K18" s="35" t="s">
        <v>297</v>
      </c>
      <c r="L18" s="5">
        <v>2.5</v>
      </c>
      <c r="M18" s="5">
        <v>2.5</v>
      </c>
      <c r="N18" t="s">
        <v>99</v>
      </c>
      <c r="O18" s="5">
        <v>2.5</v>
      </c>
      <c r="P18" t="s">
        <v>364</v>
      </c>
      <c r="Q18" s="5">
        <v>0.5</v>
      </c>
      <c r="R18" t="s">
        <v>365</v>
      </c>
      <c r="S18" t="s">
        <v>99</v>
      </c>
    </row>
    <row r="19" spans="1:19" x14ac:dyDescent="0.25">
      <c r="A19" s="33">
        <v>45980.752369884256</v>
      </c>
      <c r="B19" s="34" t="s">
        <v>170</v>
      </c>
      <c r="C19" s="34" t="s">
        <v>36</v>
      </c>
      <c r="D19" s="34" t="s">
        <v>37</v>
      </c>
      <c r="E19" s="46">
        <f>(Form_Responses[[#This Row],[Ex1 1a parte]]+Form_Responses[[#This Row],[Ex1 2a parte]]+Form_Responses[[#This Row],[Ex2]]+Form_Responses[[#This Row],[Ex3]])</f>
        <v>8</v>
      </c>
      <c r="F19" s="34">
        <v>448</v>
      </c>
      <c r="G19" s="34" t="s">
        <v>171</v>
      </c>
      <c r="H19" s="34" t="s">
        <v>172</v>
      </c>
      <c r="I19" s="36">
        <v>206</v>
      </c>
      <c r="J19" s="34" t="s">
        <v>173</v>
      </c>
      <c r="K19" s="35" t="s">
        <v>174</v>
      </c>
      <c r="L19" s="5">
        <v>2.5</v>
      </c>
      <c r="M19" s="5">
        <v>2.5</v>
      </c>
      <c r="N19" t="s">
        <v>99</v>
      </c>
      <c r="O19" s="5">
        <v>2.5</v>
      </c>
      <c r="P19" t="s">
        <v>375</v>
      </c>
      <c r="Q19" s="5">
        <v>0.5</v>
      </c>
      <c r="R19" t="s">
        <v>365</v>
      </c>
      <c r="S19" t="s">
        <v>99</v>
      </c>
    </row>
    <row r="20" spans="1:19" x14ac:dyDescent="0.25">
      <c r="A20" s="33">
        <v>45980.746394224538</v>
      </c>
      <c r="B20" s="34" t="s">
        <v>153</v>
      </c>
      <c r="C20" s="34" t="s">
        <v>38</v>
      </c>
      <c r="D20" s="34" t="s">
        <v>39</v>
      </c>
      <c r="E20" s="46">
        <f>(Form_Responses[[#This Row],[Ex1 1a parte]]+Form_Responses[[#This Row],[Ex1 2a parte]]+Form_Responses[[#This Row],[Ex2]]+Form_Responses[[#This Row],[Ex3]])</f>
        <v>8.5</v>
      </c>
      <c r="F20" s="34">
        <v>495</v>
      </c>
      <c r="G20" s="34" t="s">
        <v>154</v>
      </c>
      <c r="H20" s="34" t="s">
        <v>155</v>
      </c>
      <c r="I20" s="34" t="s">
        <v>156</v>
      </c>
      <c r="J20" s="34" t="s">
        <v>157</v>
      </c>
      <c r="K20" s="35" t="s">
        <v>158</v>
      </c>
      <c r="L20" s="5">
        <v>2.5</v>
      </c>
      <c r="M20" s="5">
        <v>2.5</v>
      </c>
      <c r="N20" t="s">
        <v>99</v>
      </c>
      <c r="O20" s="5">
        <v>3</v>
      </c>
      <c r="P20" t="s">
        <v>99</v>
      </c>
      <c r="Q20" s="5">
        <v>0.5</v>
      </c>
      <c r="R20" t="s">
        <v>365</v>
      </c>
      <c r="S20" t="s">
        <v>99</v>
      </c>
    </row>
    <row r="21" spans="1:19" x14ac:dyDescent="0.25">
      <c r="A21" s="33">
        <v>45980.766620659721</v>
      </c>
      <c r="B21" s="34" t="s">
        <v>329</v>
      </c>
      <c r="C21" s="34" t="s">
        <v>40</v>
      </c>
      <c r="D21" s="34" t="s">
        <v>41</v>
      </c>
      <c r="E21" s="46">
        <f>(Form_Responses[[#This Row],[Ex1 1a parte]]+Form_Responses[[#This Row],[Ex1 2a parte]]+Form_Responses[[#This Row],[Ex2]]+Form_Responses[[#This Row],[Ex3]])</f>
        <v>8</v>
      </c>
      <c r="F21" s="34">
        <v>1024</v>
      </c>
      <c r="G21" s="34" t="s">
        <v>330</v>
      </c>
      <c r="H21" s="34" t="s">
        <v>331</v>
      </c>
      <c r="I21" s="34" t="s">
        <v>332</v>
      </c>
      <c r="J21" s="34" t="s">
        <v>333</v>
      </c>
      <c r="K21" s="35" t="s">
        <v>334</v>
      </c>
      <c r="L21" s="5">
        <v>2.5</v>
      </c>
      <c r="M21" s="5">
        <v>2.5</v>
      </c>
      <c r="N21" t="s">
        <v>99</v>
      </c>
      <c r="O21" s="5">
        <v>2.5</v>
      </c>
      <c r="P21" t="s">
        <v>364</v>
      </c>
      <c r="Q21" s="5">
        <v>0.5</v>
      </c>
      <c r="R21" t="s">
        <v>365</v>
      </c>
      <c r="S21" t="s">
        <v>99</v>
      </c>
    </row>
    <row r="22" spans="1:19" x14ac:dyDescent="0.25">
      <c r="A22" s="33">
        <v>45980.764110567128</v>
      </c>
      <c r="B22" s="34" t="s">
        <v>288</v>
      </c>
      <c r="C22" s="34" t="s">
        <v>42</v>
      </c>
      <c r="D22" s="34" t="s">
        <v>43</v>
      </c>
      <c r="E22" s="46">
        <f>(Form_Responses[[#This Row],[Ex1 1a parte]]+Form_Responses[[#This Row],[Ex1 2a parte]]+Form_Responses[[#This Row],[Ex2]]+Form_Responses[[#This Row],[Ex3]])</f>
        <v>8</v>
      </c>
      <c r="F22" s="34">
        <v>1</v>
      </c>
      <c r="G22" s="34" t="s">
        <v>289</v>
      </c>
      <c r="H22" s="34" t="s">
        <v>290</v>
      </c>
      <c r="I22" s="34">
        <v>0.20699999999999999</v>
      </c>
      <c r="J22" s="34" t="s">
        <v>291</v>
      </c>
      <c r="K22" s="35" t="s">
        <v>292</v>
      </c>
      <c r="L22" s="5">
        <v>2.5</v>
      </c>
      <c r="M22" s="5">
        <v>2.5</v>
      </c>
      <c r="N22" t="s">
        <v>99</v>
      </c>
      <c r="O22" s="5">
        <v>2.5</v>
      </c>
      <c r="P22" t="s">
        <v>364</v>
      </c>
      <c r="Q22" s="5">
        <v>0.5</v>
      </c>
      <c r="R22"/>
      <c r="S22" t="s">
        <v>99</v>
      </c>
    </row>
    <row r="23" spans="1:19" x14ac:dyDescent="0.25">
      <c r="A23" s="33">
        <v>45980.751756736106</v>
      </c>
      <c r="B23" s="34" t="s">
        <v>164</v>
      </c>
      <c r="C23" s="34" t="s">
        <v>44</v>
      </c>
      <c r="D23" s="34" t="s">
        <v>165</v>
      </c>
      <c r="E23" s="46">
        <f>(Form_Responses[[#This Row],[Ex1 1a parte]]+Form_Responses[[#This Row],[Ex1 2a parte]]+Form_Responses[[#This Row],[Ex2]]+Form_Responses[[#This Row],[Ex3]])</f>
        <v>7.5</v>
      </c>
      <c r="F23" s="34">
        <v>453</v>
      </c>
      <c r="G23" s="34" t="s">
        <v>166</v>
      </c>
      <c r="H23" s="34" t="s">
        <v>167</v>
      </c>
      <c r="I23" s="36">
        <v>4648</v>
      </c>
      <c r="J23" s="34" t="s">
        <v>168</v>
      </c>
      <c r="K23" s="35" t="s">
        <v>169</v>
      </c>
      <c r="L23" s="5">
        <v>2</v>
      </c>
      <c r="M23" s="5">
        <v>2.5</v>
      </c>
      <c r="N23" t="s">
        <v>374</v>
      </c>
      <c r="O23" s="5">
        <v>2.5</v>
      </c>
      <c r="P23" t="s">
        <v>364</v>
      </c>
      <c r="Q23" s="5">
        <v>0.5</v>
      </c>
      <c r="R23" t="s">
        <v>365</v>
      </c>
      <c r="S23" t="s">
        <v>99</v>
      </c>
    </row>
    <row r="24" spans="1:19" x14ac:dyDescent="0.25">
      <c r="A24" s="33">
        <v>45980.765344652777</v>
      </c>
      <c r="B24" s="34" t="s">
        <v>314</v>
      </c>
      <c r="C24" s="34" t="s">
        <v>46</v>
      </c>
      <c r="D24" s="34" t="s">
        <v>47</v>
      </c>
      <c r="E24" s="46">
        <f>(Form_Responses[[#This Row],[Ex1 1a parte]]+Form_Responses[[#This Row],[Ex1 2a parte]]+Form_Responses[[#This Row],[Ex2]]+Form_Responses[[#This Row],[Ex3]])</f>
        <v>6</v>
      </c>
      <c r="F24" s="34">
        <v>584</v>
      </c>
      <c r="G24" s="34" t="s">
        <v>315</v>
      </c>
      <c r="H24" s="34" t="s">
        <v>316</v>
      </c>
      <c r="I24" s="34" t="s">
        <v>317</v>
      </c>
      <c r="J24" s="34" t="s">
        <v>317</v>
      </c>
      <c r="K24" s="35" t="s">
        <v>318</v>
      </c>
      <c r="L24" s="5">
        <v>1.5</v>
      </c>
      <c r="M24" s="5">
        <v>2.5</v>
      </c>
      <c r="N24" t="s">
        <v>376</v>
      </c>
      <c r="O24" s="5">
        <v>2</v>
      </c>
      <c r="P24" t="s">
        <v>376</v>
      </c>
      <c r="Q24" s="5">
        <v>0</v>
      </c>
      <c r="R24"/>
      <c r="S24" t="s">
        <v>99</v>
      </c>
    </row>
    <row r="25" spans="1:19" x14ac:dyDescent="0.25">
      <c r="A25" s="33">
        <v>45980.756143275459</v>
      </c>
      <c r="B25" s="34" t="s">
        <v>190</v>
      </c>
      <c r="C25" s="34" t="s">
        <v>48</v>
      </c>
      <c r="D25" s="34" t="s">
        <v>49</v>
      </c>
      <c r="E25" s="46">
        <f>(Form_Responses[[#This Row],[Ex1 1a parte]]+Form_Responses[[#This Row],[Ex1 2a parte]]+Form_Responses[[#This Row],[Ex2]]+Form_Responses[[#This Row],[Ex3]])</f>
        <v>8</v>
      </c>
      <c r="F25" s="34">
        <v>1024</v>
      </c>
      <c r="G25" s="34" t="s">
        <v>191</v>
      </c>
      <c r="H25" s="34" t="s">
        <v>192</v>
      </c>
      <c r="I25" s="34" t="s">
        <v>193</v>
      </c>
      <c r="J25" s="34" t="s">
        <v>194</v>
      </c>
      <c r="K25" s="35" t="s">
        <v>195</v>
      </c>
      <c r="L25" s="5">
        <v>2.5</v>
      </c>
      <c r="M25" s="5">
        <v>2.5</v>
      </c>
      <c r="N25" t="s">
        <v>99</v>
      </c>
      <c r="O25" s="5">
        <v>2.5</v>
      </c>
      <c r="P25" t="s">
        <v>364</v>
      </c>
      <c r="Q25" s="5">
        <v>0.5</v>
      </c>
      <c r="R25" t="s">
        <v>365</v>
      </c>
      <c r="S25" t="s">
        <v>99</v>
      </c>
    </row>
    <row r="26" spans="1:19" x14ac:dyDescent="0.25">
      <c r="A26" s="33">
        <v>45980.763978090283</v>
      </c>
      <c r="B26" s="34" t="s">
        <v>278</v>
      </c>
      <c r="C26" s="34" t="s">
        <v>50</v>
      </c>
      <c r="D26" s="34" t="s">
        <v>51</v>
      </c>
      <c r="E26" s="46">
        <f>(Form_Responses[[#This Row],[Ex1 1a parte]]+Form_Responses[[#This Row],[Ex1 2a parte]]+Form_Responses[[#This Row],[Ex2]]+Form_Responses[[#This Row],[Ex3]])</f>
        <v>7</v>
      </c>
      <c r="F26" s="34">
        <v>446</v>
      </c>
      <c r="G26" s="34" t="s">
        <v>279</v>
      </c>
      <c r="H26" s="34" t="s">
        <v>280</v>
      </c>
      <c r="I26" s="34">
        <v>0</v>
      </c>
      <c r="J26" s="34" t="s">
        <v>281</v>
      </c>
      <c r="K26" s="35" t="s">
        <v>282</v>
      </c>
      <c r="L26" s="5">
        <v>2.5</v>
      </c>
      <c r="M26" s="5">
        <v>2.5</v>
      </c>
      <c r="N26" t="s">
        <v>99</v>
      </c>
      <c r="O26" s="5">
        <v>0</v>
      </c>
      <c r="P26" t="s">
        <v>372</v>
      </c>
      <c r="Q26" s="5">
        <v>2</v>
      </c>
      <c r="R26"/>
      <c r="S26" t="s">
        <v>99</v>
      </c>
    </row>
    <row r="27" spans="1:19" x14ac:dyDescent="0.25">
      <c r="A27" s="33">
        <v>45980.76078394676</v>
      </c>
      <c r="B27" s="34" t="s">
        <v>240</v>
      </c>
      <c r="C27" s="34" t="s">
        <v>52</v>
      </c>
      <c r="D27" s="34" t="s">
        <v>53</v>
      </c>
      <c r="E27" s="46">
        <f>(Form_Responses[[#This Row],[Ex1 1a parte]]+Form_Responses[[#This Row],[Ex1 2a parte]]+Form_Responses[[#This Row],[Ex2]]+Form_Responses[[#This Row],[Ex3]])</f>
        <v>3</v>
      </c>
      <c r="F27" s="34">
        <v>582</v>
      </c>
      <c r="G27" s="34" t="s">
        <v>241</v>
      </c>
      <c r="H27" s="34" t="s">
        <v>242</v>
      </c>
      <c r="I27" s="36">
        <v>492</v>
      </c>
      <c r="J27" s="34" t="s">
        <v>243</v>
      </c>
      <c r="K27" s="35" t="s">
        <v>244</v>
      </c>
      <c r="L27" s="44">
        <v>0</v>
      </c>
      <c r="M27" s="44">
        <v>2.5</v>
      </c>
      <c r="N27" s="3" t="s">
        <v>377</v>
      </c>
      <c r="O27" s="44">
        <v>0</v>
      </c>
      <c r="P27" s="3" t="s">
        <v>377</v>
      </c>
      <c r="Q27" s="5">
        <v>0.5</v>
      </c>
      <c r="R27" t="s">
        <v>365</v>
      </c>
      <c r="S27" t="s">
        <v>99</v>
      </c>
    </row>
    <row r="28" spans="1:19" x14ac:dyDescent="0.25">
      <c r="A28" s="33">
        <v>45980.760327083335</v>
      </c>
      <c r="B28" s="34" t="s">
        <v>233</v>
      </c>
      <c r="C28" s="34" t="s">
        <v>54</v>
      </c>
      <c r="D28" s="34" t="s">
        <v>55</v>
      </c>
      <c r="E28" s="46">
        <f>(Form_Responses[[#This Row],[Ex1 1a parte]]+Form_Responses[[#This Row],[Ex1 2a parte]]+Form_Responses[[#This Row],[Ex2]]+Form_Responses[[#This Row],[Ex3]])</f>
        <v>7</v>
      </c>
      <c r="F28" s="34" t="s">
        <v>234</v>
      </c>
      <c r="G28" s="34" t="s">
        <v>235</v>
      </c>
      <c r="H28" s="34" t="s">
        <v>236</v>
      </c>
      <c r="I28" s="34" t="s">
        <v>237</v>
      </c>
      <c r="J28" s="34" t="s">
        <v>238</v>
      </c>
      <c r="K28" s="35" t="s">
        <v>239</v>
      </c>
      <c r="L28" s="5">
        <v>2.5</v>
      </c>
      <c r="M28" s="5">
        <v>1.5</v>
      </c>
      <c r="N28" t="s">
        <v>373</v>
      </c>
      <c r="O28" s="5">
        <v>2.5</v>
      </c>
      <c r="P28" t="s">
        <v>364</v>
      </c>
      <c r="Q28" s="5">
        <v>0.5</v>
      </c>
      <c r="R28" t="s">
        <v>365</v>
      </c>
      <c r="S28" t="s">
        <v>99</v>
      </c>
    </row>
    <row r="29" spans="1:19" x14ac:dyDescent="0.25">
      <c r="A29" s="33">
        <v>45980.7678671412</v>
      </c>
      <c r="B29" s="34" t="s">
        <v>340</v>
      </c>
      <c r="C29" s="34" t="s">
        <v>56</v>
      </c>
      <c r="D29" s="34" t="s">
        <v>57</v>
      </c>
      <c r="E29" s="46">
        <f>(Form_Responses[[#This Row],[Ex1 1a parte]]+Form_Responses[[#This Row],[Ex1 2a parte]]+Form_Responses[[#This Row],[Ex2]]+Form_Responses[[#This Row],[Ex3]])</f>
        <v>9</v>
      </c>
      <c r="F29" s="34">
        <v>446</v>
      </c>
      <c r="G29" s="34" t="s">
        <v>341</v>
      </c>
      <c r="H29" s="34" t="s">
        <v>311</v>
      </c>
      <c r="I29" s="36">
        <v>685</v>
      </c>
      <c r="J29" s="34" t="s">
        <v>342</v>
      </c>
      <c r="K29" s="35" t="s">
        <v>343</v>
      </c>
      <c r="L29" s="5">
        <v>2.5</v>
      </c>
      <c r="M29" s="5">
        <v>2.5</v>
      </c>
      <c r="N29" t="s">
        <v>99</v>
      </c>
      <c r="O29" s="5">
        <v>2.5</v>
      </c>
      <c r="P29" t="s">
        <v>364</v>
      </c>
      <c r="Q29" s="5">
        <v>1.5</v>
      </c>
      <c r="R29" t="s">
        <v>378</v>
      </c>
      <c r="S29" t="s">
        <v>99</v>
      </c>
    </row>
    <row r="30" spans="1:19" x14ac:dyDescent="0.25">
      <c r="A30" s="33">
        <v>45980.761008784721</v>
      </c>
      <c r="B30" s="34" t="s">
        <v>250</v>
      </c>
      <c r="C30" s="34" t="s">
        <v>58</v>
      </c>
      <c r="D30" s="34" t="s">
        <v>59</v>
      </c>
      <c r="E30" s="46">
        <f>(Form_Responses[[#This Row],[Ex1 1a parte]]+Form_Responses[[#This Row],[Ex1 2a parte]]+Form_Responses[[#This Row],[Ex2]]+Form_Responses[[#This Row],[Ex3]])</f>
        <v>7</v>
      </c>
      <c r="F30" s="34">
        <v>524</v>
      </c>
      <c r="G30" s="34" t="s">
        <v>251</v>
      </c>
      <c r="H30" s="34" t="s">
        <v>252</v>
      </c>
      <c r="I30" s="34" t="s">
        <v>253</v>
      </c>
      <c r="J30" s="34" t="s">
        <v>254</v>
      </c>
      <c r="K30" s="35" t="s">
        <v>255</v>
      </c>
      <c r="L30" s="5">
        <v>2.5</v>
      </c>
      <c r="M30" s="5">
        <v>1.5</v>
      </c>
      <c r="N30" t="s">
        <v>373</v>
      </c>
      <c r="O30" s="5">
        <v>2.5</v>
      </c>
      <c r="P30" t="s">
        <v>364</v>
      </c>
      <c r="Q30" s="5">
        <v>0.5</v>
      </c>
      <c r="R30" t="s">
        <v>365</v>
      </c>
      <c r="S30" t="s">
        <v>99</v>
      </c>
    </row>
    <row r="31" spans="1:19" x14ac:dyDescent="0.25">
      <c r="A31" s="33">
        <v>45980.762229803237</v>
      </c>
      <c r="B31" s="34" t="s">
        <v>266</v>
      </c>
      <c r="C31" s="34" t="s">
        <v>60</v>
      </c>
      <c r="D31" s="34" t="s">
        <v>267</v>
      </c>
      <c r="E31" s="46">
        <f>(Form_Responses[[#This Row],[Ex1 1a parte]]+Form_Responses[[#This Row],[Ex1 2a parte]]+Form_Responses[[#This Row],[Ex2]]+Form_Responses[[#This Row],[Ex3]])</f>
        <v>7</v>
      </c>
      <c r="F31" s="34">
        <v>495</v>
      </c>
      <c r="G31" s="34" t="s">
        <v>268</v>
      </c>
      <c r="H31" s="34" t="s">
        <v>269</v>
      </c>
      <c r="I31" s="34" t="s">
        <v>270</v>
      </c>
      <c r="J31" s="34" t="s">
        <v>271</v>
      </c>
      <c r="K31" s="35" t="s">
        <v>272</v>
      </c>
      <c r="L31" s="5">
        <v>2.5</v>
      </c>
      <c r="M31" s="5">
        <v>1.5</v>
      </c>
      <c r="N31" t="s">
        <v>373</v>
      </c>
      <c r="O31" s="5">
        <v>2.5</v>
      </c>
      <c r="P31" t="s">
        <v>364</v>
      </c>
      <c r="Q31" s="5">
        <v>0.5</v>
      </c>
      <c r="R31" t="s">
        <v>365</v>
      </c>
      <c r="S31" t="s">
        <v>99</v>
      </c>
    </row>
    <row r="32" spans="1:19" x14ac:dyDescent="0.25">
      <c r="A32" s="33">
        <v>45980.766025266203</v>
      </c>
      <c r="B32" s="34" t="s">
        <v>319</v>
      </c>
      <c r="C32" s="34" t="s">
        <v>62</v>
      </c>
      <c r="D32" s="34" t="s">
        <v>63</v>
      </c>
      <c r="E32" s="46">
        <f>(Form_Responses[[#This Row],[Ex1 1a parte]]+Form_Responses[[#This Row],[Ex1 2a parte]]+Form_Responses[[#This Row],[Ex2]]+Form_Responses[[#This Row],[Ex3]])</f>
        <v>7</v>
      </c>
      <c r="F32" s="34">
        <v>446</v>
      </c>
      <c r="G32" s="34" t="s">
        <v>320</v>
      </c>
      <c r="H32" s="34" t="s">
        <v>321</v>
      </c>
      <c r="I32" s="36">
        <v>3980</v>
      </c>
      <c r="J32" s="34" t="s">
        <v>322</v>
      </c>
      <c r="K32" s="35" t="s">
        <v>323</v>
      </c>
      <c r="L32" s="5">
        <v>2.5</v>
      </c>
      <c r="M32" s="5">
        <v>1.5</v>
      </c>
      <c r="N32" t="s">
        <v>373</v>
      </c>
      <c r="O32" s="5">
        <v>2.5</v>
      </c>
      <c r="P32" t="s">
        <v>364</v>
      </c>
      <c r="Q32" s="5">
        <v>0.5</v>
      </c>
      <c r="R32" t="s">
        <v>365</v>
      </c>
      <c r="S32" t="s">
        <v>99</v>
      </c>
    </row>
    <row r="33" spans="1:19" x14ac:dyDescent="0.25">
      <c r="A33" s="33">
        <v>45980.764009756946</v>
      </c>
      <c r="B33" s="34" t="s">
        <v>283</v>
      </c>
      <c r="C33" s="34" t="s">
        <v>64</v>
      </c>
      <c r="D33" s="34" t="s">
        <v>65</v>
      </c>
      <c r="E33" s="46">
        <f>(Form_Responses[[#This Row],[Ex1 1a parte]]+Form_Responses[[#This Row],[Ex1 2a parte]]+Form_Responses[[#This Row],[Ex2]]+Form_Responses[[#This Row],[Ex3]])</f>
        <v>8</v>
      </c>
      <c r="F33" s="34">
        <v>446</v>
      </c>
      <c r="G33" s="34" t="s">
        <v>284</v>
      </c>
      <c r="H33" s="34" t="s">
        <v>285</v>
      </c>
      <c r="I33" s="36">
        <v>414</v>
      </c>
      <c r="J33" s="34" t="s">
        <v>286</v>
      </c>
      <c r="K33" s="35" t="s">
        <v>287</v>
      </c>
      <c r="L33" s="5">
        <v>2.5</v>
      </c>
      <c r="M33" s="5">
        <v>2.5</v>
      </c>
      <c r="N33" t="s">
        <v>99</v>
      </c>
      <c r="O33" s="5">
        <v>2.5</v>
      </c>
      <c r="P33" t="s">
        <v>379</v>
      </c>
      <c r="Q33" s="5">
        <v>0.5</v>
      </c>
      <c r="R33" t="s">
        <v>365</v>
      </c>
      <c r="S33" t="s">
        <v>99</v>
      </c>
    </row>
    <row r="34" spans="1:19" x14ac:dyDescent="0.25">
      <c r="A34" s="33">
        <v>45980.757997569446</v>
      </c>
      <c r="B34" s="34" t="s">
        <v>217</v>
      </c>
      <c r="C34" s="34" t="s">
        <v>66</v>
      </c>
      <c r="D34" s="34" t="s">
        <v>67</v>
      </c>
      <c r="E34" s="46">
        <f>(Form_Responses[[#This Row],[Ex1 1a parte]]+Form_Responses[[#This Row],[Ex1 2a parte]]+Form_Responses[[#This Row],[Ex2]]+Form_Responses[[#This Row],[Ex3]])</f>
        <v>7.5</v>
      </c>
      <c r="F34" s="34">
        <v>3801</v>
      </c>
      <c r="G34" s="34" t="s">
        <v>218</v>
      </c>
      <c r="H34" s="34" t="s">
        <v>219</v>
      </c>
      <c r="I34" s="36">
        <v>6406</v>
      </c>
      <c r="J34" s="34" t="s">
        <v>220</v>
      </c>
      <c r="K34" s="35" t="s">
        <v>221</v>
      </c>
      <c r="L34" s="5">
        <v>2.5</v>
      </c>
      <c r="M34" s="5">
        <v>1.5</v>
      </c>
      <c r="N34" t="s">
        <v>373</v>
      </c>
      <c r="O34" s="5">
        <v>3</v>
      </c>
      <c r="P34" t="s">
        <v>380</v>
      </c>
      <c r="Q34" s="5">
        <v>0.5</v>
      </c>
      <c r="R34" t="s">
        <v>365</v>
      </c>
      <c r="S34" t="s">
        <v>99</v>
      </c>
    </row>
    <row r="35" spans="1:19" x14ac:dyDescent="0.25">
      <c r="A35" s="33">
        <v>45980.76943388889</v>
      </c>
      <c r="B35" s="34" t="s">
        <v>348</v>
      </c>
      <c r="C35" s="34" t="s">
        <v>68</v>
      </c>
      <c r="D35" s="34" t="s">
        <v>69</v>
      </c>
      <c r="E35" s="46">
        <f>(Form_Responses[[#This Row],[Ex1 1a parte]]+Form_Responses[[#This Row],[Ex1 2a parte]]+Form_Responses[[#This Row],[Ex2]]+Form_Responses[[#This Row],[Ex3]])</f>
        <v>7</v>
      </c>
      <c r="F35" s="34">
        <v>446</v>
      </c>
      <c r="G35" s="34" t="s">
        <v>349</v>
      </c>
      <c r="H35" s="34"/>
      <c r="I35" s="36">
        <v>397</v>
      </c>
      <c r="J35" s="34" t="s">
        <v>350</v>
      </c>
      <c r="K35" s="35" t="s">
        <v>351</v>
      </c>
      <c r="L35" s="5">
        <v>2.5</v>
      </c>
      <c r="M35" s="5">
        <v>1.5</v>
      </c>
      <c r="N35" t="s">
        <v>381</v>
      </c>
      <c r="O35" s="5">
        <v>2.5</v>
      </c>
      <c r="P35" t="s">
        <v>371</v>
      </c>
      <c r="Q35" s="5">
        <v>0.5</v>
      </c>
      <c r="R35" t="s">
        <v>365</v>
      </c>
      <c r="S35" t="s">
        <v>99</v>
      </c>
    </row>
    <row r="36" spans="1:19" x14ac:dyDescent="0.25">
      <c r="A36" s="33">
        <v>45980.75457542824</v>
      </c>
      <c r="B36" s="34" t="s">
        <v>175</v>
      </c>
      <c r="C36" s="34" t="s">
        <v>70</v>
      </c>
      <c r="D36" s="34" t="s">
        <v>71</v>
      </c>
      <c r="E36" s="46">
        <f>(Form_Responses[[#This Row],[Ex1 1a parte]]+Form_Responses[[#This Row],[Ex1 2a parte]]+Form_Responses[[#This Row],[Ex2]]+Form_Responses[[#This Row],[Ex3]])</f>
        <v>7.5</v>
      </c>
      <c r="F36" s="34">
        <v>495</v>
      </c>
      <c r="G36" s="34" t="s">
        <v>176</v>
      </c>
      <c r="H36" s="34" t="s">
        <v>177</v>
      </c>
      <c r="I36" s="36">
        <v>464</v>
      </c>
      <c r="J36" s="34" t="s">
        <v>178</v>
      </c>
      <c r="K36" s="35" t="s">
        <v>179</v>
      </c>
      <c r="L36" s="5">
        <v>2.5</v>
      </c>
      <c r="M36" s="5">
        <v>1.5</v>
      </c>
      <c r="N36" t="s">
        <v>373</v>
      </c>
      <c r="O36" s="5">
        <v>3</v>
      </c>
      <c r="P36"/>
      <c r="Q36" s="5">
        <v>0.5</v>
      </c>
      <c r="R36" t="s">
        <v>365</v>
      </c>
      <c r="S36" t="s">
        <v>99</v>
      </c>
    </row>
    <row r="37" spans="1:19" x14ac:dyDescent="0.25">
      <c r="A37" s="33">
        <v>45980.762566504629</v>
      </c>
      <c r="B37" s="34" t="s">
        <v>273</v>
      </c>
      <c r="C37" s="34" t="s">
        <v>72</v>
      </c>
      <c r="D37" s="34" t="s">
        <v>73</v>
      </c>
      <c r="E37" s="46">
        <f>(Form_Responses[[#This Row],[Ex1 1a parte]]+Form_Responses[[#This Row],[Ex1 2a parte]]+Form_Responses[[#This Row],[Ex2]]+Form_Responses[[#This Row],[Ex3]])</f>
        <v>7.5</v>
      </c>
      <c r="F37" s="34">
        <v>446</v>
      </c>
      <c r="G37" s="34" t="s">
        <v>274</v>
      </c>
      <c r="H37" s="34" t="s">
        <v>275</v>
      </c>
      <c r="I37" s="36">
        <v>6868</v>
      </c>
      <c r="J37" s="34" t="s">
        <v>276</v>
      </c>
      <c r="K37" s="35" t="s">
        <v>277</v>
      </c>
      <c r="L37" s="5">
        <v>2.5</v>
      </c>
      <c r="M37" s="5">
        <v>2</v>
      </c>
      <c r="N37" t="s">
        <v>382</v>
      </c>
      <c r="O37" s="5">
        <v>2.5</v>
      </c>
      <c r="P37" t="s">
        <v>380</v>
      </c>
      <c r="Q37" s="5">
        <v>0.5</v>
      </c>
      <c r="R37" t="s">
        <v>365</v>
      </c>
      <c r="S37" t="s">
        <v>99</v>
      </c>
    </row>
    <row r="38" spans="1:19" x14ac:dyDescent="0.25">
      <c r="A38" s="33">
        <v>45980.757502395834</v>
      </c>
      <c r="B38" s="34" t="s">
        <v>206</v>
      </c>
      <c r="C38" s="34" t="s">
        <v>74</v>
      </c>
      <c r="D38" s="34" t="s">
        <v>75</v>
      </c>
      <c r="E38" s="46">
        <f>(Form_Responses[[#This Row],[Ex1 1a parte]]+Form_Responses[[#This Row],[Ex1 2a parte]]+Form_Responses[[#This Row],[Ex2]]+Form_Responses[[#This Row],[Ex3]])</f>
        <v>7</v>
      </c>
      <c r="F38" s="34">
        <v>496</v>
      </c>
      <c r="G38" s="34" t="s">
        <v>207</v>
      </c>
      <c r="H38" s="34" t="s">
        <v>208</v>
      </c>
      <c r="I38" s="36">
        <v>5621</v>
      </c>
      <c r="J38" s="34" t="s">
        <v>209</v>
      </c>
      <c r="K38" s="35" t="s">
        <v>210</v>
      </c>
      <c r="L38" s="44">
        <v>2.5</v>
      </c>
      <c r="M38" s="44">
        <v>1.5</v>
      </c>
      <c r="N38" s="3" t="s">
        <v>383</v>
      </c>
      <c r="O38" s="44">
        <v>2.5</v>
      </c>
      <c r="P38" t="s">
        <v>364</v>
      </c>
      <c r="Q38" s="44">
        <v>0.5</v>
      </c>
      <c r="R38" t="s">
        <v>365</v>
      </c>
      <c r="S38" t="s">
        <v>99</v>
      </c>
    </row>
    <row r="39" spans="1:19" x14ac:dyDescent="0.25">
      <c r="A39" s="33">
        <v>45980.755461319444</v>
      </c>
      <c r="B39" s="34" t="s">
        <v>180</v>
      </c>
      <c r="C39" s="34" t="s">
        <v>76</v>
      </c>
      <c r="D39" s="34" t="s">
        <v>77</v>
      </c>
      <c r="E39" s="46">
        <f>(Form_Responses[[#This Row],[Ex1 1a parte]]+Form_Responses[[#This Row],[Ex1 2a parte]]+Form_Responses[[#This Row],[Ex2]]+Form_Responses[[#This Row],[Ex3]])</f>
        <v>5</v>
      </c>
      <c r="F39" s="34">
        <v>446</v>
      </c>
      <c r="G39" s="34" t="s">
        <v>181</v>
      </c>
      <c r="H39" s="34" t="s">
        <v>182</v>
      </c>
      <c r="I39" s="36">
        <v>4004538890035070</v>
      </c>
      <c r="J39" s="34" t="s">
        <v>183</v>
      </c>
      <c r="K39" s="35" t="s">
        <v>184</v>
      </c>
      <c r="L39" s="5">
        <v>1</v>
      </c>
      <c r="M39" s="5">
        <v>2.5</v>
      </c>
      <c r="N39" t="s">
        <v>369</v>
      </c>
      <c r="O39" s="5">
        <v>1</v>
      </c>
      <c r="P39" t="s">
        <v>384</v>
      </c>
      <c r="Q39" s="5">
        <v>0.5</v>
      </c>
      <c r="R39" t="s">
        <v>365</v>
      </c>
      <c r="S39" t="s">
        <v>99</v>
      </c>
    </row>
    <row r="40" spans="1:19" x14ac:dyDescent="0.25">
      <c r="A40" s="33">
        <v>45980.759577719902</v>
      </c>
      <c r="B40" s="34" t="s">
        <v>228</v>
      </c>
      <c r="C40" s="34" t="s">
        <v>78</v>
      </c>
      <c r="D40" s="34" t="s">
        <v>90</v>
      </c>
      <c r="E40" s="46">
        <f>(Form_Responses[[#This Row],[Ex1 1a parte]]+Form_Responses[[#This Row],[Ex1 2a parte]]+Form_Responses[[#This Row],[Ex2]]+Form_Responses[[#This Row],[Ex3]])</f>
        <v>8</v>
      </c>
      <c r="F40" s="34">
        <v>446</v>
      </c>
      <c r="G40" s="34" t="s">
        <v>229</v>
      </c>
      <c r="H40" s="34" t="s">
        <v>230</v>
      </c>
      <c r="I40" s="36">
        <v>398</v>
      </c>
      <c r="J40" s="34" t="s">
        <v>231</v>
      </c>
      <c r="K40" s="35" t="s">
        <v>232</v>
      </c>
      <c r="L40" s="5">
        <v>2.5</v>
      </c>
      <c r="M40" s="5">
        <v>2.5</v>
      </c>
      <c r="N40" t="s">
        <v>99</v>
      </c>
      <c r="O40" s="5">
        <v>2.5</v>
      </c>
      <c r="P40" t="s">
        <v>364</v>
      </c>
      <c r="Q40" s="5">
        <v>0.5</v>
      </c>
      <c r="R40" t="s">
        <v>365</v>
      </c>
      <c r="S40" t="s">
        <v>99</v>
      </c>
    </row>
  </sheetData>
  <phoneticPr fontId="7" type="noConversion"/>
  <hyperlinks>
    <hyperlink ref="K20" r:id="rId1" xr:uid="{2D001397-6EE2-4FD1-BBA9-F3346DCBE921}"/>
    <hyperlink ref="K3" r:id="rId2" xr:uid="{9260B9AA-0232-4CCE-ADC7-4F87E7DCDDCA}"/>
    <hyperlink ref="K23" r:id="rId3" xr:uid="{F93DD2EE-1AA9-4CA2-8E71-F916FB9BFC38}"/>
    <hyperlink ref="K19" r:id="rId4" xr:uid="{31CBBB22-1A0E-4DB4-996F-9F2B90361946}"/>
    <hyperlink ref="K36" r:id="rId5" xr:uid="{99D5F73A-79E8-4E72-B53B-44BB62650D31}"/>
    <hyperlink ref="K39" r:id="rId6" xr:uid="{1B97CAA6-0CCE-4757-8D79-DDC290DFC841}"/>
    <hyperlink ref="K17" r:id="rId7" xr:uid="{FAEBA8BF-90F9-4EDF-8B9B-DE87F7E26FC9}"/>
    <hyperlink ref="K25" r:id="rId8" xr:uid="{47681128-5470-4305-8889-8CDD37821FEB}"/>
    <hyperlink ref="K8" r:id="rId9" xr:uid="{10B730F3-8089-4E0E-A78B-EBB1EC0DCF0F}"/>
    <hyperlink ref="K2" r:id="rId10" xr:uid="{B8DD545C-E114-4BBF-91FA-554AC232AFF3}"/>
    <hyperlink ref="K38" r:id="rId11" xr:uid="{F7C5C765-2B49-42DD-892D-1192BE35D13E}"/>
    <hyperlink ref="K7" r:id="rId12" xr:uid="{A36BD960-6DEE-4A7F-B15A-6E7CC5A8C89D}"/>
    <hyperlink ref="K34" r:id="rId13" xr:uid="{62801A7A-B5D6-4EF7-99E9-B764BF37D2E0}"/>
    <hyperlink ref="K14" r:id="rId14" xr:uid="{9BA6BBEC-B59F-421A-A170-CAA85B495E5F}"/>
    <hyperlink ref="K40" r:id="rId15" xr:uid="{031D0A31-880A-4C8D-88D9-6300B0C3380C}"/>
    <hyperlink ref="K28" r:id="rId16" xr:uid="{EA28D216-1308-4931-A804-C22B6833A71C}"/>
    <hyperlink ref="K27" r:id="rId17" xr:uid="{C0F59C85-E6E3-4FF3-A6D2-B7070A2E8BC6}"/>
    <hyperlink ref="K16" r:id="rId18" xr:uid="{817D62CC-CDCC-4F4F-8BC4-44E5E9C9E81F}"/>
    <hyperlink ref="K30" r:id="rId19" xr:uid="{FF4B8AD1-7643-4074-A030-91D4E8AA5D4E}"/>
    <hyperlink ref="K9" r:id="rId20" xr:uid="{E9E1A3AC-B2BD-47F8-982B-65DBE90B4D70}"/>
    <hyperlink ref="K6" r:id="rId21" xr:uid="{08BB2D90-C607-44B8-809C-D26068302155}"/>
    <hyperlink ref="K31" r:id="rId22" xr:uid="{F65A31A4-A199-4AC1-842B-C2A3A6B8FE05}"/>
    <hyperlink ref="K37" r:id="rId23" xr:uid="{51C49A42-D2DA-4FE9-88C1-CA07F2B172E4}"/>
    <hyperlink ref="K26" r:id="rId24" xr:uid="{36DFCC93-CBE4-4471-8882-2B7B517FE25D}"/>
    <hyperlink ref="K33" r:id="rId25" xr:uid="{D29F579D-0967-44FD-8842-0132CBEC9A4E}"/>
    <hyperlink ref="K22" r:id="rId26" xr:uid="{BBB23DC9-43D9-4DE9-B352-77D7787FD77E}"/>
    <hyperlink ref="K18" r:id="rId27" xr:uid="{DA46F3F1-69FA-4A8C-8D73-BC772EBCC85B}"/>
    <hyperlink ref="K11" r:id="rId28" xr:uid="{4DDBE0B8-0AF3-4E8E-882F-13C521F08DCF}"/>
    <hyperlink ref="K12" r:id="rId29" xr:uid="{A31D66A5-028C-46C0-A62C-180B1F84298C}"/>
    <hyperlink ref="K4" r:id="rId30" xr:uid="{9782C64F-4A88-4A06-A763-A602E6793DE2}"/>
    <hyperlink ref="K24" r:id="rId31" xr:uid="{EF456E7A-22F1-47A1-BD32-FD4A09CEEF56}"/>
    <hyperlink ref="K32" r:id="rId32" xr:uid="{9690A68B-E122-417B-B68F-738564AB4C56}"/>
    <hyperlink ref="K10" r:id="rId33" xr:uid="{1651C8FF-30E9-4DAD-BD60-A3D9F93F38BB}"/>
    <hyperlink ref="K21" r:id="rId34" xr:uid="{EFE926B2-9573-46B6-8705-FFB97A73CE2A}"/>
    <hyperlink ref="K5" r:id="rId35" xr:uid="{57BB985D-6CB4-43D9-AC74-B5BB3630F78B}"/>
    <hyperlink ref="K29" r:id="rId36" xr:uid="{12E56152-59E6-4CC7-9533-A6AE6EA49948}"/>
    <hyperlink ref="K13" r:id="rId37" xr:uid="{7BD02C9E-FD2E-4E49-BA9D-EE19A88FDADE}"/>
    <hyperlink ref="K35" r:id="rId38" xr:uid="{7C888EAA-0D39-4208-A8E1-5E8BDCDB2196}"/>
    <hyperlink ref="K15" r:id="rId39" xr:uid="{0A65BE58-4E27-4578-BC35-535E1B422DF5}"/>
  </hyperlinks>
  <pageMargins left="0.7" right="0.7" top="0.75" bottom="0.75" header="0.3" footer="0.3"/>
  <tableParts count="1">
    <tablePart r:id="rId4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498CF-3B98-498D-A544-9AE3DC173365}">
  <dimension ref="A1:H40"/>
  <sheetViews>
    <sheetView workbookViewId="0">
      <selection activeCell="O13" sqref="O13"/>
    </sheetView>
  </sheetViews>
  <sheetFormatPr defaultRowHeight="15" x14ac:dyDescent="0.25"/>
  <cols>
    <col min="1" max="1" width="10.28515625" bestFit="1" customWidth="1"/>
    <col min="2" max="2" width="35.28515625" bestFit="1" customWidth="1"/>
    <col min="3" max="3" width="35.28515625" hidden="1" customWidth="1"/>
    <col min="5" max="6" width="9.140625" style="6"/>
    <col min="7" max="8" width="9.5703125" style="51" customWidth="1"/>
  </cols>
  <sheetData>
    <row r="1" spans="1:8" x14ac:dyDescent="0.25">
      <c r="A1" s="15" t="s">
        <v>0</v>
      </c>
      <c r="B1" s="15" t="s">
        <v>1</v>
      </c>
      <c r="C1" s="15" t="s">
        <v>105</v>
      </c>
      <c r="D1" s="16" t="s">
        <v>80</v>
      </c>
      <c r="E1" s="17" t="s">
        <v>81</v>
      </c>
      <c r="F1" s="17" t="s">
        <v>82</v>
      </c>
      <c r="G1" s="17" t="s">
        <v>132</v>
      </c>
      <c r="H1" s="17" t="s">
        <v>143</v>
      </c>
    </row>
    <row r="2" spans="1:8" x14ac:dyDescent="0.25">
      <c r="A2" t="s">
        <v>2</v>
      </c>
      <c r="B2" t="s">
        <v>3</v>
      </c>
      <c r="C2" t="s">
        <v>96</v>
      </c>
      <c r="D2" s="1">
        <v>10</v>
      </c>
      <c r="E2" s="5">
        <f>VLOOKUP(A2,'Atividades e Projeto Comentario'!A:L,5,FALSE)</f>
        <v>9</v>
      </c>
      <c r="F2" s="5">
        <f>VLOOKUP(A2,'Atividades e Projeto Comentario'!A:L,9,FALSE)</f>
        <v>9</v>
      </c>
      <c r="G2" s="32">
        <f t="shared" ref="G2:G40" si="0">MIN((E2+F2)/2,10)</f>
        <v>9</v>
      </c>
      <c r="H2" s="32">
        <f>VLOOKUP(A2,'Atividades e Projeto Comentario'!A:L,12,FALSE)</f>
        <v>10</v>
      </c>
    </row>
    <row r="3" spans="1:8" x14ac:dyDescent="0.25">
      <c r="A3" t="s">
        <v>4</v>
      </c>
      <c r="B3" t="s">
        <v>5</v>
      </c>
      <c r="C3" t="s">
        <v>5</v>
      </c>
      <c r="D3" s="1">
        <v>7</v>
      </c>
      <c r="E3" s="5">
        <f>VLOOKUP(A3,'Atividades e Projeto Comentario'!A:L,5,FALSE)</f>
        <v>12</v>
      </c>
      <c r="F3" s="5">
        <f>VLOOKUP(A3,'Atividades e Projeto Comentario'!A:L,9,FALSE)</f>
        <v>9</v>
      </c>
      <c r="G3" s="32">
        <f t="shared" si="0"/>
        <v>10</v>
      </c>
      <c r="H3" s="32">
        <f>VLOOKUP(A3,'Atividades e Projeto Comentario'!A:L,12,FALSE)</f>
        <v>9.5</v>
      </c>
    </row>
    <row r="4" spans="1:8" x14ac:dyDescent="0.25">
      <c r="A4" t="s">
        <v>6</v>
      </c>
      <c r="B4" t="s">
        <v>7</v>
      </c>
      <c r="C4" t="s">
        <v>7</v>
      </c>
      <c r="D4" s="1">
        <v>6</v>
      </c>
      <c r="E4" s="5">
        <f>VLOOKUP(A4,'Atividades e Projeto Comentario'!A:L,5,FALSE)</f>
        <v>10</v>
      </c>
      <c r="F4" s="5">
        <f>VLOOKUP(A4,'Atividades e Projeto Comentario'!A:L,9,FALSE)</f>
        <v>9</v>
      </c>
      <c r="G4" s="32">
        <f t="shared" si="0"/>
        <v>9.5</v>
      </c>
      <c r="H4" s="32">
        <f>VLOOKUP(A4,'Atividades e Projeto Comentario'!A:L,12,FALSE)</f>
        <v>6</v>
      </c>
    </row>
    <row r="5" spans="1:8" x14ac:dyDescent="0.25">
      <c r="A5" s="9" t="s">
        <v>8</v>
      </c>
      <c r="B5" s="9" t="s">
        <v>9</v>
      </c>
      <c r="C5" s="9" t="s">
        <v>9</v>
      </c>
      <c r="D5" s="10">
        <v>10</v>
      </c>
      <c r="E5" s="13">
        <f>VLOOKUP(A5,'Atividades e Projeto Comentario'!A:L,5,FALSE)</f>
        <v>9</v>
      </c>
      <c r="F5" s="13">
        <f>VLOOKUP(A5,'Atividades e Projeto Comentario'!A:L,9,FALSE)</f>
        <v>9</v>
      </c>
      <c r="G5" s="17">
        <f t="shared" si="0"/>
        <v>9</v>
      </c>
      <c r="H5" s="17">
        <f>VLOOKUP(A5,'Atividades e Projeto Comentario'!A:L,12,FALSE)</f>
        <v>10</v>
      </c>
    </row>
    <row r="6" spans="1:8" x14ac:dyDescent="0.25">
      <c r="A6" t="s">
        <v>10</v>
      </c>
      <c r="B6" t="s">
        <v>11</v>
      </c>
      <c r="C6" t="s">
        <v>11</v>
      </c>
      <c r="D6" s="1">
        <v>10</v>
      </c>
      <c r="E6" s="5">
        <f>VLOOKUP(A6,'Atividades e Projeto Comentario'!A:L,5,FALSE)</f>
        <v>9</v>
      </c>
      <c r="F6" s="5">
        <f>VLOOKUP(A6,'Atividades e Projeto Comentario'!A:L,9,FALSE)</f>
        <v>9</v>
      </c>
      <c r="G6" s="32">
        <f t="shared" si="0"/>
        <v>9</v>
      </c>
      <c r="H6" s="32">
        <f>VLOOKUP(A6,'Atividades e Projeto Comentario'!A:L,12,FALSE)</f>
        <v>10</v>
      </c>
    </row>
    <row r="7" spans="1:8" x14ac:dyDescent="0.25">
      <c r="A7" t="s">
        <v>12</v>
      </c>
      <c r="B7" t="s">
        <v>13</v>
      </c>
      <c r="C7" t="s">
        <v>13</v>
      </c>
      <c r="D7" s="1">
        <v>6</v>
      </c>
      <c r="E7" s="5">
        <f>VLOOKUP(A7,'Atividades e Projeto Comentario'!A:L,5,FALSE)</f>
        <v>10</v>
      </c>
      <c r="F7" s="5">
        <f>VLOOKUP(A7,'Atividades e Projeto Comentario'!A:L,9,FALSE)</f>
        <v>9</v>
      </c>
      <c r="G7" s="32">
        <f t="shared" si="0"/>
        <v>9.5</v>
      </c>
      <c r="H7" s="32">
        <f>VLOOKUP(A7,'Atividades e Projeto Comentario'!A:L,12,FALSE)</f>
        <v>6</v>
      </c>
    </row>
    <row r="8" spans="1:8" x14ac:dyDescent="0.25">
      <c r="A8" t="s">
        <v>14</v>
      </c>
      <c r="B8" t="s">
        <v>15</v>
      </c>
      <c r="C8" t="s">
        <v>15</v>
      </c>
      <c r="D8" s="1">
        <v>9</v>
      </c>
      <c r="E8" s="5">
        <f>VLOOKUP(A8,'Atividades e Projeto Comentario'!A:L,5,FALSE)</f>
        <v>11</v>
      </c>
      <c r="F8" s="5">
        <f>VLOOKUP(A8,'Atividades e Projeto Comentario'!A:L,9,FALSE)</f>
        <v>9</v>
      </c>
      <c r="G8" s="32">
        <f t="shared" si="0"/>
        <v>10</v>
      </c>
      <c r="H8" s="32">
        <f>VLOOKUP(A8,'Atividades e Projeto Comentario'!A:L,12,FALSE)</f>
        <v>9.5</v>
      </c>
    </row>
    <row r="9" spans="1:8" x14ac:dyDescent="0.25">
      <c r="A9" t="s">
        <v>16</v>
      </c>
      <c r="B9" t="s">
        <v>17</v>
      </c>
      <c r="C9" t="s">
        <v>17</v>
      </c>
      <c r="D9" s="1">
        <v>9</v>
      </c>
      <c r="E9" s="5">
        <f>VLOOKUP(A9,'Atividades e Projeto Comentario'!A:L,5,FALSE)</f>
        <v>11</v>
      </c>
      <c r="F9" s="5">
        <f>VLOOKUP(A9,'Atividades e Projeto Comentario'!A:L,9,FALSE)</f>
        <v>9</v>
      </c>
      <c r="G9" s="32">
        <f t="shared" si="0"/>
        <v>10</v>
      </c>
      <c r="H9" s="32">
        <f>VLOOKUP(A9,'Atividades e Projeto Comentario'!A:L,12,FALSE)</f>
        <v>9.5</v>
      </c>
    </row>
    <row r="10" spans="1:8" x14ac:dyDescent="0.25">
      <c r="A10" s="9" t="s">
        <v>18</v>
      </c>
      <c r="B10" s="9" t="s">
        <v>19</v>
      </c>
      <c r="C10" s="9" t="s">
        <v>100</v>
      </c>
      <c r="D10" s="10">
        <v>8</v>
      </c>
      <c r="E10" s="13">
        <f>VLOOKUP(A10,'Atividades e Projeto Comentario'!A:L,5,FALSE)</f>
        <v>11</v>
      </c>
      <c r="F10" s="13">
        <f>VLOOKUP(A10,'Atividades e Projeto Comentario'!A:L,9,FALSE)</f>
        <v>9</v>
      </c>
      <c r="G10" s="17">
        <f t="shared" si="0"/>
        <v>10</v>
      </c>
      <c r="H10" s="17">
        <f>VLOOKUP(A10,'Atividades e Projeto Comentario'!A:L,12,FALSE)</f>
        <v>9</v>
      </c>
    </row>
    <row r="11" spans="1:8" x14ac:dyDescent="0.25">
      <c r="A11" t="s">
        <v>20</v>
      </c>
      <c r="B11" t="s">
        <v>21</v>
      </c>
      <c r="C11" t="s">
        <v>95</v>
      </c>
      <c r="D11" s="1">
        <v>9</v>
      </c>
      <c r="E11" s="5">
        <f>VLOOKUP(A11,'Atividades e Projeto Comentario'!A:L,5,FALSE)</f>
        <v>11</v>
      </c>
      <c r="F11" s="5">
        <f>VLOOKUP(A11,'Atividades e Projeto Comentario'!A:L,9,FALSE)</f>
        <v>9</v>
      </c>
      <c r="G11" s="32">
        <f t="shared" si="0"/>
        <v>10</v>
      </c>
      <c r="H11" s="32">
        <f>VLOOKUP(A11,'Atividades e Projeto Comentario'!A:L,12,FALSE)</f>
        <v>9.5</v>
      </c>
    </row>
    <row r="12" spans="1:8" x14ac:dyDescent="0.25">
      <c r="A12" t="s">
        <v>22</v>
      </c>
      <c r="B12" t="s">
        <v>23</v>
      </c>
      <c r="C12" s="3" t="s">
        <v>97</v>
      </c>
      <c r="D12" s="4">
        <v>10</v>
      </c>
      <c r="E12" s="44">
        <f>VLOOKUP(A12,'Atividades e Projeto Comentario'!A:L,5,FALSE)</f>
        <v>9</v>
      </c>
      <c r="F12" s="44">
        <f>VLOOKUP(A12,'Atividades e Projeto Comentario'!A:L,9,FALSE)</f>
        <v>9</v>
      </c>
      <c r="G12" s="32">
        <f t="shared" si="0"/>
        <v>9</v>
      </c>
      <c r="H12" s="32">
        <f>VLOOKUP(A12,'Atividades e Projeto Comentario'!A:L,12,FALSE)</f>
        <v>10</v>
      </c>
    </row>
    <row r="13" spans="1:8" x14ac:dyDescent="0.25">
      <c r="A13" t="s">
        <v>24</v>
      </c>
      <c r="B13" t="s">
        <v>25</v>
      </c>
      <c r="C13" s="3" t="s">
        <v>25</v>
      </c>
      <c r="D13" s="4">
        <v>3</v>
      </c>
      <c r="E13" s="44">
        <f>VLOOKUP(A13,'Atividades e Projeto Comentario'!A:L,5,FALSE)</f>
        <v>12</v>
      </c>
      <c r="F13" s="44">
        <f>VLOOKUP(A13,'Atividades e Projeto Comentario'!A:L,9,FALSE)</f>
        <v>10</v>
      </c>
      <c r="G13" s="32">
        <f t="shared" si="0"/>
        <v>10</v>
      </c>
      <c r="H13" s="32">
        <f>VLOOKUP(A13,'Atividades e Projeto Comentario'!A:L,12,FALSE)</f>
        <v>10</v>
      </c>
    </row>
    <row r="14" spans="1:8" x14ac:dyDescent="0.25">
      <c r="A14" t="s">
        <v>26</v>
      </c>
      <c r="B14" t="s">
        <v>27</v>
      </c>
      <c r="C14" t="s">
        <v>83</v>
      </c>
      <c r="D14" s="1">
        <v>2</v>
      </c>
      <c r="E14" s="5">
        <f>VLOOKUP(A14,'Atividades e Projeto Comentario'!A:L,5,FALSE)</f>
        <v>11</v>
      </c>
      <c r="F14" s="5">
        <f>VLOOKUP(A14,'Atividades e Projeto Comentario'!A:L,9,FALSE)</f>
        <v>9</v>
      </c>
      <c r="G14" s="32">
        <f t="shared" si="0"/>
        <v>10</v>
      </c>
      <c r="H14" s="32">
        <f>VLOOKUP(A14,'Atividades e Projeto Comentario'!A:L,12,FALSE)</f>
        <v>9</v>
      </c>
    </row>
    <row r="15" spans="1:8" x14ac:dyDescent="0.25">
      <c r="A15" s="9" t="s">
        <v>28</v>
      </c>
      <c r="B15" s="9" t="s">
        <v>29</v>
      </c>
      <c r="C15" s="9" t="s">
        <v>29</v>
      </c>
      <c r="D15" s="10">
        <v>8</v>
      </c>
      <c r="E15" s="13">
        <f>VLOOKUP(A15,'Atividades e Projeto Comentario'!A:L,5,FALSE)</f>
        <v>11</v>
      </c>
      <c r="F15" s="13">
        <f>VLOOKUP(A15,'Atividades e Projeto Comentario'!A:L,9,FALSE)</f>
        <v>9</v>
      </c>
      <c r="G15" s="17">
        <f t="shared" si="0"/>
        <v>10</v>
      </c>
      <c r="H15" s="17">
        <f>VLOOKUP(A15,'Atividades e Projeto Comentario'!A:L,12,FALSE)</f>
        <v>9</v>
      </c>
    </row>
    <row r="16" spans="1:8" x14ac:dyDescent="0.25">
      <c r="A16" t="s">
        <v>30</v>
      </c>
      <c r="B16" t="s">
        <v>31</v>
      </c>
      <c r="C16" t="s">
        <v>101</v>
      </c>
      <c r="D16" s="1">
        <v>8</v>
      </c>
      <c r="E16" s="5">
        <f>VLOOKUP(A16,'Atividades e Projeto Comentario'!A:L,5,FALSE)</f>
        <v>11</v>
      </c>
      <c r="F16" s="5">
        <f>VLOOKUP(A16,'Atividades e Projeto Comentario'!A:L,9,FALSE)</f>
        <v>9</v>
      </c>
      <c r="G16" s="32">
        <f t="shared" si="0"/>
        <v>10</v>
      </c>
      <c r="H16" s="32">
        <f>VLOOKUP(A16,'Atividades e Projeto Comentario'!A:L,12,FALSE)</f>
        <v>9</v>
      </c>
    </row>
    <row r="17" spans="1:8" x14ac:dyDescent="0.25">
      <c r="A17" t="s">
        <v>32</v>
      </c>
      <c r="B17" t="s">
        <v>33</v>
      </c>
      <c r="C17" t="s">
        <v>33</v>
      </c>
      <c r="D17" s="1">
        <v>6</v>
      </c>
      <c r="E17" s="5">
        <f>VLOOKUP(A17,'Atividades e Projeto Comentario'!A:L,5,FALSE)</f>
        <v>10</v>
      </c>
      <c r="F17" s="5">
        <f>VLOOKUP(A17,'Atividades e Projeto Comentario'!A:L,9,FALSE)</f>
        <v>9</v>
      </c>
      <c r="G17" s="32">
        <f t="shared" si="0"/>
        <v>9.5</v>
      </c>
      <c r="H17" s="32">
        <f>VLOOKUP(A17,'Atividades e Projeto Comentario'!A:L,12,FALSE)</f>
        <v>6</v>
      </c>
    </row>
    <row r="18" spans="1:8" x14ac:dyDescent="0.25">
      <c r="A18" t="s">
        <v>34</v>
      </c>
      <c r="B18" t="s">
        <v>35</v>
      </c>
      <c r="C18" t="s">
        <v>84</v>
      </c>
      <c r="D18" s="1">
        <v>2</v>
      </c>
      <c r="E18" s="5">
        <f>VLOOKUP(A18,'Atividades e Projeto Comentario'!A:L,5,FALSE)</f>
        <v>11</v>
      </c>
      <c r="F18" s="5">
        <f>VLOOKUP(A18,'Atividades e Projeto Comentario'!A:L,9,FALSE)</f>
        <v>9</v>
      </c>
      <c r="G18" s="32">
        <f t="shared" si="0"/>
        <v>10</v>
      </c>
      <c r="H18" s="32">
        <f>VLOOKUP(A18,'Atividades e Projeto Comentario'!A:L,12,FALSE)</f>
        <v>9</v>
      </c>
    </row>
    <row r="19" spans="1:8" x14ac:dyDescent="0.25">
      <c r="A19" t="s">
        <v>36</v>
      </c>
      <c r="B19" t="s">
        <v>37</v>
      </c>
      <c r="C19" t="s">
        <v>91</v>
      </c>
      <c r="D19" s="1">
        <v>4</v>
      </c>
      <c r="E19" s="5">
        <f>VLOOKUP(A19,'Atividades e Projeto Comentario'!A:L,5,FALSE)</f>
        <v>11</v>
      </c>
      <c r="F19" s="5">
        <f>VLOOKUP(A19,'Atividades e Projeto Comentario'!A:L,9,FALSE)</f>
        <v>9</v>
      </c>
      <c r="G19" s="32">
        <f t="shared" si="0"/>
        <v>10</v>
      </c>
      <c r="H19" s="32">
        <f>VLOOKUP(A19,'Atividades e Projeto Comentario'!A:L,12,FALSE)</f>
        <v>7</v>
      </c>
    </row>
    <row r="20" spans="1:8" x14ac:dyDescent="0.25">
      <c r="A20" s="9" t="s">
        <v>38</v>
      </c>
      <c r="B20" s="9" t="s">
        <v>39</v>
      </c>
      <c r="C20" s="9" t="s">
        <v>85</v>
      </c>
      <c r="D20" s="10">
        <v>2</v>
      </c>
      <c r="E20" s="13">
        <f>VLOOKUP(A20,'Atividades e Projeto Comentario'!A:L,5,FALSE)</f>
        <v>11</v>
      </c>
      <c r="F20" s="13">
        <f>VLOOKUP(A20,'Atividades e Projeto Comentario'!A:L,9,FALSE)</f>
        <v>9</v>
      </c>
      <c r="G20" s="17">
        <f t="shared" si="0"/>
        <v>10</v>
      </c>
      <c r="H20" s="17">
        <f>VLOOKUP(A20,'Atividades e Projeto Comentario'!A:L,12,FALSE)</f>
        <v>9</v>
      </c>
    </row>
    <row r="21" spans="1:8" x14ac:dyDescent="0.25">
      <c r="A21" t="s">
        <v>40</v>
      </c>
      <c r="B21" t="s">
        <v>41</v>
      </c>
      <c r="C21" t="s">
        <v>41</v>
      </c>
      <c r="D21" s="1">
        <v>1</v>
      </c>
      <c r="E21" s="5">
        <f>VLOOKUP(A21,'Atividades e Projeto Comentario'!A:L,5,FALSE)</f>
        <v>12</v>
      </c>
      <c r="F21" s="5">
        <f>VLOOKUP(A21,'Atividades e Projeto Comentario'!A:L,9,FALSE)</f>
        <v>9</v>
      </c>
      <c r="G21" s="32">
        <f t="shared" si="0"/>
        <v>10</v>
      </c>
      <c r="H21" s="32">
        <f>VLOOKUP(A21,'Atividades e Projeto Comentario'!A:L,12,FALSE)</f>
        <v>10</v>
      </c>
    </row>
    <row r="22" spans="1:8" x14ac:dyDescent="0.25">
      <c r="A22" t="s">
        <v>42</v>
      </c>
      <c r="B22" t="s">
        <v>43</v>
      </c>
      <c r="C22" t="s">
        <v>43</v>
      </c>
      <c r="D22" s="1">
        <v>4</v>
      </c>
      <c r="E22" s="5">
        <f>VLOOKUP(A22,'Atividades e Projeto Comentario'!A:L,5,FALSE)</f>
        <v>11</v>
      </c>
      <c r="F22" s="5">
        <f>VLOOKUP(A22,'Atividades e Projeto Comentario'!A:L,9,FALSE)</f>
        <v>9</v>
      </c>
      <c r="G22" s="32">
        <f t="shared" si="0"/>
        <v>10</v>
      </c>
      <c r="H22" s="32">
        <f>VLOOKUP(A22,'Atividades e Projeto Comentario'!A:L,12,FALSE)</f>
        <v>7</v>
      </c>
    </row>
    <row r="23" spans="1:8" x14ac:dyDescent="0.25">
      <c r="A23" t="s">
        <v>44</v>
      </c>
      <c r="B23" t="s">
        <v>45</v>
      </c>
      <c r="C23" t="s">
        <v>88</v>
      </c>
      <c r="D23" s="1">
        <v>3</v>
      </c>
      <c r="E23" s="5">
        <f>VLOOKUP(A23,'Atividades e Projeto Comentario'!A:L,5,FALSE)</f>
        <v>11</v>
      </c>
      <c r="F23" s="5">
        <f>VLOOKUP(A23,'Atividades e Projeto Comentario'!A:L,9,FALSE)</f>
        <v>9</v>
      </c>
      <c r="G23" s="32">
        <f t="shared" si="0"/>
        <v>10</v>
      </c>
      <c r="H23" s="32">
        <f>VLOOKUP(A23,'Atividades e Projeto Comentario'!A:L,12,FALSE)</f>
        <v>7</v>
      </c>
    </row>
    <row r="24" spans="1:8" x14ac:dyDescent="0.25">
      <c r="A24" t="s">
        <v>46</v>
      </c>
      <c r="B24" t="s">
        <v>47</v>
      </c>
      <c r="C24" t="s">
        <v>92</v>
      </c>
      <c r="D24" s="1">
        <v>4</v>
      </c>
      <c r="E24" s="5">
        <f>VLOOKUP(A24,'Atividades e Projeto Comentario'!A:L,5,FALSE)</f>
        <v>12</v>
      </c>
      <c r="F24" s="5">
        <f>VLOOKUP(A24,'Atividades e Projeto Comentario'!A:L,9,FALSE)</f>
        <v>10</v>
      </c>
      <c r="G24" s="32">
        <f t="shared" si="0"/>
        <v>10</v>
      </c>
      <c r="H24" s="32">
        <f>VLOOKUP(A24,'Atividades e Projeto Comentario'!A:L,12,FALSE)</f>
        <v>10</v>
      </c>
    </row>
    <row r="25" spans="1:8" x14ac:dyDescent="0.25">
      <c r="A25" s="9" t="s">
        <v>48</v>
      </c>
      <c r="B25" s="9" t="s">
        <v>49</v>
      </c>
      <c r="C25" s="9" t="s">
        <v>49</v>
      </c>
      <c r="D25" s="10">
        <v>1</v>
      </c>
      <c r="E25" s="13">
        <f>VLOOKUP(A25,'Atividades e Projeto Comentario'!A:L,5,FALSE)</f>
        <v>12</v>
      </c>
      <c r="F25" s="13">
        <f>VLOOKUP(A25,'Atividades e Projeto Comentario'!A:L,9,FALSE)</f>
        <v>9</v>
      </c>
      <c r="G25" s="17">
        <f t="shared" si="0"/>
        <v>10</v>
      </c>
      <c r="H25" s="17">
        <f>VLOOKUP(A25,'Atividades e Projeto Comentario'!A:L,12,FALSE)</f>
        <v>10</v>
      </c>
    </row>
    <row r="26" spans="1:8" x14ac:dyDescent="0.25">
      <c r="A26" t="s">
        <v>50</v>
      </c>
      <c r="B26" t="s">
        <v>51</v>
      </c>
      <c r="C26" t="s">
        <v>102</v>
      </c>
      <c r="D26" s="1">
        <v>8</v>
      </c>
      <c r="E26" s="5">
        <f>VLOOKUP(A26,'Atividades e Projeto Comentario'!A:L,5,FALSE)</f>
        <v>11</v>
      </c>
      <c r="F26" s="5">
        <f>VLOOKUP(A26,'Atividades e Projeto Comentario'!A:L,9,FALSE)</f>
        <v>9</v>
      </c>
      <c r="G26" s="32">
        <f t="shared" si="0"/>
        <v>10</v>
      </c>
      <c r="H26" s="32">
        <f>VLOOKUP(A26,'Atividades e Projeto Comentario'!A:L,12,FALSE)</f>
        <v>9</v>
      </c>
    </row>
    <row r="27" spans="1:8" x14ac:dyDescent="0.25">
      <c r="A27" t="s">
        <v>52</v>
      </c>
      <c r="B27" t="s">
        <v>53</v>
      </c>
      <c r="C27" t="s">
        <v>53</v>
      </c>
      <c r="D27" s="1">
        <v>5</v>
      </c>
      <c r="E27" s="5">
        <f>VLOOKUP(A27,'Atividades e Projeto Comentario'!A:L,5,FALSE)</f>
        <v>11</v>
      </c>
      <c r="F27" s="5">
        <f>VLOOKUP(A27,'Atividades e Projeto Comentario'!A:L,9,FALSE)</f>
        <v>9</v>
      </c>
      <c r="G27" s="32">
        <f t="shared" si="0"/>
        <v>10</v>
      </c>
      <c r="H27" s="32">
        <f>VLOOKUP(A27,'Atividades e Projeto Comentario'!A:L,12,FALSE)</f>
        <v>5</v>
      </c>
    </row>
    <row r="28" spans="1:8" x14ac:dyDescent="0.25">
      <c r="A28" t="s">
        <v>54</v>
      </c>
      <c r="B28" t="s">
        <v>55</v>
      </c>
      <c r="C28" t="s">
        <v>55</v>
      </c>
      <c r="D28" s="1">
        <v>5</v>
      </c>
      <c r="E28" s="5">
        <f>VLOOKUP(A28,'Atividades e Projeto Comentario'!A:L,5,FALSE)</f>
        <v>11</v>
      </c>
      <c r="F28" s="5">
        <f>VLOOKUP(A28,'Atividades e Projeto Comentario'!A:L,9,FALSE)</f>
        <v>9</v>
      </c>
      <c r="G28" s="32">
        <f t="shared" si="0"/>
        <v>10</v>
      </c>
      <c r="H28" s="32">
        <f>VLOOKUP(A28,'Atividades e Projeto Comentario'!A:L,12,FALSE)</f>
        <v>5</v>
      </c>
    </row>
    <row r="29" spans="1:8" x14ac:dyDescent="0.25">
      <c r="A29" t="s">
        <v>56</v>
      </c>
      <c r="B29" t="s">
        <v>57</v>
      </c>
      <c r="C29" t="s">
        <v>57</v>
      </c>
      <c r="D29" s="1">
        <v>7</v>
      </c>
      <c r="E29" s="5">
        <f>VLOOKUP(A29,'Atividades e Projeto Comentario'!A:L,5,FALSE)</f>
        <v>12</v>
      </c>
      <c r="F29" s="5">
        <f>VLOOKUP(A29,'Atividades e Projeto Comentario'!A:L,9,FALSE)</f>
        <v>9</v>
      </c>
      <c r="G29" s="32">
        <f t="shared" si="0"/>
        <v>10</v>
      </c>
      <c r="H29" s="32">
        <f>VLOOKUP(A29,'Atividades e Projeto Comentario'!A:L,12,FALSE)</f>
        <v>9.5</v>
      </c>
    </row>
    <row r="30" spans="1:8" x14ac:dyDescent="0.25">
      <c r="A30" s="9" t="s">
        <v>58</v>
      </c>
      <c r="B30" s="9" t="s">
        <v>59</v>
      </c>
      <c r="C30" s="9" t="s">
        <v>59</v>
      </c>
      <c r="D30" s="10">
        <v>5</v>
      </c>
      <c r="E30" s="13">
        <f>VLOOKUP(A30,'Atividades e Projeto Comentario'!A:L,5,FALSE)</f>
        <v>11</v>
      </c>
      <c r="F30" s="13">
        <f>VLOOKUP(A30,'Atividades e Projeto Comentario'!A:L,9,FALSE)</f>
        <v>9</v>
      </c>
      <c r="G30" s="17">
        <f t="shared" si="0"/>
        <v>10</v>
      </c>
      <c r="H30" s="17">
        <f>VLOOKUP(A30,'Atividades e Projeto Comentario'!A:L,12,FALSE)</f>
        <v>5</v>
      </c>
    </row>
    <row r="31" spans="1:8" x14ac:dyDescent="0.25">
      <c r="A31" t="s">
        <v>60</v>
      </c>
      <c r="B31" t="s">
        <v>61</v>
      </c>
      <c r="C31" t="s">
        <v>93</v>
      </c>
      <c r="D31" s="1">
        <v>4</v>
      </c>
      <c r="E31" s="5">
        <f>VLOOKUP(A31,'Atividades e Projeto Comentario'!A:L,5,FALSE)</f>
        <v>11</v>
      </c>
      <c r="F31" s="5">
        <f>VLOOKUP(A31,'Atividades e Projeto Comentario'!A:L,9,FALSE)</f>
        <v>9</v>
      </c>
      <c r="G31" s="32">
        <f t="shared" si="0"/>
        <v>10</v>
      </c>
      <c r="H31" s="32">
        <f>VLOOKUP(A31,'Atividades e Projeto Comentario'!A:L,12,FALSE)</f>
        <v>7</v>
      </c>
    </row>
    <row r="32" spans="1:8" x14ac:dyDescent="0.25">
      <c r="A32" t="s">
        <v>62</v>
      </c>
      <c r="B32" t="s">
        <v>63</v>
      </c>
      <c r="C32" t="s">
        <v>103</v>
      </c>
      <c r="D32" s="1">
        <v>8</v>
      </c>
      <c r="E32" s="5">
        <f>VLOOKUP(A32,'Atividades e Projeto Comentario'!A:L,5,FALSE)</f>
        <v>11</v>
      </c>
      <c r="F32" s="5">
        <f>VLOOKUP(A32,'Atividades e Projeto Comentario'!A:L,9,FALSE)</f>
        <v>9</v>
      </c>
      <c r="G32" s="32">
        <f t="shared" si="0"/>
        <v>10</v>
      </c>
      <c r="H32" s="32">
        <f>VLOOKUP(A32,'Atividades e Projeto Comentario'!A:L,12,FALSE)</f>
        <v>9</v>
      </c>
    </row>
    <row r="33" spans="1:8" x14ac:dyDescent="0.25">
      <c r="A33" t="s">
        <v>64</v>
      </c>
      <c r="B33" t="s">
        <v>65</v>
      </c>
      <c r="C33" s="3" t="s">
        <v>89</v>
      </c>
      <c r="D33" s="4">
        <v>3</v>
      </c>
      <c r="E33" s="44">
        <f>VLOOKUP(A33,'Atividades e Projeto Comentario'!A:L,5,FALSE)</f>
        <v>12</v>
      </c>
      <c r="F33" s="44">
        <f>VLOOKUP(A33,'Atividades e Projeto Comentario'!A:L,9,FALSE)</f>
        <v>10</v>
      </c>
      <c r="G33" s="32">
        <f t="shared" si="0"/>
        <v>10</v>
      </c>
      <c r="H33" s="32">
        <f>VLOOKUP(A33,'Atividades e Projeto Comentario'!A:L,12,FALSE)</f>
        <v>10</v>
      </c>
    </row>
    <row r="34" spans="1:8" x14ac:dyDescent="0.25">
      <c r="A34" t="s">
        <v>66</v>
      </c>
      <c r="B34" t="s">
        <v>67</v>
      </c>
      <c r="C34" t="s">
        <v>98</v>
      </c>
      <c r="D34" s="1">
        <v>10</v>
      </c>
      <c r="E34" s="5">
        <f>VLOOKUP(A34,'Atividades e Projeto Comentario'!A:L,5,FALSE)</f>
        <v>9</v>
      </c>
      <c r="F34" s="5">
        <f>VLOOKUP(A34,'Atividades e Projeto Comentario'!A:L,9,FALSE)</f>
        <v>9</v>
      </c>
      <c r="G34" s="32">
        <f t="shared" si="0"/>
        <v>9</v>
      </c>
      <c r="H34" s="32">
        <f>VLOOKUP(A34,'Atividades e Projeto Comentario'!A:L,12,FALSE)</f>
        <v>10</v>
      </c>
    </row>
    <row r="35" spans="1:8" x14ac:dyDescent="0.25">
      <c r="A35" s="9" t="s">
        <v>68</v>
      </c>
      <c r="B35" s="9" t="s">
        <v>69</v>
      </c>
      <c r="C35" s="9" t="s">
        <v>69</v>
      </c>
      <c r="D35" s="10">
        <v>3</v>
      </c>
      <c r="E35" s="13">
        <f>VLOOKUP(A35,'Atividades e Projeto Comentario'!A:L,5,FALSE)</f>
        <v>12</v>
      </c>
      <c r="F35" s="13">
        <f>VLOOKUP(A35,'Atividades e Projeto Comentario'!A:L,9,FALSE)</f>
        <v>10</v>
      </c>
      <c r="G35" s="17">
        <f t="shared" si="0"/>
        <v>10</v>
      </c>
      <c r="H35" s="17">
        <f>VLOOKUP(A35,'Atividades e Projeto Comentario'!A:L,12,FALSE)</f>
        <v>10</v>
      </c>
    </row>
    <row r="36" spans="1:8" x14ac:dyDescent="0.25">
      <c r="A36" t="s">
        <v>70</v>
      </c>
      <c r="B36" t="s">
        <v>71</v>
      </c>
      <c r="C36" t="s">
        <v>104</v>
      </c>
      <c r="D36" s="1">
        <v>8</v>
      </c>
      <c r="E36" s="5">
        <f>VLOOKUP(A36,'Atividades e Projeto Comentario'!A:L,5,FALSE)</f>
        <v>11</v>
      </c>
      <c r="F36" s="5">
        <f>VLOOKUP(A36,'Atividades e Projeto Comentario'!A:L,9,FALSE)</f>
        <v>9</v>
      </c>
      <c r="G36" s="32">
        <f t="shared" si="0"/>
        <v>10</v>
      </c>
      <c r="H36" s="32">
        <f>VLOOKUP(A36,'Atividades e Projeto Comentario'!A:L,12,FALSE)</f>
        <v>9</v>
      </c>
    </row>
    <row r="37" spans="1:8" x14ac:dyDescent="0.25">
      <c r="A37" t="s">
        <v>72</v>
      </c>
      <c r="B37" t="s">
        <v>73</v>
      </c>
      <c r="C37" t="s">
        <v>86</v>
      </c>
      <c r="D37" s="1">
        <v>2</v>
      </c>
      <c r="E37" s="5">
        <f>VLOOKUP(A37,'Atividades e Projeto Comentario'!A:L,5,FALSE)</f>
        <v>11</v>
      </c>
      <c r="F37" s="5">
        <f>VLOOKUP(A37,'Atividades e Projeto Comentario'!A:L,9,FALSE)</f>
        <v>9</v>
      </c>
      <c r="G37" s="32">
        <f t="shared" si="0"/>
        <v>10</v>
      </c>
      <c r="H37" s="32">
        <f>VLOOKUP(A37,'Atividades e Projeto Comentario'!A:L,12,FALSE)</f>
        <v>9</v>
      </c>
    </row>
    <row r="38" spans="1:8" x14ac:dyDescent="0.25">
      <c r="A38" t="s">
        <v>74</v>
      </c>
      <c r="B38" t="s">
        <v>75</v>
      </c>
      <c r="C38" t="s">
        <v>87</v>
      </c>
      <c r="D38" s="1">
        <v>2</v>
      </c>
      <c r="E38" s="5">
        <f>VLOOKUP(A38,'Atividades e Projeto Comentario'!A:L,5,FALSE)</f>
        <v>11</v>
      </c>
      <c r="F38" s="5">
        <f>VLOOKUP(A38,'Atividades e Projeto Comentario'!A:L,9,FALSE)</f>
        <v>9</v>
      </c>
      <c r="G38" s="32">
        <f t="shared" si="0"/>
        <v>10</v>
      </c>
      <c r="H38" s="32">
        <f>VLOOKUP(A38,'Atividades e Projeto Comentario'!A:L,12,FALSE)</f>
        <v>9</v>
      </c>
    </row>
    <row r="39" spans="1:8" x14ac:dyDescent="0.25">
      <c r="A39" t="s">
        <v>76</v>
      </c>
      <c r="B39" t="s">
        <v>77</v>
      </c>
      <c r="C39" t="s">
        <v>94</v>
      </c>
      <c r="D39" s="1">
        <v>5</v>
      </c>
      <c r="E39" s="5">
        <f>VLOOKUP(A39,'Atividades e Projeto Comentario'!A:L,5,FALSE)</f>
        <v>11</v>
      </c>
      <c r="F39" s="5">
        <f>VLOOKUP(A39,'Atividades e Projeto Comentario'!A:L,9,FALSE)</f>
        <v>9</v>
      </c>
      <c r="G39" s="32">
        <f t="shared" si="0"/>
        <v>10</v>
      </c>
      <c r="H39" s="32">
        <f>VLOOKUP(A39,'Atividades e Projeto Comentario'!A:L,12,FALSE)</f>
        <v>5</v>
      </c>
    </row>
    <row r="40" spans="1:8" x14ac:dyDescent="0.25">
      <c r="A40" s="9" t="s">
        <v>78</v>
      </c>
      <c r="B40" s="9" t="s">
        <v>79</v>
      </c>
      <c r="C40" s="9" t="s">
        <v>90</v>
      </c>
      <c r="D40" s="10">
        <v>3</v>
      </c>
      <c r="E40" s="13">
        <f>VLOOKUP(A40,'Atividades e Projeto Comentario'!A:L,5,FALSE)</f>
        <v>12</v>
      </c>
      <c r="F40" s="13">
        <f>VLOOKUP(A40,'Atividades e Projeto Comentario'!A:L,9,FALSE)</f>
        <v>10</v>
      </c>
      <c r="G40" s="17">
        <f t="shared" si="0"/>
        <v>10</v>
      </c>
      <c r="H40" s="17">
        <f>VLOOKUP(A40,'Atividades e Projeto Comentario'!A:L,12,FALSE)</f>
        <v>10</v>
      </c>
    </row>
  </sheetData>
  <autoFilter ref="A1:H40" xr:uid="{78D498CF-3B98-498D-A544-9AE3DC173365}">
    <sortState xmlns:xlrd2="http://schemas.microsoft.com/office/spreadsheetml/2017/richdata2" ref="A2:H40">
      <sortCondition ref="B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86805-7911-4E1A-BE82-32B65E5AE99F}">
  <dimension ref="A1:M40"/>
  <sheetViews>
    <sheetView workbookViewId="0">
      <selection activeCell="B21" sqref="B21"/>
    </sheetView>
  </sheetViews>
  <sheetFormatPr defaultRowHeight="15" x14ac:dyDescent="0.25"/>
  <cols>
    <col min="1" max="1" width="10.28515625" bestFit="1" customWidth="1"/>
    <col min="2" max="3" width="35.28515625" bestFit="1" customWidth="1"/>
    <col min="4" max="4" width="0" hidden="1" customWidth="1"/>
    <col min="6" max="8" width="9.140625" hidden="1" customWidth="1"/>
    <col min="10" max="10" width="0" hidden="1" customWidth="1"/>
    <col min="13" max="13" width="87.7109375" style="29" bestFit="1" customWidth="1"/>
  </cols>
  <sheetData>
    <row r="1" spans="1:13" x14ac:dyDescent="0.25">
      <c r="A1" s="15" t="s">
        <v>0</v>
      </c>
      <c r="B1" s="15" t="s">
        <v>1</v>
      </c>
      <c r="C1" s="15" t="s">
        <v>105</v>
      </c>
      <c r="D1" s="16" t="s">
        <v>80</v>
      </c>
      <c r="E1" s="17" t="s">
        <v>81</v>
      </c>
      <c r="F1" s="18" t="s">
        <v>106</v>
      </c>
      <c r="G1" s="18" t="s">
        <v>111</v>
      </c>
      <c r="H1" s="18" t="s">
        <v>112</v>
      </c>
      <c r="I1" s="17" t="s">
        <v>82</v>
      </c>
      <c r="J1" s="15" t="s">
        <v>107</v>
      </c>
      <c r="K1" s="17" t="s">
        <v>132</v>
      </c>
      <c r="L1" s="17" t="s">
        <v>143</v>
      </c>
      <c r="M1" s="31" t="s">
        <v>144</v>
      </c>
    </row>
    <row r="2" spans="1:13" ht="60" x14ac:dyDescent="0.25">
      <c r="A2" s="19" t="s">
        <v>40</v>
      </c>
      <c r="B2" s="19" t="s">
        <v>41</v>
      </c>
      <c r="C2" s="19" t="s">
        <v>41</v>
      </c>
      <c r="D2" s="20">
        <v>1</v>
      </c>
      <c r="E2" s="21">
        <v>12</v>
      </c>
      <c r="F2" s="22" t="s">
        <v>124</v>
      </c>
      <c r="G2" s="22" t="s">
        <v>118</v>
      </c>
      <c r="H2" s="22" t="s">
        <v>119</v>
      </c>
      <c r="I2" s="21">
        <v>9</v>
      </c>
      <c r="J2" s="19" t="s">
        <v>108</v>
      </c>
      <c r="K2" s="21">
        <f t="shared" ref="K2:K40" si="0">MIN((E2+I2)/2,10)</f>
        <v>10</v>
      </c>
      <c r="L2" s="21">
        <v>10</v>
      </c>
      <c r="M2" s="30" t="s">
        <v>140</v>
      </c>
    </row>
    <row r="3" spans="1:13" x14ac:dyDescent="0.25">
      <c r="A3" s="19" t="s">
        <v>48</v>
      </c>
      <c r="B3" s="19" t="s">
        <v>49</v>
      </c>
      <c r="C3" s="19" t="s">
        <v>49</v>
      </c>
      <c r="D3" s="20">
        <v>1</v>
      </c>
      <c r="E3" s="21">
        <v>12</v>
      </c>
      <c r="F3" s="22" t="s">
        <v>124</v>
      </c>
      <c r="G3" s="22" t="s">
        <v>118</v>
      </c>
      <c r="H3" s="22" t="s">
        <v>119</v>
      </c>
      <c r="I3" s="21">
        <v>9</v>
      </c>
      <c r="J3" s="19" t="s">
        <v>108</v>
      </c>
      <c r="K3" s="21">
        <f t="shared" si="0"/>
        <v>10</v>
      </c>
      <c r="L3" s="21">
        <v>10</v>
      </c>
      <c r="M3" s="30"/>
    </row>
    <row r="4" spans="1:13" ht="90" customHeight="1" x14ac:dyDescent="0.25">
      <c r="A4" t="s">
        <v>26</v>
      </c>
      <c r="B4" t="s">
        <v>27</v>
      </c>
      <c r="C4" t="s">
        <v>83</v>
      </c>
      <c r="D4" s="1">
        <v>2</v>
      </c>
      <c r="E4" s="5">
        <v>11</v>
      </c>
      <c r="F4" s="8" t="s">
        <v>117</v>
      </c>
      <c r="G4" s="8" t="s">
        <v>115</v>
      </c>
      <c r="H4" s="8" t="s">
        <v>116</v>
      </c>
      <c r="I4" s="5">
        <v>9</v>
      </c>
      <c r="J4" t="s">
        <v>110</v>
      </c>
      <c r="K4" s="5">
        <f t="shared" si="0"/>
        <v>10</v>
      </c>
      <c r="L4" s="5">
        <v>9</v>
      </c>
      <c r="M4" s="64" t="s">
        <v>137</v>
      </c>
    </row>
    <row r="5" spans="1:13" x14ac:dyDescent="0.25">
      <c r="A5" s="9" t="s">
        <v>34</v>
      </c>
      <c r="B5" s="9" t="s">
        <v>35</v>
      </c>
      <c r="C5" s="9" t="s">
        <v>84</v>
      </c>
      <c r="D5" s="10">
        <v>2</v>
      </c>
      <c r="E5" s="13">
        <v>11</v>
      </c>
      <c r="F5" s="12" t="s">
        <v>117</v>
      </c>
      <c r="G5" s="12" t="s">
        <v>115</v>
      </c>
      <c r="H5" s="12" t="s">
        <v>116</v>
      </c>
      <c r="I5" s="13">
        <v>9</v>
      </c>
      <c r="J5" s="9" t="s">
        <v>108</v>
      </c>
      <c r="K5" s="13">
        <f t="shared" si="0"/>
        <v>10</v>
      </c>
      <c r="L5" s="13">
        <v>9</v>
      </c>
      <c r="M5" s="64"/>
    </row>
    <row r="6" spans="1:13" x14ac:dyDescent="0.25">
      <c r="A6" t="s">
        <v>38</v>
      </c>
      <c r="B6" t="s">
        <v>39</v>
      </c>
      <c r="C6" t="s">
        <v>85</v>
      </c>
      <c r="D6" s="1">
        <v>2</v>
      </c>
      <c r="E6" s="5">
        <v>11</v>
      </c>
      <c r="F6" s="8" t="s">
        <v>117</v>
      </c>
      <c r="G6" s="8" t="s">
        <v>115</v>
      </c>
      <c r="H6" s="8" t="s">
        <v>116</v>
      </c>
      <c r="I6" s="5">
        <v>9</v>
      </c>
      <c r="J6" t="s">
        <v>108</v>
      </c>
      <c r="K6" s="5">
        <f t="shared" si="0"/>
        <v>10</v>
      </c>
      <c r="L6" s="5">
        <v>9</v>
      </c>
      <c r="M6" s="64"/>
    </row>
    <row r="7" spans="1:13" x14ac:dyDescent="0.25">
      <c r="A7" t="s">
        <v>72</v>
      </c>
      <c r="B7" t="s">
        <v>73</v>
      </c>
      <c r="C7" t="s">
        <v>86</v>
      </c>
      <c r="D7" s="1">
        <v>2</v>
      </c>
      <c r="E7" s="5">
        <v>11</v>
      </c>
      <c r="F7" s="8" t="s">
        <v>117</v>
      </c>
      <c r="G7" s="8" t="s">
        <v>115</v>
      </c>
      <c r="H7" s="8" t="s">
        <v>116</v>
      </c>
      <c r="I7" s="5">
        <v>9</v>
      </c>
      <c r="J7" t="s">
        <v>108</v>
      </c>
      <c r="K7" s="5">
        <f t="shared" si="0"/>
        <v>10</v>
      </c>
      <c r="L7" s="5">
        <v>9</v>
      </c>
      <c r="M7" s="64"/>
    </row>
    <row r="8" spans="1:13" x14ac:dyDescent="0.25">
      <c r="A8" t="s">
        <v>74</v>
      </c>
      <c r="B8" t="s">
        <v>75</v>
      </c>
      <c r="C8" t="s">
        <v>87</v>
      </c>
      <c r="D8" s="1">
        <v>2</v>
      </c>
      <c r="E8" s="5">
        <v>11</v>
      </c>
      <c r="F8" s="8" t="s">
        <v>117</v>
      </c>
      <c r="G8" s="8" t="s">
        <v>115</v>
      </c>
      <c r="H8" s="8" t="s">
        <v>116</v>
      </c>
      <c r="I8" s="5">
        <v>9</v>
      </c>
      <c r="J8" t="s">
        <v>108</v>
      </c>
      <c r="K8" s="5">
        <f t="shared" si="0"/>
        <v>10</v>
      </c>
      <c r="L8" s="5">
        <v>9</v>
      </c>
      <c r="M8" s="64"/>
    </row>
    <row r="9" spans="1:13" x14ac:dyDescent="0.25">
      <c r="A9" s="19" t="s">
        <v>24</v>
      </c>
      <c r="B9" s="19" t="s">
        <v>25</v>
      </c>
      <c r="C9" s="23" t="s">
        <v>25</v>
      </c>
      <c r="D9" s="24">
        <v>3</v>
      </c>
      <c r="E9" s="21">
        <v>12</v>
      </c>
      <c r="F9" s="22" t="s">
        <v>125</v>
      </c>
      <c r="G9" s="22" t="s">
        <v>120</v>
      </c>
      <c r="H9" s="22" t="s">
        <v>116</v>
      </c>
      <c r="I9" s="21">
        <v>10</v>
      </c>
      <c r="J9" s="19" t="s">
        <v>109</v>
      </c>
      <c r="K9" s="21">
        <f t="shared" si="0"/>
        <v>10</v>
      </c>
      <c r="L9" s="21">
        <v>10</v>
      </c>
      <c r="M9" s="65" t="s">
        <v>136</v>
      </c>
    </row>
    <row r="10" spans="1:13" x14ac:dyDescent="0.25">
      <c r="A10" s="19" t="s">
        <v>46</v>
      </c>
      <c r="B10" s="19" t="s">
        <v>47</v>
      </c>
      <c r="C10" s="25" t="s">
        <v>88</v>
      </c>
      <c r="D10" s="26">
        <v>3</v>
      </c>
      <c r="E10" s="27">
        <v>12</v>
      </c>
      <c r="F10" s="28" t="s">
        <v>125</v>
      </c>
      <c r="G10" s="28" t="s">
        <v>120</v>
      </c>
      <c r="H10" s="28" t="s">
        <v>116</v>
      </c>
      <c r="I10" s="27">
        <v>10</v>
      </c>
      <c r="J10" s="25" t="s">
        <v>109</v>
      </c>
      <c r="K10" s="27">
        <f t="shared" si="0"/>
        <v>10</v>
      </c>
      <c r="L10" s="27">
        <v>10</v>
      </c>
      <c r="M10" s="65"/>
    </row>
    <row r="11" spans="1:13" x14ac:dyDescent="0.25">
      <c r="A11" s="19" t="s">
        <v>64</v>
      </c>
      <c r="B11" s="19" t="s">
        <v>65</v>
      </c>
      <c r="C11" s="23" t="s">
        <v>89</v>
      </c>
      <c r="D11" s="24">
        <v>3</v>
      </c>
      <c r="E11" s="21">
        <v>12</v>
      </c>
      <c r="F11" s="22" t="s">
        <v>125</v>
      </c>
      <c r="G11" s="22" t="s">
        <v>120</v>
      </c>
      <c r="H11" s="22" t="s">
        <v>116</v>
      </c>
      <c r="I11" s="21">
        <v>10</v>
      </c>
      <c r="J11" s="19" t="s">
        <v>108</v>
      </c>
      <c r="K11" s="21">
        <f t="shared" si="0"/>
        <v>10</v>
      </c>
      <c r="L11" s="21">
        <v>10</v>
      </c>
      <c r="M11" s="65"/>
    </row>
    <row r="12" spans="1:13" x14ac:dyDescent="0.25">
      <c r="A12" s="19" t="s">
        <v>68</v>
      </c>
      <c r="B12" s="19" t="s">
        <v>69</v>
      </c>
      <c r="C12" s="19" t="s">
        <v>69</v>
      </c>
      <c r="D12" s="20">
        <v>3</v>
      </c>
      <c r="E12" s="21">
        <v>12</v>
      </c>
      <c r="F12" s="22" t="s">
        <v>125</v>
      </c>
      <c r="G12" s="22" t="s">
        <v>120</v>
      </c>
      <c r="H12" s="22" t="s">
        <v>116</v>
      </c>
      <c r="I12" s="21">
        <v>10</v>
      </c>
      <c r="J12" s="19" t="s">
        <v>108</v>
      </c>
      <c r="K12" s="21">
        <f t="shared" si="0"/>
        <v>10</v>
      </c>
      <c r="L12" s="21">
        <v>10</v>
      </c>
      <c r="M12" s="65"/>
    </row>
    <row r="13" spans="1:13" x14ac:dyDescent="0.25">
      <c r="A13" s="19" t="s">
        <v>78</v>
      </c>
      <c r="B13" s="19" t="s">
        <v>79</v>
      </c>
      <c r="C13" s="19" t="s">
        <v>90</v>
      </c>
      <c r="D13" s="20">
        <v>3</v>
      </c>
      <c r="E13" s="21">
        <v>12</v>
      </c>
      <c r="F13" s="22" t="s">
        <v>125</v>
      </c>
      <c r="G13" s="22" t="s">
        <v>120</v>
      </c>
      <c r="H13" s="22" t="s">
        <v>116</v>
      </c>
      <c r="I13" s="21">
        <v>10</v>
      </c>
      <c r="J13" s="19" t="s">
        <v>108</v>
      </c>
      <c r="K13" s="21">
        <f t="shared" si="0"/>
        <v>10</v>
      </c>
      <c r="L13" s="21">
        <v>10</v>
      </c>
      <c r="M13" s="65"/>
    </row>
    <row r="14" spans="1:13" ht="90" customHeight="1" x14ac:dyDescent="0.25">
      <c r="A14" t="s">
        <v>36</v>
      </c>
      <c r="B14" t="s">
        <v>37</v>
      </c>
      <c r="C14" t="s">
        <v>91</v>
      </c>
      <c r="D14" s="1">
        <v>4</v>
      </c>
      <c r="E14" s="5">
        <v>11</v>
      </c>
      <c r="F14" s="8" t="s">
        <v>131</v>
      </c>
      <c r="G14" s="8" t="s">
        <v>118</v>
      </c>
      <c r="H14" s="8" t="s">
        <v>130</v>
      </c>
      <c r="I14" s="5">
        <v>9</v>
      </c>
      <c r="J14" t="s">
        <v>108</v>
      </c>
      <c r="K14" s="5">
        <f t="shared" si="0"/>
        <v>10</v>
      </c>
      <c r="L14" s="5">
        <v>7</v>
      </c>
      <c r="M14" s="64" t="s">
        <v>134</v>
      </c>
    </row>
    <row r="15" spans="1:13" x14ac:dyDescent="0.25">
      <c r="A15" s="9" t="s">
        <v>42</v>
      </c>
      <c r="B15" s="9" t="s">
        <v>43</v>
      </c>
      <c r="C15" s="9" t="s">
        <v>43</v>
      </c>
      <c r="D15" s="10">
        <v>4</v>
      </c>
      <c r="E15" s="13">
        <v>11</v>
      </c>
      <c r="F15" s="12" t="s">
        <v>131</v>
      </c>
      <c r="G15" s="12" t="s">
        <v>118</v>
      </c>
      <c r="H15" s="12" t="s">
        <v>130</v>
      </c>
      <c r="I15" s="13">
        <v>9</v>
      </c>
      <c r="J15" s="9" t="s">
        <v>109</v>
      </c>
      <c r="K15" s="13">
        <f t="shared" si="0"/>
        <v>10</v>
      </c>
      <c r="L15" s="13">
        <v>7</v>
      </c>
      <c r="M15" s="64"/>
    </row>
    <row r="16" spans="1:13" x14ac:dyDescent="0.25">
      <c r="A16" t="s">
        <v>44</v>
      </c>
      <c r="B16" t="s">
        <v>92</v>
      </c>
      <c r="C16" t="s">
        <v>92</v>
      </c>
      <c r="D16" s="1">
        <v>4</v>
      </c>
      <c r="E16" s="5">
        <v>11</v>
      </c>
      <c r="F16" s="8" t="s">
        <v>131</v>
      </c>
      <c r="G16" s="8" t="s">
        <v>118</v>
      </c>
      <c r="H16" s="8" t="s">
        <v>130</v>
      </c>
      <c r="I16" s="5">
        <v>9</v>
      </c>
      <c r="J16" t="s">
        <v>109</v>
      </c>
      <c r="K16" s="5">
        <f t="shared" si="0"/>
        <v>10</v>
      </c>
      <c r="L16" s="5">
        <v>7</v>
      </c>
      <c r="M16" s="64"/>
    </row>
    <row r="17" spans="1:13" x14ac:dyDescent="0.25">
      <c r="A17" t="s">
        <v>60</v>
      </c>
      <c r="B17" t="s">
        <v>61</v>
      </c>
      <c r="C17" t="s">
        <v>93</v>
      </c>
      <c r="D17" s="1">
        <v>4</v>
      </c>
      <c r="E17" s="5">
        <v>11</v>
      </c>
      <c r="F17" s="8" t="s">
        <v>131</v>
      </c>
      <c r="G17" s="8" t="s">
        <v>118</v>
      </c>
      <c r="H17" s="8" t="s">
        <v>130</v>
      </c>
      <c r="I17" s="5">
        <v>9</v>
      </c>
      <c r="J17" t="s">
        <v>108</v>
      </c>
      <c r="K17" s="5">
        <f t="shared" si="0"/>
        <v>10</v>
      </c>
      <c r="L17" s="5">
        <v>7</v>
      </c>
      <c r="M17" s="64"/>
    </row>
    <row r="18" spans="1:13" ht="45" customHeight="1" x14ac:dyDescent="0.25">
      <c r="A18" s="19" t="s">
        <v>52</v>
      </c>
      <c r="B18" s="19" t="s">
        <v>53</v>
      </c>
      <c r="C18" s="19" t="s">
        <v>53</v>
      </c>
      <c r="D18" s="20">
        <v>5</v>
      </c>
      <c r="E18" s="21">
        <v>11</v>
      </c>
      <c r="F18" s="22" t="s">
        <v>117</v>
      </c>
      <c r="G18" s="22" t="s">
        <v>120</v>
      </c>
      <c r="H18" s="22" t="s">
        <v>121</v>
      </c>
      <c r="I18" s="21">
        <v>9</v>
      </c>
      <c r="J18" s="19" t="s">
        <v>108</v>
      </c>
      <c r="K18" s="21">
        <f t="shared" si="0"/>
        <v>10</v>
      </c>
      <c r="L18" s="21">
        <v>5</v>
      </c>
      <c r="M18" s="66" t="s">
        <v>139</v>
      </c>
    </row>
    <row r="19" spans="1:13" x14ac:dyDescent="0.25">
      <c r="A19" s="19" t="s">
        <v>54</v>
      </c>
      <c r="B19" s="19" t="s">
        <v>55</v>
      </c>
      <c r="C19" s="19" t="s">
        <v>55</v>
      </c>
      <c r="D19" s="20">
        <v>5</v>
      </c>
      <c r="E19" s="21">
        <v>11</v>
      </c>
      <c r="F19" s="22" t="s">
        <v>117</v>
      </c>
      <c r="G19" s="22" t="s">
        <v>120</v>
      </c>
      <c r="H19" s="22" t="s">
        <v>121</v>
      </c>
      <c r="I19" s="21">
        <v>9</v>
      </c>
      <c r="J19" s="19" t="s">
        <v>108</v>
      </c>
      <c r="K19" s="21">
        <f t="shared" si="0"/>
        <v>10</v>
      </c>
      <c r="L19" s="21">
        <v>5</v>
      </c>
      <c r="M19" s="66"/>
    </row>
    <row r="20" spans="1:13" x14ac:dyDescent="0.25">
      <c r="A20" s="25" t="s">
        <v>58</v>
      </c>
      <c r="B20" s="25" t="s">
        <v>59</v>
      </c>
      <c r="C20" s="25" t="s">
        <v>59</v>
      </c>
      <c r="D20" s="26">
        <v>5</v>
      </c>
      <c r="E20" s="27">
        <v>11</v>
      </c>
      <c r="F20" s="28" t="s">
        <v>117</v>
      </c>
      <c r="G20" s="28" t="s">
        <v>120</v>
      </c>
      <c r="H20" s="28" t="s">
        <v>121</v>
      </c>
      <c r="I20" s="27">
        <v>9</v>
      </c>
      <c r="J20" s="25" t="s">
        <v>108</v>
      </c>
      <c r="K20" s="27">
        <f t="shared" si="0"/>
        <v>10</v>
      </c>
      <c r="L20" s="27">
        <v>5</v>
      </c>
      <c r="M20" s="66"/>
    </row>
    <row r="21" spans="1:13" x14ac:dyDescent="0.25">
      <c r="A21" s="19" t="s">
        <v>76</v>
      </c>
      <c r="B21" s="19" t="s">
        <v>77</v>
      </c>
      <c r="C21" s="19" t="s">
        <v>94</v>
      </c>
      <c r="D21" s="20">
        <v>5</v>
      </c>
      <c r="E21" s="21">
        <v>11</v>
      </c>
      <c r="F21" s="22" t="s">
        <v>117</v>
      </c>
      <c r="G21" s="22" t="s">
        <v>120</v>
      </c>
      <c r="H21" s="22" t="s">
        <v>121</v>
      </c>
      <c r="I21" s="21">
        <v>9</v>
      </c>
      <c r="J21" s="19" t="s">
        <v>108</v>
      </c>
      <c r="K21" s="21">
        <f t="shared" si="0"/>
        <v>10</v>
      </c>
      <c r="L21" s="21">
        <v>5</v>
      </c>
      <c r="M21" s="66"/>
    </row>
    <row r="22" spans="1:13" ht="60" customHeight="1" x14ac:dyDescent="0.25">
      <c r="A22" t="s">
        <v>6</v>
      </c>
      <c r="B22" t="s">
        <v>7</v>
      </c>
      <c r="C22" t="s">
        <v>7</v>
      </c>
      <c r="D22" s="1">
        <v>6</v>
      </c>
      <c r="E22" s="5">
        <v>10</v>
      </c>
      <c r="F22" s="8" t="s">
        <v>117</v>
      </c>
      <c r="G22" s="8" t="s">
        <v>120</v>
      </c>
      <c r="H22" s="8" t="s">
        <v>121</v>
      </c>
      <c r="I22" s="5">
        <v>9</v>
      </c>
      <c r="J22" t="s">
        <v>108</v>
      </c>
      <c r="K22" s="5">
        <f t="shared" si="0"/>
        <v>9.5</v>
      </c>
      <c r="L22" s="5">
        <v>6</v>
      </c>
      <c r="M22" s="64" t="s">
        <v>138</v>
      </c>
    </row>
    <row r="23" spans="1:13" x14ac:dyDescent="0.25">
      <c r="A23" t="s">
        <v>12</v>
      </c>
      <c r="B23" t="s">
        <v>13</v>
      </c>
      <c r="C23" t="s">
        <v>13</v>
      </c>
      <c r="D23" s="1">
        <v>6</v>
      </c>
      <c r="E23" s="5">
        <v>10</v>
      </c>
      <c r="F23" s="8" t="s">
        <v>117</v>
      </c>
      <c r="G23" s="8" t="s">
        <v>120</v>
      </c>
      <c r="H23" s="8" t="s">
        <v>121</v>
      </c>
      <c r="I23" s="5">
        <v>9</v>
      </c>
      <c r="J23" t="s">
        <v>108</v>
      </c>
      <c r="K23" s="5">
        <f t="shared" si="0"/>
        <v>9.5</v>
      </c>
      <c r="L23" s="5">
        <v>6</v>
      </c>
      <c r="M23" s="64"/>
    </row>
    <row r="24" spans="1:13" x14ac:dyDescent="0.25">
      <c r="A24" t="s">
        <v>32</v>
      </c>
      <c r="B24" t="s">
        <v>33</v>
      </c>
      <c r="C24" t="s">
        <v>33</v>
      </c>
      <c r="D24" s="1">
        <v>6</v>
      </c>
      <c r="E24" s="5">
        <v>10</v>
      </c>
      <c r="F24" s="8" t="s">
        <v>117</v>
      </c>
      <c r="G24" s="8" t="s">
        <v>120</v>
      </c>
      <c r="H24" s="8" t="s">
        <v>121</v>
      </c>
      <c r="I24" s="5">
        <v>9</v>
      </c>
      <c r="J24" t="s">
        <v>110</v>
      </c>
      <c r="K24" s="5">
        <f t="shared" si="0"/>
        <v>9.5</v>
      </c>
      <c r="L24" s="5">
        <v>6</v>
      </c>
      <c r="M24" s="64"/>
    </row>
    <row r="25" spans="1:13" ht="105" customHeight="1" x14ac:dyDescent="0.25">
      <c r="A25" s="25" t="s">
        <v>4</v>
      </c>
      <c r="B25" s="25" t="s">
        <v>5</v>
      </c>
      <c r="C25" s="25" t="s">
        <v>5</v>
      </c>
      <c r="D25" s="26">
        <v>7</v>
      </c>
      <c r="E25" s="27">
        <v>12</v>
      </c>
      <c r="F25" s="28" t="s">
        <v>124</v>
      </c>
      <c r="G25" s="28" t="s">
        <v>113</v>
      </c>
      <c r="H25" s="28" t="s">
        <v>114</v>
      </c>
      <c r="I25" s="27">
        <v>9</v>
      </c>
      <c r="J25" s="25" t="s">
        <v>108</v>
      </c>
      <c r="K25" s="27">
        <f t="shared" si="0"/>
        <v>10</v>
      </c>
      <c r="L25" s="27">
        <v>9.5</v>
      </c>
      <c r="M25" s="66" t="s">
        <v>135</v>
      </c>
    </row>
    <row r="26" spans="1:13" x14ac:dyDescent="0.25">
      <c r="A26" s="19" t="s">
        <v>56</v>
      </c>
      <c r="B26" s="19" t="s">
        <v>57</v>
      </c>
      <c r="C26" s="19" t="s">
        <v>57</v>
      </c>
      <c r="D26" s="20">
        <v>7</v>
      </c>
      <c r="E26" s="21">
        <v>12</v>
      </c>
      <c r="F26" s="22" t="s">
        <v>124</v>
      </c>
      <c r="G26" s="22" t="s">
        <v>113</v>
      </c>
      <c r="H26" s="22" t="s">
        <v>114</v>
      </c>
      <c r="I26" s="21">
        <v>9</v>
      </c>
      <c r="J26" s="19" t="s">
        <v>108</v>
      </c>
      <c r="K26" s="21">
        <f t="shared" si="0"/>
        <v>10</v>
      </c>
      <c r="L26" s="21">
        <v>9.5</v>
      </c>
      <c r="M26" s="66"/>
    </row>
    <row r="27" spans="1:13" ht="60" x14ac:dyDescent="0.25">
      <c r="A27" t="s">
        <v>18</v>
      </c>
      <c r="B27" t="s">
        <v>19</v>
      </c>
      <c r="C27" t="s">
        <v>100</v>
      </c>
      <c r="D27" s="1">
        <v>8</v>
      </c>
      <c r="E27" s="5">
        <v>11</v>
      </c>
      <c r="F27" s="8" t="s">
        <v>123</v>
      </c>
      <c r="G27" s="8" t="s">
        <v>122</v>
      </c>
      <c r="H27" s="8" t="s">
        <v>116</v>
      </c>
      <c r="I27" s="5">
        <v>9</v>
      </c>
      <c r="J27" t="s">
        <v>109</v>
      </c>
      <c r="K27" s="5">
        <f t="shared" si="0"/>
        <v>10</v>
      </c>
      <c r="L27" s="5">
        <v>9</v>
      </c>
      <c r="M27" s="29" t="s">
        <v>142</v>
      </c>
    </row>
    <row r="28" spans="1:13" x14ac:dyDescent="0.25">
      <c r="A28" t="s">
        <v>28</v>
      </c>
      <c r="B28" t="s">
        <v>29</v>
      </c>
      <c r="C28" t="s">
        <v>29</v>
      </c>
      <c r="D28" s="1">
        <v>8</v>
      </c>
      <c r="E28" s="5">
        <v>11</v>
      </c>
      <c r="F28" s="8" t="s">
        <v>123</v>
      </c>
      <c r="G28" s="8" t="s">
        <v>122</v>
      </c>
      <c r="H28" s="8" t="s">
        <v>116</v>
      </c>
      <c r="I28" s="5">
        <v>9</v>
      </c>
      <c r="J28" t="s">
        <v>110</v>
      </c>
      <c r="K28" s="5">
        <f t="shared" si="0"/>
        <v>10</v>
      </c>
      <c r="L28" s="5">
        <v>9</v>
      </c>
    </row>
    <row r="29" spans="1:13" x14ac:dyDescent="0.25">
      <c r="A29" t="s">
        <v>30</v>
      </c>
      <c r="B29" t="s">
        <v>31</v>
      </c>
      <c r="C29" t="s">
        <v>101</v>
      </c>
      <c r="D29" s="1">
        <v>8</v>
      </c>
      <c r="E29" s="5">
        <v>11</v>
      </c>
      <c r="F29" s="8" t="s">
        <v>123</v>
      </c>
      <c r="G29" s="8" t="s">
        <v>122</v>
      </c>
      <c r="H29" s="8" t="s">
        <v>116</v>
      </c>
      <c r="I29" s="5">
        <v>9</v>
      </c>
      <c r="J29" t="s">
        <v>110</v>
      </c>
      <c r="K29" s="5">
        <f t="shared" si="0"/>
        <v>10</v>
      </c>
      <c r="L29" s="5">
        <v>9</v>
      </c>
    </row>
    <row r="30" spans="1:13" x14ac:dyDescent="0.25">
      <c r="A30" s="9" t="s">
        <v>50</v>
      </c>
      <c r="B30" s="9" t="s">
        <v>51</v>
      </c>
      <c r="C30" s="9" t="s">
        <v>102</v>
      </c>
      <c r="D30" s="10">
        <v>8</v>
      </c>
      <c r="E30" s="13">
        <v>11</v>
      </c>
      <c r="F30" s="12" t="s">
        <v>123</v>
      </c>
      <c r="G30" s="12" t="s">
        <v>122</v>
      </c>
      <c r="H30" s="12" t="s">
        <v>116</v>
      </c>
      <c r="I30" s="13">
        <v>9</v>
      </c>
      <c r="J30" s="9" t="s">
        <v>108</v>
      </c>
      <c r="K30" s="13">
        <f t="shared" si="0"/>
        <v>10</v>
      </c>
      <c r="L30" s="13">
        <v>9</v>
      </c>
    </row>
    <row r="31" spans="1:13" x14ac:dyDescent="0.25">
      <c r="A31" t="s">
        <v>62</v>
      </c>
      <c r="B31" t="s">
        <v>63</v>
      </c>
      <c r="C31" t="s">
        <v>103</v>
      </c>
      <c r="D31" s="1">
        <v>8</v>
      </c>
      <c r="E31" s="5">
        <v>11</v>
      </c>
      <c r="F31" s="8" t="s">
        <v>123</v>
      </c>
      <c r="G31" s="8" t="s">
        <v>122</v>
      </c>
      <c r="H31" s="8" t="s">
        <v>116</v>
      </c>
      <c r="I31" s="5">
        <v>9</v>
      </c>
      <c r="J31" t="s">
        <v>108</v>
      </c>
      <c r="K31" s="5">
        <f t="shared" si="0"/>
        <v>10</v>
      </c>
      <c r="L31" s="5">
        <v>9</v>
      </c>
    </row>
    <row r="32" spans="1:13" x14ac:dyDescent="0.25">
      <c r="A32" t="s">
        <v>70</v>
      </c>
      <c r="B32" t="s">
        <v>71</v>
      </c>
      <c r="C32" t="s">
        <v>104</v>
      </c>
      <c r="D32" s="1">
        <v>8</v>
      </c>
      <c r="E32" s="5">
        <v>11</v>
      </c>
      <c r="F32" s="8" t="s">
        <v>123</v>
      </c>
      <c r="G32" s="8" t="s">
        <v>122</v>
      </c>
      <c r="H32" s="8" t="s">
        <v>116</v>
      </c>
      <c r="I32" s="5">
        <v>9</v>
      </c>
      <c r="J32" t="s">
        <v>108</v>
      </c>
      <c r="K32" s="5">
        <f t="shared" si="0"/>
        <v>10</v>
      </c>
      <c r="L32" s="5">
        <v>9</v>
      </c>
    </row>
    <row r="33" spans="1:13" ht="45" customHeight="1" x14ac:dyDescent="0.25">
      <c r="A33" s="19" t="s">
        <v>14</v>
      </c>
      <c r="B33" s="19" t="s">
        <v>15</v>
      </c>
      <c r="C33" s="19" t="s">
        <v>15</v>
      </c>
      <c r="D33" s="20">
        <v>9</v>
      </c>
      <c r="E33" s="21">
        <v>11</v>
      </c>
      <c r="F33" s="22" t="s">
        <v>129</v>
      </c>
      <c r="G33" s="22" t="s">
        <v>118</v>
      </c>
      <c r="H33" s="22" t="s">
        <v>121</v>
      </c>
      <c r="I33" s="21">
        <v>9</v>
      </c>
      <c r="J33" s="19" t="s">
        <v>108</v>
      </c>
      <c r="K33" s="21">
        <f t="shared" si="0"/>
        <v>10</v>
      </c>
      <c r="L33" s="21">
        <v>9.5</v>
      </c>
      <c r="M33" s="66" t="s">
        <v>133</v>
      </c>
    </row>
    <row r="34" spans="1:13" x14ac:dyDescent="0.25">
      <c r="A34" s="19" t="s">
        <v>16</v>
      </c>
      <c r="B34" s="19" t="s">
        <v>17</v>
      </c>
      <c r="C34" s="19" t="s">
        <v>17</v>
      </c>
      <c r="D34" s="20">
        <v>9</v>
      </c>
      <c r="E34" s="21">
        <v>11</v>
      </c>
      <c r="F34" s="22" t="s">
        <v>129</v>
      </c>
      <c r="G34" s="22" t="s">
        <v>118</v>
      </c>
      <c r="H34" s="22" t="s">
        <v>121</v>
      </c>
      <c r="I34" s="21">
        <v>9</v>
      </c>
      <c r="J34" s="19" t="s">
        <v>109</v>
      </c>
      <c r="K34" s="21">
        <f t="shared" si="0"/>
        <v>10</v>
      </c>
      <c r="L34" s="21">
        <v>9.5</v>
      </c>
      <c r="M34" s="66"/>
    </row>
    <row r="35" spans="1:13" x14ac:dyDescent="0.25">
      <c r="A35" s="25" t="s">
        <v>20</v>
      </c>
      <c r="B35" s="25" t="s">
        <v>21</v>
      </c>
      <c r="C35" s="25" t="s">
        <v>95</v>
      </c>
      <c r="D35" s="26">
        <v>9</v>
      </c>
      <c r="E35" s="27">
        <v>11</v>
      </c>
      <c r="F35" s="28" t="s">
        <v>129</v>
      </c>
      <c r="G35" s="28" t="s">
        <v>118</v>
      </c>
      <c r="H35" s="28" t="s">
        <v>121</v>
      </c>
      <c r="I35" s="27">
        <v>9</v>
      </c>
      <c r="J35" s="25" t="s">
        <v>109</v>
      </c>
      <c r="K35" s="27">
        <f t="shared" si="0"/>
        <v>10</v>
      </c>
      <c r="L35" s="27">
        <v>9.5</v>
      </c>
      <c r="M35" s="66"/>
    </row>
    <row r="36" spans="1:13" ht="45" customHeight="1" x14ac:dyDescent="0.25">
      <c r="A36" t="s">
        <v>2</v>
      </c>
      <c r="B36" t="s">
        <v>3</v>
      </c>
      <c r="C36" t="s">
        <v>96</v>
      </c>
      <c r="D36" s="1">
        <v>10</v>
      </c>
      <c r="E36" s="5">
        <v>9</v>
      </c>
      <c r="F36" s="8" t="s">
        <v>128</v>
      </c>
      <c r="G36" s="8" t="s">
        <v>126</v>
      </c>
      <c r="H36" s="8" t="s">
        <v>127</v>
      </c>
      <c r="I36" s="5">
        <v>9</v>
      </c>
      <c r="J36" t="s">
        <v>108</v>
      </c>
      <c r="K36" s="5">
        <f t="shared" si="0"/>
        <v>9</v>
      </c>
      <c r="L36" s="5">
        <v>10</v>
      </c>
      <c r="M36" s="64" t="s">
        <v>141</v>
      </c>
    </row>
    <row r="37" spans="1:13" x14ac:dyDescent="0.25">
      <c r="A37" t="s">
        <v>8</v>
      </c>
      <c r="B37" t="s">
        <v>9</v>
      </c>
      <c r="C37" t="s">
        <v>9</v>
      </c>
      <c r="D37" s="1">
        <v>10</v>
      </c>
      <c r="E37" s="5">
        <v>9</v>
      </c>
      <c r="F37" s="8" t="s">
        <v>128</v>
      </c>
      <c r="G37" s="8" t="s">
        <v>126</v>
      </c>
      <c r="H37" s="8" t="s">
        <v>127</v>
      </c>
      <c r="I37" s="5">
        <v>9</v>
      </c>
      <c r="J37" t="s">
        <v>108</v>
      </c>
      <c r="K37" s="5">
        <f t="shared" si="0"/>
        <v>9</v>
      </c>
      <c r="L37" s="5">
        <v>10</v>
      </c>
      <c r="M37" s="64"/>
    </row>
    <row r="38" spans="1:13" x14ac:dyDescent="0.25">
      <c r="A38" t="s">
        <v>10</v>
      </c>
      <c r="B38" t="s">
        <v>11</v>
      </c>
      <c r="C38" t="s">
        <v>11</v>
      </c>
      <c r="D38" s="1">
        <v>10</v>
      </c>
      <c r="E38" s="5">
        <v>9</v>
      </c>
      <c r="F38" s="8" t="s">
        <v>128</v>
      </c>
      <c r="G38" s="8" t="s">
        <v>126</v>
      </c>
      <c r="H38" s="8" t="s">
        <v>127</v>
      </c>
      <c r="I38" s="5">
        <v>9</v>
      </c>
      <c r="J38" t="s">
        <v>108</v>
      </c>
      <c r="K38" s="5">
        <f t="shared" si="0"/>
        <v>9</v>
      </c>
      <c r="L38" s="5">
        <v>10</v>
      </c>
      <c r="M38" s="64"/>
    </row>
    <row r="39" spans="1:13" x14ac:dyDescent="0.25">
      <c r="A39" t="s">
        <v>22</v>
      </c>
      <c r="B39" t="s">
        <v>23</v>
      </c>
      <c r="C39" s="3" t="s">
        <v>97</v>
      </c>
      <c r="D39" s="4">
        <v>10</v>
      </c>
      <c r="E39" s="5">
        <v>9</v>
      </c>
      <c r="F39" s="8" t="s">
        <v>128</v>
      </c>
      <c r="G39" s="8" t="s">
        <v>126</v>
      </c>
      <c r="H39" s="8" t="s">
        <v>127</v>
      </c>
      <c r="I39" s="5">
        <v>9</v>
      </c>
      <c r="J39" t="s">
        <v>109</v>
      </c>
      <c r="K39" s="5">
        <f t="shared" si="0"/>
        <v>9</v>
      </c>
      <c r="L39" s="5">
        <v>10</v>
      </c>
      <c r="M39" s="64"/>
    </row>
    <row r="40" spans="1:13" x14ac:dyDescent="0.25">
      <c r="A40" s="9" t="s">
        <v>66</v>
      </c>
      <c r="B40" s="9" t="s">
        <v>67</v>
      </c>
      <c r="C40" s="9" t="s">
        <v>98</v>
      </c>
      <c r="D40" s="10">
        <v>10</v>
      </c>
      <c r="E40" s="13">
        <v>9</v>
      </c>
      <c r="F40" s="12" t="s">
        <v>128</v>
      </c>
      <c r="G40" s="12" t="s">
        <v>126</v>
      </c>
      <c r="H40" s="12" t="s">
        <v>127</v>
      </c>
      <c r="I40" s="13">
        <v>9</v>
      </c>
      <c r="J40" s="9" t="s">
        <v>108</v>
      </c>
      <c r="K40" s="13">
        <f t="shared" si="0"/>
        <v>9</v>
      </c>
      <c r="L40" s="13">
        <v>10</v>
      </c>
      <c r="M40" s="64"/>
    </row>
  </sheetData>
  <autoFilter ref="A1:M41" xr:uid="{7C686805-7911-4E1A-BE82-32B65E5AE99F}"/>
  <mergeCells count="8">
    <mergeCell ref="M4:M8"/>
    <mergeCell ref="M22:M24"/>
    <mergeCell ref="M18:M21"/>
    <mergeCell ref="M36:M40"/>
    <mergeCell ref="M9:M13"/>
    <mergeCell ref="M14:M17"/>
    <mergeCell ref="M25:M26"/>
    <mergeCell ref="M33:M3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A0C0B-A3E1-4CF1-8680-D3183339E84E}">
  <dimension ref="A1:XFD40"/>
  <sheetViews>
    <sheetView topLeftCell="A27" workbookViewId="0">
      <selection sqref="A1:K40"/>
    </sheetView>
  </sheetViews>
  <sheetFormatPr defaultRowHeight="15" x14ac:dyDescent="0.25"/>
  <cols>
    <col min="1" max="1" width="10.28515625" bestFit="1" customWidth="1"/>
    <col min="2" max="2" width="35.28515625" bestFit="1" customWidth="1"/>
    <col min="3" max="3" width="35.28515625" style="2" hidden="1" customWidth="1"/>
    <col min="4" max="4" width="10.5703125" style="2" bestFit="1" customWidth="1"/>
    <col min="5" max="5" width="10.5703125" style="6" bestFit="1" customWidth="1"/>
    <col min="6" max="8" width="49.7109375" style="7" hidden="1" customWidth="1"/>
    <col min="9" max="9" width="10.5703125" style="6" bestFit="1" customWidth="1"/>
    <col min="10" max="10" width="55.85546875" hidden="1" customWidth="1"/>
    <col min="11" max="11" width="10.5703125" style="6" bestFit="1" customWidth="1"/>
  </cols>
  <sheetData>
    <row r="1" spans="1:16384" x14ac:dyDescent="0.25">
      <c r="A1" s="9" t="s">
        <v>0</v>
      </c>
      <c r="B1" s="9" t="s">
        <v>1</v>
      </c>
      <c r="C1" s="9" t="s">
        <v>105</v>
      </c>
      <c r="D1" s="10" t="s">
        <v>80</v>
      </c>
      <c r="E1" s="13" t="s">
        <v>81</v>
      </c>
      <c r="F1" s="14" t="s">
        <v>106</v>
      </c>
      <c r="G1" s="14" t="s">
        <v>111</v>
      </c>
      <c r="H1" s="14" t="s">
        <v>112</v>
      </c>
      <c r="I1" s="13" t="s">
        <v>82</v>
      </c>
      <c r="J1" s="9" t="s">
        <v>107</v>
      </c>
      <c r="K1" s="13" t="s">
        <v>132</v>
      </c>
    </row>
    <row r="2" spans="1:16384" x14ac:dyDescent="0.25">
      <c r="A2" t="s">
        <v>2</v>
      </c>
      <c r="B2" t="s">
        <v>3</v>
      </c>
      <c r="C2" t="s">
        <v>96</v>
      </c>
      <c r="D2" s="1">
        <v>10</v>
      </c>
      <c r="E2" s="5">
        <v>9</v>
      </c>
      <c r="F2" s="8" t="s">
        <v>128</v>
      </c>
      <c r="G2" s="8" t="s">
        <v>126</v>
      </c>
      <c r="H2" s="8" t="s">
        <v>127</v>
      </c>
      <c r="I2" s="5">
        <v>9</v>
      </c>
      <c r="J2" t="s">
        <v>108</v>
      </c>
      <c r="K2" s="5">
        <f>MIN((E2+I2)/2,10)</f>
        <v>9</v>
      </c>
    </row>
    <row r="3" spans="1:16384" x14ac:dyDescent="0.25">
      <c r="A3" t="s">
        <v>4</v>
      </c>
      <c r="B3" t="s">
        <v>5</v>
      </c>
      <c r="C3" t="s">
        <v>5</v>
      </c>
      <c r="D3" s="1">
        <v>7</v>
      </c>
      <c r="E3" s="5">
        <v>12</v>
      </c>
      <c r="F3" s="8" t="s">
        <v>124</v>
      </c>
      <c r="G3" s="8" t="s">
        <v>113</v>
      </c>
      <c r="H3" s="8" t="s">
        <v>114</v>
      </c>
      <c r="I3" s="5">
        <v>9</v>
      </c>
      <c r="J3" t="s">
        <v>108</v>
      </c>
      <c r="K3" s="5">
        <f t="shared" ref="K3:K40" si="0">MIN((E3+I3)/2,10)</f>
        <v>10</v>
      </c>
    </row>
    <row r="4" spans="1:16384" x14ac:dyDescent="0.25">
      <c r="A4" t="s">
        <v>6</v>
      </c>
      <c r="B4" t="s">
        <v>7</v>
      </c>
      <c r="C4" t="s">
        <v>7</v>
      </c>
      <c r="D4" s="1">
        <v>6</v>
      </c>
      <c r="E4" s="5">
        <v>10</v>
      </c>
      <c r="F4" s="8" t="s">
        <v>117</v>
      </c>
      <c r="G4" s="8" t="s">
        <v>120</v>
      </c>
      <c r="H4" s="8" t="s">
        <v>121</v>
      </c>
      <c r="I4" s="5">
        <v>9</v>
      </c>
      <c r="J4" t="s">
        <v>108</v>
      </c>
      <c r="K4" s="5">
        <f t="shared" si="0"/>
        <v>9.5</v>
      </c>
    </row>
    <row r="5" spans="1:16384" x14ac:dyDescent="0.25">
      <c r="A5" s="9" t="s">
        <v>8</v>
      </c>
      <c r="B5" s="9" t="s">
        <v>9</v>
      </c>
      <c r="C5" s="9" t="s">
        <v>9</v>
      </c>
      <c r="D5" s="10">
        <v>10</v>
      </c>
      <c r="E5" s="13">
        <v>9</v>
      </c>
      <c r="F5" s="12" t="s">
        <v>128</v>
      </c>
      <c r="G5" s="12" t="s">
        <v>126</v>
      </c>
      <c r="H5" s="12" t="s">
        <v>127</v>
      </c>
      <c r="I5" s="13">
        <v>9</v>
      </c>
      <c r="J5" s="9" t="s">
        <v>108</v>
      </c>
      <c r="K5" s="13">
        <f t="shared" si="0"/>
        <v>9</v>
      </c>
    </row>
    <row r="6" spans="1:16384" x14ac:dyDescent="0.25">
      <c r="A6" t="s">
        <v>10</v>
      </c>
      <c r="B6" t="s">
        <v>11</v>
      </c>
      <c r="C6" t="s">
        <v>11</v>
      </c>
      <c r="D6" s="1">
        <v>10</v>
      </c>
      <c r="E6" s="5">
        <v>9</v>
      </c>
      <c r="F6" s="8" t="s">
        <v>128</v>
      </c>
      <c r="G6" s="8" t="s">
        <v>126</v>
      </c>
      <c r="H6" s="8" t="s">
        <v>127</v>
      </c>
      <c r="I6" s="5">
        <v>9</v>
      </c>
      <c r="J6" t="s">
        <v>108</v>
      </c>
      <c r="K6" s="5">
        <f t="shared" si="0"/>
        <v>9</v>
      </c>
    </row>
    <row r="7" spans="1:16384" x14ac:dyDescent="0.25">
      <c r="A7" t="s">
        <v>12</v>
      </c>
      <c r="B7" t="s">
        <v>13</v>
      </c>
      <c r="C7" t="s">
        <v>13</v>
      </c>
      <c r="D7" s="1">
        <v>6</v>
      </c>
      <c r="E7" s="5">
        <v>10</v>
      </c>
      <c r="F7" s="8" t="s">
        <v>117</v>
      </c>
      <c r="G7" s="8" t="s">
        <v>120</v>
      </c>
      <c r="H7" s="8" t="s">
        <v>121</v>
      </c>
      <c r="I7" s="5">
        <v>9</v>
      </c>
      <c r="J7" t="s">
        <v>108</v>
      </c>
      <c r="K7" s="5">
        <f t="shared" si="0"/>
        <v>9.5</v>
      </c>
    </row>
    <row r="8" spans="1:16384" x14ac:dyDescent="0.25">
      <c r="A8" t="s">
        <v>14</v>
      </c>
      <c r="B8" t="s">
        <v>15</v>
      </c>
      <c r="C8" t="s">
        <v>15</v>
      </c>
      <c r="D8" s="1">
        <v>9</v>
      </c>
      <c r="E8" s="5">
        <v>11</v>
      </c>
      <c r="F8" s="8" t="s">
        <v>129</v>
      </c>
      <c r="G8" s="8" t="s">
        <v>118</v>
      </c>
      <c r="H8" s="8" t="s">
        <v>121</v>
      </c>
      <c r="I8" s="5">
        <v>9</v>
      </c>
      <c r="J8" t="s">
        <v>108</v>
      </c>
      <c r="K8" s="5">
        <f t="shared" si="0"/>
        <v>10</v>
      </c>
    </row>
    <row r="9" spans="1:16384" x14ac:dyDescent="0.25">
      <c r="A9" t="s">
        <v>16</v>
      </c>
      <c r="B9" t="s">
        <v>17</v>
      </c>
      <c r="C9" t="s">
        <v>17</v>
      </c>
      <c r="D9" s="1">
        <v>9</v>
      </c>
      <c r="E9" s="5">
        <v>11</v>
      </c>
      <c r="F9" s="8" t="s">
        <v>129</v>
      </c>
      <c r="G9" s="8" t="s">
        <v>118</v>
      </c>
      <c r="H9" s="8" t="s">
        <v>121</v>
      </c>
      <c r="I9" s="5">
        <v>9</v>
      </c>
      <c r="J9" t="s">
        <v>109</v>
      </c>
      <c r="K9" s="5">
        <f t="shared" si="0"/>
        <v>10</v>
      </c>
    </row>
    <row r="10" spans="1:16384" x14ac:dyDescent="0.25">
      <c r="A10" s="9" t="s">
        <v>18</v>
      </c>
      <c r="B10" s="9" t="s">
        <v>19</v>
      </c>
      <c r="C10" s="9" t="s">
        <v>100</v>
      </c>
      <c r="D10" s="10">
        <v>8</v>
      </c>
      <c r="E10" s="13">
        <v>11</v>
      </c>
      <c r="F10" s="12" t="s">
        <v>123</v>
      </c>
      <c r="G10" s="12" t="s">
        <v>122</v>
      </c>
      <c r="H10" s="12" t="s">
        <v>116</v>
      </c>
      <c r="I10" s="13">
        <v>9</v>
      </c>
      <c r="J10" s="9" t="s">
        <v>109</v>
      </c>
      <c r="K10" s="13">
        <f t="shared" si="0"/>
        <v>10</v>
      </c>
      <c r="L10" s="9"/>
      <c r="M10" s="9"/>
      <c r="N10" s="10"/>
      <c r="O10" s="11"/>
      <c r="P10" s="12"/>
      <c r="Q10" s="12"/>
      <c r="R10" s="12"/>
      <c r="S10" s="13"/>
      <c r="T10" s="9"/>
      <c r="U10" s="9"/>
      <c r="V10" s="9"/>
      <c r="W10" s="9"/>
      <c r="X10" s="10"/>
      <c r="Y10" s="11"/>
      <c r="Z10" s="12"/>
      <c r="AA10" s="12"/>
      <c r="AB10" s="12"/>
      <c r="AC10" s="13"/>
      <c r="AD10" s="9"/>
      <c r="AE10" s="9"/>
      <c r="AF10" s="9"/>
      <c r="AG10" s="9"/>
      <c r="AH10" s="10"/>
      <c r="AI10" s="11"/>
      <c r="AJ10" s="12"/>
      <c r="AK10" s="12"/>
      <c r="AL10" s="12"/>
      <c r="AM10" s="13"/>
      <c r="AN10" s="9"/>
      <c r="AO10" s="9"/>
      <c r="AP10" s="9"/>
      <c r="AQ10" s="9"/>
      <c r="AR10" s="10"/>
      <c r="AS10" s="11"/>
      <c r="AT10" s="12"/>
      <c r="AU10" s="12"/>
      <c r="AV10" s="12"/>
      <c r="AW10" s="13"/>
      <c r="AX10" s="9"/>
      <c r="AY10" s="9"/>
      <c r="AZ10" s="9"/>
      <c r="BA10" s="9"/>
      <c r="BB10" s="10"/>
      <c r="BC10" s="11"/>
      <c r="BD10" s="12"/>
      <c r="BE10" s="12"/>
      <c r="BF10" s="12"/>
      <c r="BG10" s="13"/>
      <c r="BH10" s="9"/>
      <c r="BI10" s="9"/>
      <c r="BJ10" s="9"/>
      <c r="BK10" s="9"/>
      <c r="BL10" s="10"/>
      <c r="BM10" s="11"/>
      <c r="BN10" s="12"/>
      <c r="BO10" s="12"/>
      <c r="BP10" s="12"/>
      <c r="BQ10" s="13"/>
      <c r="BR10" s="9"/>
      <c r="BS10" s="9"/>
      <c r="BT10" s="9"/>
      <c r="BU10" s="9"/>
      <c r="BV10" s="10"/>
      <c r="BW10" s="11"/>
      <c r="BX10" s="12"/>
      <c r="BY10" s="12"/>
      <c r="BZ10" s="12"/>
      <c r="CA10" s="13"/>
      <c r="CB10" s="9"/>
      <c r="CC10" s="9"/>
      <c r="CD10" s="9"/>
      <c r="CE10" s="9"/>
      <c r="CF10" s="10"/>
      <c r="CG10" s="11"/>
      <c r="CH10" s="12"/>
      <c r="CI10" s="12"/>
      <c r="CJ10" s="12"/>
      <c r="CK10" s="13"/>
      <c r="CL10" s="9"/>
      <c r="CM10" s="9"/>
      <c r="CN10" s="9"/>
      <c r="CO10" s="9"/>
      <c r="CP10" s="10"/>
      <c r="CQ10" s="11"/>
      <c r="CR10" s="12"/>
      <c r="CS10" s="12"/>
      <c r="CT10" s="12"/>
      <c r="CU10" s="13"/>
      <c r="CV10" s="9"/>
      <c r="CW10" s="9"/>
      <c r="CX10" s="9"/>
      <c r="CY10" s="9"/>
      <c r="CZ10" s="10"/>
      <c r="DA10" s="11"/>
      <c r="DB10" s="12"/>
      <c r="DC10" s="12"/>
      <c r="DD10" s="12"/>
      <c r="DE10" s="13"/>
      <c r="DF10" s="9"/>
      <c r="DG10" s="9"/>
      <c r="DH10" s="9"/>
      <c r="DI10" s="9"/>
      <c r="DJ10" s="10"/>
      <c r="DK10" s="11"/>
      <c r="DL10" s="12"/>
      <c r="DM10" s="12"/>
      <c r="DN10" s="12"/>
      <c r="DO10" s="13"/>
      <c r="DP10" s="9"/>
      <c r="DQ10" s="9"/>
      <c r="DR10" s="9"/>
      <c r="DS10" s="9"/>
      <c r="DT10" s="10"/>
      <c r="DU10" s="11"/>
      <c r="DV10" s="12"/>
      <c r="DW10" s="12"/>
      <c r="DX10" s="12"/>
      <c r="DY10" s="13"/>
      <c r="DZ10" s="9"/>
      <c r="EA10" s="9"/>
      <c r="EB10" s="9"/>
      <c r="EC10" s="9"/>
      <c r="ED10" s="10"/>
      <c r="EE10" s="11"/>
      <c r="EF10" s="12"/>
      <c r="EG10" s="12"/>
      <c r="EH10" s="12"/>
      <c r="EI10" s="13"/>
      <c r="EJ10" s="9"/>
      <c r="EK10" s="9"/>
      <c r="EL10" s="9"/>
      <c r="EM10" s="9"/>
      <c r="EN10" s="10"/>
      <c r="EO10" s="11"/>
      <c r="EP10" s="12"/>
      <c r="EQ10" s="12"/>
      <c r="ER10" s="12"/>
      <c r="ES10" s="13"/>
      <c r="ET10" s="9"/>
      <c r="EU10" s="9"/>
      <c r="EV10" s="9"/>
      <c r="EW10" s="9"/>
      <c r="EX10" s="10"/>
      <c r="EY10" s="11"/>
      <c r="EZ10" s="12"/>
      <c r="FA10" s="12"/>
      <c r="FB10" s="12"/>
      <c r="FC10" s="13"/>
      <c r="FD10" s="9"/>
      <c r="FE10" s="9"/>
      <c r="FF10" s="9"/>
      <c r="FG10" s="9"/>
      <c r="FH10" s="10"/>
      <c r="FI10" s="11"/>
      <c r="FJ10" s="12"/>
      <c r="FK10" s="12"/>
      <c r="FL10" s="12"/>
      <c r="FM10" s="13"/>
      <c r="FN10" s="9"/>
      <c r="FO10" s="9"/>
      <c r="FP10" s="9"/>
      <c r="FQ10" s="9"/>
      <c r="FR10" s="10"/>
      <c r="FS10" s="11"/>
      <c r="FT10" s="12"/>
      <c r="FU10" s="12"/>
      <c r="FV10" s="12"/>
      <c r="FW10" s="13"/>
      <c r="FX10" s="9"/>
      <c r="FY10" s="9"/>
      <c r="FZ10" s="9"/>
      <c r="GA10" s="9"/>
      <c r="GB10" s="10"/>
      <c r="GC10" s="11"/>
      <c r="GD10" s="12"/>
      <c r="GE10" s="12"/>
      <c r="GF10" s="12"/>
      <c r="GG10" s="13"/>
      <c r="GH10" s="9"/>
      <c r="GI10" s="9"/>
      <c r="GJ10" s="9"/>
      <c r="GK10" s="9"/>
      <c r="GL10" s="10"/>
      <c r="GM10" s="11"/>
      <c r="GN10" s="12"/>
      <c r="GO10" s="12"/>
      <c r="GP10" s="12"/>
      <c r="GQ10" s="13"/>
      <c r="GR10" s="9"/>
      <c r="GS10" s="9"/>
      <c r="GT10" s="9"/>
      <c r="GU10" s="9"/>
      <c r="GV10" s="10"/>
      <c r="GW10" s="11"/>
      <c r="GX10" s="12"/>
      <c r="GY10" s="12"/>
      <c r="GZ10" s="12"/>
      <c r="HA10" s="13"/>
      <c r="HB10" s="9"/>
      <c r="HC10" s="9"/>
      <c r="HD10" s="9"/>
      <c r="HE10" s="9"/>
      <c r="HF10" s="10"/>
      <c r="HG10" s="11"/>
      <c r="HH10" s="12"/>
      <c r="HI10" s="12"/>
      <c r="HJ10" s="12"/>
      <c r="HK10" s="13"/>
      <c r="HL10" s="9"/>
      <c r="HM10" s="9"/>
      <c r="HN10" s="9"/>
      <c r="HO10" s="9"/>
      <c r="HP10" s="10"/>
      <c r="HQ10" s="11"/>
      <c r="HR10" s="12"/>
      <c r="HS10" s="12"/>
      <c r="HT10" s="12"/>
      <c r="HU10" s="13"/>
      <c r="HV10" s="9"/>
      <c r="HW10" s="9"/>
      <c r="HX10" s="9"/>
      <c r="HY10" s="9"/>
      <c r="HZ10" s="10"/>
      <c r="IA10" s="11"/>
      <c r="IB10" s="12"/>
      <c r="IC10" s="12"/>
      <c r="ID10" s="12"/>
      <c r="IE10" s="13"/>
      <c r="IF10" s="9"/>
      <c r="IG10" s="9"/>
      <c r="IH10" s="9"/>
      <c r="II10" s="9"/>
      <c r="IJ10" s="10"/>
      <c r="IK10" s="11"/>
      <c r="IL10" s="12"/>
      <c r="IM10" s="12"/>
      <c r="IN10" s="12"/>
      <c r="IO10" s="13"/>
      <c r="IP10" s="9"/>
      <c r="IQ10" s="9"/>
      <c r="IR10" s="9"/>
      <c r="IS10" s="9"/>
      <c r="IT10" s="10"/>
      <c r="IU10" s="11"/>
      <c r="IV10" s="12"/>
      <c r="IW10" s="12"/>
      <c r="IX10" s="12"/>
      <c r="IY10" s="13"/>
      <c r="IZ10" s="9"/>
      <c r="JA10" s="9"/>
      <c r="JB10" s="9"/>
      <c r="JC10" s="9"/>
      <c r="JD10" s="10"/>
      <c r="JE10" s="11"/>
      <c r="JF10" s="12"/>
      <c r="JG10" s="12"/>
      <c r="JH10" s="12"/>
      <c r="JI10" s="13"/>
      <c r="JJ10" s="9"/>
      <c r="JK10" s="9"/>
      <c r="JL10" s="9"/>
      <c r="JM10" s="9"/>
      <c r="JN10" s="10"/>
      <c r="JO10" s="11"/>
      <c r="JP10" s="12"/>
      <c r="JQ10" s="12"/>
      <c r="JR10" s="12"/>
      <c r="JS10" s="13"/>
      <c r="JT10" s="9"/>
      <c r="JU10" s="9"/>
      <c r="JV10" s="9"/>
      <c r="JW10" s="9"/>
      <c r="JX10" s="10"/>
      <c r="JY10" s="11"/>
      <c r="JZ10" s="12"/>
      <c r="KA10" s="12"/>
      <c r="KB10" s="12"/>
      <c r="KC10" s="13"/>
      <c r="KD10" s="9"/>
      <c r="KE10" s="9"/>
      <c r="KF10" s="9"/>
      <c r="KG10" s="9"/>
      <c r="KH10" s="10"/>
      <c r="KI10" s="11"/>
      <c r="KJ10" s="12"/>
      <c r="KK10" s="12"/>
      <c r="KL10" s="12"/>
      <c r="KM10" s="13"/>
      <c r="KN10" s="9"/>
      <c r="KO10" s="9"/>
      <c r="KP10" s="9"/>
      <c r="KQ10" s="9"/>
      <c r="KR10" s="10"/>
      <c r="KS10" s="11"/>
      <c r="KT10" s="12"/>
      <c r="KU10" s="12"/>
      <c r="KV10" s="12"/>
      <c r="KW10" s="13"/>
      <c r="KX10" s="9"/>
      <c r="KY10" s="9"/>
      <c r="KZ10" s="9"/>
      <c r="LA10" s="9"/>
      <c r="LB10" s="10"/>
      <c r="LC10" s="11"/>
      <c r="LD10" s="12"/>
      <c r="LE10" s="12"/>
      <c r="LF10" s="12"/>
      <c r="LG10" s="13"/>
      <c r="LH10" s="9"/>
      <c r="LI10" s="9"/>
      <c r="LJ10" s="9"/>
      <c r="LK10" s="9"/>
      <c r="LL10" s="10"/>
      <c r="LM10" s="11"/>
      <c r="LN10" s="12"/>
      <c r="LO10" s="12"/>
      <c r="LP10" s="12"/>
      <c r="LQ10" s="13"/>
      <c r="LR10" s="9"/>
      <c r="LS10" s="9"/>
      <c r="LT10" s="9"/>
      <c r="LU10" s="9"/>
      <c r="LV10" s="10"/>
      <c r="LW10" s="11"/>
      <c r="LX10" s="12"/>
      <c r="LY10" s="12"/>
      <c r="LZ10" s="12"/>
      <c r="MA10" s="13"/>
      <c r="MB10" s="9"/>
      <c r="MC10" s="9"/>
      <c r="MD10" s="9"/>
      <c r="ME10" s="9"/>
      <c r="MF10" s="10"/>
      <c r="MG10" s="11"/>
      <c r="MH10" s="12"/>
      <c r="MI10" s="12"/>
      <c r="MJ10" s="12"/>
      <c r="MK10" s="13"/>
      <c r="ML10" s="9"/>
      <c r="MM10" s="9"/>
      <c r="MN10" s="9"/>
      <c r="MO10" s="9"/>
      <c r="MP10" s="10"/>
      <c r="MQ10" s="11"/>
      <c r="MR10" s="12"/>
      <c r="MS10" s="12"/>
      <c r="MT10" s="12"/>
      <c r="MU10" s="13"/>
      <c r="MV10" s="9"/>
      <c r="MW10" s="9"/>
      <c r="MX10" s="9"/>
      <c r="MY10" s="9"/>
      <c r="MZ10" s="10"/>
      <c r="NA10" s="11"/>
      <c r="NB10" s="12"/>
      <c r="NC10" s="12"/>
      <c r="ND10" s="12"/>
      <c r="NE10" s="13"/>
      <c r="NF10" s="9"/>
      <c r="NG10" s="9"/>
      <c r="NH10" s="9"/>
      <c r="NI10" s="9"/>
      <c r="NJ10" s="10"/>
      <c r="NK10" s="11"/>
      <c r="NL10" s="12"/>
      <c r="NM10" s="12"/>
      <c r="NN10" s="12"/>
      <c r="NO10" s="13"/>
      <c r="NP10" s="9"/>
      <c r="NQ10" s="9"/>
      <c r="NR10" s="9"/>
      <c r="NS10" s="9"/>
      <c r="NT10" s="10"/>
      <c r="NU10" s="11"/>
      <c r="NV10" s="12"/>
      <c r="NW10" s="12"/>
      <c r="NX10" s="12"/>
      <c r="NY10" s="13"/>
      <c r="NZ10" s="9"/>
      <c r="OA10" s="9"/>
      <c r="OB10" s="9"/>
      <c r="OC10" s="9"/>
      <c r="OD10" s="10"/>
      <c r="OE10" s="11"/>
      <c r="OF10" s="12"/>
      <c r="OG10" s="12"/>
      <c r="OH10" s="12"/>
      <c r="OI10" s="13"/>
      <c r="OJ10" s="9"/>
      <c r="OK10" s="9"/>
      <c r="OL10" s="9"/>
      <c r="OM10" s="9"/>
      <c r="ON10" s="10"/>
      <c r="OO10" s="11"/>
      <c r="OP10" s="12"/>
      <c r="OQ10" s="12"/>
      <c r="OR10" s="12"/>
      <c r="OS10" s="13"/>
      <c r="OT10" s="9"/>
      <c r="OU10" s="9"/>
      <c r="OV10" s="9"/>
      <c r="OW10" s="9"/>
      <c r="OX10" s="10"/>
      <c r="OY10" s="11"/>
      <c r="OZ10" s="12"/>
      <c r="PA10" s="12"/>
      <c r="PB10" s="12"/>
      <c r="PC10" s="13"/>
      <c r="PD10" s="9"/>
      <c r="PE10" s="9"/>
      <c r="PF10" s="9"/>
      <c r="PG10" s="9"/>
      <c r="PH10" s="10"/>
      <c r="PI10" s="11"/>
      <c r="PJ10" s="12"/>
      <c r="PK10" s="12"/>
      <c r="PL10" s="12"/>
      <c r="PM10" s="13"/>
      <c r="PN10" s="9"/>
      <c r="PO10" s="9"/>
      <c r="PP10" s="9"/>
      <c r="PQ10" s="9"/>
      <c r="PR10" s="10"/>
      <c r="PS10" s="11"/>
      <c r="PT10" s="12"/>
      <c r="PU10" s="12"/>
      <c r="PV10" s="12"/>
      <c r="PW10" s="13"/>
      <c r="PX10" s="9"/>
      <c r="PY10" s="9"/>
      <c r="PZ10" s="9"/>
      <c r="QA10" s="9"/>
      <c r="QB10" s="10"/>
      <c r="QC10" s="11"/>
      <c r="QD10" s="12"/>
      <c r="QE10" s="12"/>
      <c r="QF10" s="12"/>
      <c r="QG10" s="13"/>
      <c r="QH10" s="9"/>
      <c r="QI10" s="9"/>
      <c r="QJ10" s="9"/>
      <c r="QK10" s="9"/>
      <c r="QL10" s="10"/>
      <c r="QM10" s="11"/>
      <c r="QN10" s="12"/>
      <c r="QO10" s="12"/>
      <c r="QP10" s="12"/>
      <c r="QQ10" s="13"/>
      <c r="QR10" s="9"/>
      <c r="QS10" s="9"/>
      <c r="QT10" s="9"/>
      <c r="QU10" s="9"/>
      <c r="QV10" s="10"/>
      <c r="QW10" s="11"/>
      <c r="QX10" s="12"/>
      <c r="QY10" s="12"/>
      <c r="QZ10" s="12"/>
      <c r="RA10" s="13"/>
      <c r="RB10" s="9"/>
      <c r="RC10" s="9"/>
      <c r="RD10" s="9"/>
      <c r="RE10" s="9"/>
      <c r="RF10" s="10"/>
      <c r="RG10" s="11"/>
      <c r="RH10" s="12"/>
      <c r="RI10" s="12"/>
      <c r="RJ10" s="12"/>
      <c r="RK10" s="13"/>
      <c r="RL10" s="9"/>
      <c r="RM10" s="9"/>
      <c r="RN10" s="9"/>
      <c r="RO10" s="9"/>
      <c r="RP10" s="10"/>
      <c r="RQ10" s="11"/>
      <c r="RR10" s="12"/>
      <c r="RS10" s="12"/>
      <c r="RT10" s="12"/>
      <c r="RU10" s="13"/>
      <c r="RV10" s="9"/>
      <c r="RW10" s="9"/>
      <c r="RX10" s="9"/>
      <c r="RY10" s="9"/>
      <c r="RZ10" s="10"/>
      <c r="SA10" s="11"/>
      <c r="SB10" s="12"/>
      <c r="SC10" s="12"/>
      <c r="SD10" s="12"/>
      <c r="SE10" s="13"/>
      <c r="SF10" s="9"/>
      <c r="SG10" s="9"/>
      <c r="SH10" s="9"/>
      <c r="SI10" s="9"/>
      <c r="SJ10" s="10"/>
      <c r="SK10" s="11"/>
      <c r="SL10" s="12"/>
      <c r="SM10" s="12"/>
      <c r="SN10" s="12"/>
      <c r="SO10" s="13"/>
      <c r="SP10" s="9"/>
      <c r="SQ10" s="9"/>
      <c r="SR10" s="9"/>
      <c r="SS10" s="9"/>
      <c r="ST10" s="10"/>
      <c r="SU10" s="11"/>
      <c r="SV10" s="12"/>
      <c r="SW10" s="12"/>
      <c r="SX10" s="12"/>
      <c r="SY10" s="13"/>
      <c r="SZ10" s="9"/>
      <c r="TA10" s="9"/>
      <c r="TB10" s="9"/>
      <c r="TC10" s="9"/>
      <c r="TD10" s="10"/>
      <c r="TE10" s="11"/>
      <c r="TF10" s="12"/>
      <c r="TG10" s="12"/>
      <c r="TH10" s="12"/>
      <c r="TI10" s="13"/>
      <c r="TJ10" s="9"/>
      <c r="TK10" s="9"/>
      <c r="TL10" s="9"/>
      <c r="TM10" s="9"/>
      <c r="TN10" s="10"/>
      <c r="TO10" s="11"/>
      <c r="TP10" s="12"/>
      <c r="TQ10" s="12"/>
      <c r="TR10" s="12"/>
      <c r="TS10" s="13"/>
      <c r="TT10" s="9"/>
      <c r="TU10" s="9"/>
      <c r="TV10" s="9"/>
      <c r="TW10" s="9"/>
      <c r="TX10" s="10"/>
      <c r="TY10" s="11"/>
      <c r="TZ10" s="12"/>
      <c r="UA10" s="12"/>
      <c r="UB10" s="12"/>
      <c r="UC10" s="13"/>
      <c r="UD10" s="9"/>
      <c r="UE10" s="9"/>
      <c r="UF10" s="9"/>
      <c r="UG10" s="9"/>
      <c r="UH10" s="10"/>
      <c r="UI10" s="11"/>
      <c r="UJ10" s="12"/>
      <c r="UK10" s="12"/>
      <c r="UL10" s="12"/>
      <c r="UM10" s="13"/>
      <c r="UN10" s="9"/>
      <c r="UO10" s="9"/>
      <c r="UP10" s="9"/>
      <c r="UQ10" s="9"/>
      <c r="UR10" s="10"/>
      <c r="US10" s="11"/>
      <c r="UT10" s="12"/>
      <c r="UU10" s="12"/>
      <c r="UV10" s="12"/>
      <c r="UW10" s="13"/>
      <c r="UX10" s="9"/>
      <c r="UY10" s="9"/>
      <c r="UZ10" s="9"/>
      <c r="VA10" s="9"/>
      <c r="VB10" s="10"/>
      <c r="VC10" s="11"/>
      <c r="VD10" s="12"/>
      <c r="VE10" s="12"/>
      <c r="VF10" s="12"/>
      <c r="VG10" s="13"/>
      <c r="VH10" s="9"/>
      <c r="VI10" s="9"/>
      <c r="VJ10" s="9"/>
      <c r="VK10" s="9"/>
      <c r="VL10" s="10"/>
      <c r="VM10" s="11"/>
      <c r="VN10" s="12"/>
      <c r="VO10" s="12"/>
      <c r="VP10" s="12"/>
      <c r="VQ10" s="13"/>
      <c r="VR10" s="9"/>
      <c r="VS10" s="9"/>
      <c r="VT10" s="9"/>
      <c r="VU10" s="9"/>
      <c r="VV10" s="10"/>
      <c r="VW10" s="11"/>
      <c r="VX10" s="12"/>
      <c r="VY10" s="12"/>
      <c r="VZ10" s="12"/>
      <c r="WA10" s="13"/>
      <c r="WB10" s="9"/>
      <c r="WC10" s="9"/>
      <c r="WD10" s="9"/>
      <c r="WE10" s="9"/>
      <c r="WF10" s="10"/>
      <c r="WG10" s="11"/>
      <c r="WH10" s="12"/>
      <c r="WI10" s="12"/>
      <c r="WJ10" s="12"/>
      <c r="WK10" s="13"/>
      <c r="WL10" s="9"/>
      <c r="WM10" s="9"/>
      <c r="WN10" s="9"/>
      <c r="WO10" s="9"/>
      <c r="WP10" s="10"/>
      <c r="WQ10" s="11"/>
      <c r="WR10" s="12"/>
      <c r="WS10" s="12"/>
      <c r="WT10" s="12"/>
      <c r="WU10" s="13"/>
      <c r="WV10" s="9"/>
      <c r="WW10" s="9"/>
      <c r="WX10" s="9"/>
      <c r="WY10" s="9"/>
      <c r="WZ10" s="10"/>
      <c r="XA10" s="11"/>
      <c r="XB10" s="12"/>
      <c r="XC10" s="12"/>
      <c r="XD10" s="12"/>
      <c r="XE10" s="13"/>
      <c r="XF10" s="9"/>
      <c r="XG10" s="9"/>
      <c r="XH10" s="9"/>
      <c r="XI10" s="9"/>
      <c r="XJ10" s="10"/>
      <c r="XK10" s="11"/>
      <c r="XL10" s="12"/>
      <c r="XM10" s="12"/>
      <c r="XN10" s="12"/>
      <c r="XO10" s="13"/>
      <c r="XP10" s="9"/>
      <c r="XQ10" s="9"/>
      <c r="XR10" s="9"/>
      <c r="XS10" s="9"/>
      <c r="XT10" s="10"/>
      <c r="XU10" s="11"/>
      <c r="XV10" s="12"/>
      <c r="XW10" s="12"/>
      <c r="XX10" s="12"/>
      <c r="XY10" s="13"/>
      <c r="XZ10" s="9"/>
      <c r="YA10" s="9"/>
      <c r="YB10" s="9"/>
      <c r="YC10" s="9"/>
      <c r="YD10" s="10"/>
      <c r="YE10" s="11"/>
      <c r="YF10" s="12"/>
      <c r="YG10" s="12"/>
      <c r="YH10" s="12"/>
      <c r="YI10" s="13"/>
      <c r="YJ10" s="9"/>
      <c r="YK10" s="9"/>
      <c r="YL10" s="9"/>
      <c r="YM10" s="9"/>
      <c r="YN10" s="10"/>
      <c r="YO10" s="11"/>
      <c r="YP10" s="12"/>
      <c r="YQ10" s="12"/>
      <c r="YR10" s="12"/>
      <c r="YS10" s="13"/>
      <c r="YT10" s="9"/>
      <c r="YU10" s="9"/>
      <c r="YV10" s="9"/>
      <c r="YW10" s="9"/>
      <c r="YX10" s="10"/>
      <c r="YY10" s="11"/>
      <c r="YZ10" s="12"/>
      <c r="ZA10" s="12"/>
      <c r="ZB10" s="12"/>
      <c r="ZC10" s="13"/>
      <c r="ZD10" s="9"/>
      <c r="ZE10" s="9"/>
      <c r="ZF10" s="9"/>
      <c r="ZG10" s="9"/>
      <c r="ZH10" s="10"/>
      <c r="ZI10" s="11"/>
      <c r="ZJ10" s="12"/>
      <c r="ZK10" s="12"/>
      <c r="ZL10" s="12"/>
      <c r="ZM10" s="13"/>
      <c r="ZN10" s="9"/>
      <c r="ZO10" s="9"/>
      <c r="ZP10" s="9"/>
      <c r="ZQ10" s="9"/>
      <c r="ZR10" s="10"/>
      <c r="ZS10" s="11"/>
      <c r="ZT10" s="12"/>
      <c r="ZU10" s="12"/>
      <c r="ZV10" s="12"/>
      <c r="ZW10" s="13"/>
      <c r="ZX10" s="9"/>
      <c r="ZY10" s="9"/>
      <c r="ZZ10" s="9"/>
      <c r="AAA10" s="9"/>
      <c r="AAB10" s="10"/>
      <c r="AAC10" s="11"/>
      <c r="AAD10" s="12"/>
      <c r="AAE10" s="12"/>
      <c r="AAF10" s="12"/>
      <c r="AAG10" s="13"/>
      <c r="AAH10" s="9"/>
      <c r="AAI10" s="9"/>
      <c r="AAJ10" s="9"/>
      <c r="AAK10" s="9"/>
      <c r="AAL10" s="10"/>
      <c r="AAM10" s="11"/>
      <c r="AAN10" s="12"/>
      <c r="AAO10" s="12"/>
      <c r="AAP10" s="12"/>
      <c r="AAQ10" s="13"/>
      <c r="AAR10" s="9"/>
      <c r="AAS10" s="9"/>
      <c r="AAT10" s="9"/>
      <c r="AAU10" s="9"/>
      <c r="AAV10" s="10"/>
      <c r="AAW10" s="11"/>
      <c r="AAX10" s="12"/>
      <c r="AAY10" s="12"/>
      <c r="AAZ10" s="12"/>
      <c r="ABA10" s="13"/>
      <c r="ABB10" s="9"/>
      <c r="ABC10" s="9"/>
      <c r="ABD10" s="9"/>
      <c r="ABE10" s="9"/>
      <c r="ABF10" s="10"/>
      <c r="ABG10" s="11"/>
      <c r="ABH10" s="12"/>
      <c r="ABI10" s="12"/>
      <c r="ABJ10" s="12"/>
      <c r="ABK10" s="13"/>
      <c r="ABL10" s="9"/>
      <c r="ABM10" s="9"/>
      <c r="ABN10" s="9"/>
      <c r="ABO10" s="9"/>
      <c r="ABP10" s="10"/>
      <c r="ABQ10" s="11"/>
      <c r="ABR10" s="12"/>
      <c r="ABS10" s="12"/>
      <c r="ABT10" s="12"/>
      <c r="ABU10" s="13"/>
      <c r="ABV10" s="9"/>
      <c r="ABW10" s="9"/>
      <c r="ABX10" s="9"/>
      <c r="ABY10" s="9"/>
      <c r="ABZ10" s="10"/>
      <c r="ACA10" s="11"/>
      <c r="ACB10" s="12"/>
      <c r="ACC10" s="12"/>
      <c r="ACD10" s="12"/>
      <c r="ACE10" s="13"/>
      <c r="ACF10" s="9"/>
      <c r="ACG10" s="9"/>
      <c r="ACH10" s="9"/>
      <c r="ACI10" s="9"/>
      <c r="ACJ10" s="10"/>
      <c r="ACK10" s="11"/>
      <c r="ACL10" s="12"/>
      <c r="ACM10" s="12"/>
      <c r="ACN10" s="12"/>
      <c r="ACO10" s="13"/>
      <c r="ACP10" s="9"/>
      <c r="ACQ10" s="9"/>
      <c r="ACR10" s="9"/>
      <c r="ACS10" s="9"/>
      <c r="ACT10" s="10"/>
      <c r="ACU10" s="11"/>
      <c r="ACV10" s="12"/>
      <c r="ACW10" s="12"/>
      <c r="ACX10" s="12"/>
      <c r="ACY10" s="13"/>
      <c r="ACZ10" s="9"/>
      <c r="ADA10" s="9"/>
      <c r="ADB10" s="9"/>
      <c r="ADC10" s="9"/>
      <c r="ADD10" s="10"/>
      <c r="ADE10" s="11"/>
      <c r="ADF10" s="12"/>
      <c r="ADG10" s="12"/>
      <c r="ADH10" s="12"/>
      <c r="ADI10" s="13"/>
      <c r="ADJ10" s="9"/>
      <c r="ADK10" s="9"/>
      <c r="ADL10" s="9"/>
      <c r="ADM10" s="9"/>
      <c r="ADN10" s="10"/>
      <c r="ADO10" s="11"/>
      <c r="ADP10" s="12"/>
      <c r="ADQ10" s="12"/>
      <c r="ADR10" s="12"/>
      <c r="ADS10" s="13"/>
      <c r="ADT10" s="9"/>
      <c r="ADU10" s="9"/>
      <c r="ADV10" s="9"/>
      <c r="ADW10" s="9"/>
      <c r="ADX10" s="10"/>
      <c r="ADY10" s="11"/>
      <c r="ADZ10" s="12"/>
      <c r="AEA10" s="12"/>
      <c r="AEB10" s="12"/>
      <c r="AEC10" s="13"/>
      <c r="AED10" s="9"/>
      <c r="AEE10" s="9"/>
      <c r="AEF10" s="9"/>
      <c r="AEG10" s="9"/>
      <c r="AEH10" s="10"/>
      <c r="AEI10" s="11"/>
      <c r="AEJ10" s="12"/>
      <c r="AEK10" s="12"/>
      <c r="AEL10" s="12"/>
      <c r="AEM10" s="13"/>
      <c r="AEN10" s="9"/>
      <c r="AEO10" s="9"/>
      <c r="AEP10" s="9"/>
      <c r="AEQ10" s="9"/>
      <c r="AER10" s="10"/>
      <c r="AES10" s="11"/>
      <c r="AET10" s="12"/>
      <c r="AEU10" s="12"/>
      <c r="AEV10" s="12"/>
      <c r="AEW10" s="13"/>
      <c r="AEX10" s="9"/>
      <c r="AEY10" s="9"/>
      <c r="AEZ10" s="9"/>
      <c r="AFA10" s="9"/>
      <c r="AFB10" s="10"/>
      <c r="AFC10" s="11"/>
      <c r="AFD10" s="12"/>
      <c r="AFE10" s="12"/>
      <c r="AFF10" s="12"/>
      <c r="AFG10" s="13"/>
      <c r="AFH10" s="9"/>
      <c r="AFI10" s="9"/>
      <c r="AFJ10" s="9"/>
      <c r="AFK10" s="9"/>
      <c r="AFL10" s="10"/>
      <c r="AFM10" s="11"/>
      <c r="AFN10" s="12"/>
      <c r="AFO10" s="12"/>
      <c r="AFP10" s="12"/>
      <c r="AFQ10" s="13"/>
      <c r="AFR10" s="9"/>
      <c r="AFS10" s="9"/>
      <c r="AFT10" s="9"/>
      <c r="AFU10" s="9"/>
      <c r="AFV10" s="10"/>
      <c r="AFW10" s="11"/>
      <c r="AFX10" s="12"/>
      <c r="AFY10" s="12"/>
      <c r="AFZ10" s="12"/>
      <c r="AGA10" s="13"/>
      <c r="AGB10" s="9"/>
      <c r="AGC10" s="9"/>
      <c r="AGD10" s="9"/>
      <c r="AGE10" s="9"/>
      <c r="AGF10" s="10"/>
      <c r="AGG10" s="11"/>
      <c r="AGH10" s="12"/>
      <c r="AGI10" s="12"/>
      <c r="AGJ10" s="12"/>
      <c r="AGK10" s="13"/>
      <c r="AGL10" s="9"/>
      <c r="AGM10" s="9"/>
      <c r="AGN10" s="9"/>
      <c r="AGO10" s="9"/>
      <c r="AGP10" s="10"/>
      <c r="AGQ10" s="11"/>
      <c r="AGR10" s="12"/>
      <c r="AGS10" s="12"/>
      <c r="AGT10" s="12"/>
      <c r="AGU10" s="13"/>
      <c r="AGV10" s="9"/>
      <c r="AGW10" s="9"/>
      <c r="AGX10" s="9"/>
      <c r="AGY10" s="9"/>
      <c r="AGZ10" s="10"/>
      <c r="AHA10" s="11"/>
      <c r="AHB10" s="12"/>
      <c r="AHC10" s="12"/>
      <c r="AHD10" s="12"/>
      <c r="AHE10" s="13"/>
      <c r="AHF10" s="9"/>
      <c r="AHG10" s="9"/>
      <c r="AHH10" s="9"/>
      <c r="AHI10" s="9"/>
      <c r="AHJ10" s="10"/>
      <c r="AHK10" s="11"/>
      <c r="AHL10" s="12"/>
      <c r="AHM10" s="12"/>
      <c r="AHN10" s="12"/>
      <c r="AHO10" s="13"/>
      <c r="AHP10" s="9"/>
      <c r="AHQ10" s="9"/>
      <c r="AHR10" s="9"/>
      <c r="AHS10" s="9"/>
      <c r="AHT10" s="10"/>
      <c r="AHU10" s="11"/>
      <c r="AHV10" s="12"/>
      <c r="AHW10" s="12"/>
      <c r="AHX10" s="12"/>
      <c r="AHY10" s="13"/>
      <c r="AHZ10" s="9"/>
      <c r="AIA10" s="9"/>
      <c r="AIB10" s="9"/>
      <c r="AIC10" s="9"/>
      <c r="AID10" s="10"/>
      <c r="AIE10" s="11"/>
      <c r="AIF10" s="12"/>
      <c r="AIG10" s="12"/>
      <c r="AIH10" s="12"/>
      <c r="AII10" s="13"/>
      <c r="AIJ10" s="9"/>
      <c r="AIK10" s="9"/>
      <c r="AIL10" s="9"/>
      <c r="AIM10" s="9"/>
      <c r="AIN10" s="10"/>
      <c r="AIO10" s="11"/>
      <c r="AIP10" s="12"/>
      <c r="AIQ10" s="12"/>
      <c r="AIR10" s="12"/>
      <c r="AIS10" s="13"/>
      <c r="AIT10" s="9"/>
      <c r="AIU10" s="9"/>
      <c r="AIV10" s="9"/>
      <c r="AIW10" s="9"/>
      <c r="AIX10" s="10"/>
      <c r="AIY10" s="11"/>
      <c r="AIZ10" s="12"/>
      <c r="AJA10" s="12"/>
      <c r="AJB10" s="12"/>
      <c r="AJC10" s="13"/>
      <c r="AJD10" s="9"/>
      <c r="AJE10" s="9"/>
      <c r="AJF10" s="9"/>
      <c r="AJG10" s="9"/>
      <c r="AJH10" s="10"/>
      <c r="AJI10" s="11"/>
      <c r="AJJ10" s="12"/>
      <c r="AJK10" s="12"/>
      <c r="AJL10" s="12"/>
      <c r="AJM10" s="13"/>
      <c r="AJN10" s="9"/>
      <c r="AJO10" s="9"/>
      <c r="AJP10" s="9"/>
      <c r="AJQ10" s="9"/>
      <c r="AJR10" s="10"/>
      <c r="AJS10" s="11"/>
      <c r="AJT10" s="12"/>
      <c r="AJU10" s="12"/>
      <c r="AJV10" s="12"/>
      <c r="AJW10" s="13"/>
      <c r="AJX10" s="9"/>
      <c r="AJY10" s="9"/>
      <c r="AJZ10" s="9"/>
      <c r="AKA10" s="9"/>
      <c r="AKB10" s="10"/>
      <c r="AKC10" s="11"/>
      <c r="AKD10" s="12"/>
      <c r="AKE10" s="12"/>
      <c r="AKF10" s="12"/>
      <c r="AKG10" s="13"/>
      <c r="AKH10" s="9"/>
      <c r="AKI10" s="9"/>
      <c r="AKJ10" s="9"/>
      <c r="AKK10" s="9"/>
      <c r="AKL10" s="10"/>
      <c r="AKM10" s="11"/>
      <c r="AKN10" s="12"/>
      <c r="AKO10" s="12"/>
      <c r="AKP10" s="12"/>
      <c r="AKQ10" s="13"/>
      <c r="AKR10" s="9"/>
      <c r="AKS10" s="9"/>
      <c r="AKT10" s="9"/>
      <c r="AKU10" s="9"/>
      <c r="AKV10" s="10"/>
      <c r="AKW10" s="11"/>
      <c r="AKX10" s="12"/>
      <c r="AKY10" s="12"/>
      <c r="AKZ10" s="12"/>
      <c r="ALA10" s="13"/>
      <c r="ALB10" s="9"/>
      <c r="ALC10" s="9"/>
      <c r="ALD10" s="9"/>
      <c r="ALE10" s="9"/>
      <c r="ALF10" s="10"/>
      <c r="ALG10" s="11"/>
      <c r="ALH10" s="12"/>
      <c r="ALI10" s="12"/>
      <c r="ALJ10" s="12"/>
      <c r="ALK10" s="13"/>
      <c r="ALL10" s="9"/>
      <c r="ALM10" s="9"/>
      <c r="ALN10" s="9"/>
      <c r="ALO10" s="9"/>
      <c r="ALP10" s="10"/>
      <c r="ALQ10" s="11"/>
      <c r="ALR10" s="12"/>
      <c r="ALS10" s="12"/>
      <c r="ALT10" s="12"/>
      <c r="ALU10" s="13"/>
      <c r="ALV10" s="9"/>
      <c r="ALW10" s="9"/>
      <c r="ALX10" s="9"/>
      <c r="ALY10" s="9"/>
      <c r="ALZ10" s="10"/>
      <c r="AMA10" s="11"/>
      <c r="AMB10" s="12"/>
      <c r="AMC10" s="12"/>
      <c r="AMD10" s="12"/>
      <c r="AME10" s="13"/>
      <c r="AMF10" s="9"/>
      <c r="AMG10" s="9"/>
      <c r="AMH10" s="9"/>
      <c r="AMI10" s="9"/>
      <c r="AMJ10" s="10"/>
      <c r="AMK10" s="11"/>
      <c r="AML10" s="12"/>
      <c r="AMM10" s="12"/>
      <c r="AMN10" s="12"/>
      <c r="AMO10" s="13"/>
      <c r="AMP10" s="9"/>
      <c r="AMQ10" s="9"/>
      <c r="AMR10" s="9"/>
      <c r="AMS10" s="9"/>
      <c r="AMT10" s="10"/>
      <c r="AMU10" s="11"/>
      <c r="AMV10" s="12"/>
      <c r="AMW10" s="12"/>
      <c r="AMX10" s="12"/>
      <c r="AMY10" s="13"/>
      <c r="AMZ10" s="9"/>
      <c r="ANA10" s="9"/>
      <c r="ANB10" s="9"/>
      <c r="ANC10" s="9"/>
      <c r="AND10" s="10"/>
      <c r="ANE10" s="11"/>
      <c r="ANF10" s="12"/>
      <c r="ANG10" s="12"/>
      <c r="ANH10" s="12"/>
      <c r="ANI10" s="13"/>
      <c r="ANJ10" s="9"/>
      <c r="ANK10" s="9"/>
      <c r="ANL10" s="9"/>
      <c r="ANM10" s="9"/>
      <c r="ANN10" s="10"/>
      <c r="ANO10" s="11"/>
      <c r="ANP10" s="12"/>
      <c r="ANQ10" s="12"/>
      <c r="ANR10" s="12"/>
      <c r="ANS10" s="13"/>
      <c r="ANT10" s="9"/>
      <c r="ANU10" s="9"/>
      <c r="ANV10" s="9"/>
      <c r="ANW10" s="9"/>
      <c r="ANX10" s="10"/>
      <c r="ANY10" s="11"/>
      <c r="ANZ10" s="12"/>
      <c r="AOA10" s="12"/>
      <c r="AOB10" s="12"/>
      <c r="AOC10" s="13"/>
      <c r="AOD10" s="9"/>
      <c r="AOE10" s="9"/>
      <c r="AOF10" s="9"/>
      <c r="AOG10" s="9"/>
      <c r="AOH10" s="10"/>
      <c r="AOI10" s="11"/>
      <c r="AOJ10" s="12"/>
      <c r="AOK10" s="12"/>
      <c r="AOL10" s="12"/>
      <c r="AOM10" s="13"/>
      <c r="AON10" s="9"/>
      <c r="AOO10" s="9"/>
      <c r="AOP10" s="9"/>
      <c r="AOQ10" s="9"/>
      <c r="AOR10" s="10"/>
      <c r="AOS10" s="11"/>
      <c r="AOT10" s="12"/>
      <c r="AOU10" s="12"/>
      <c r="AOV10" s="12"/>
      <c r="AOW10" s="13"/>
      <c r="AOX10" s="9"/>
      <c r="AOY10" s="9"/>
      <c r="AOZ10" s="9"/>
      <c r="APA10" s="9"/>
      <c r="APB10" s="10"/>
      <c r="APC10" s="11"/>
      <c r="APD10" s="12"/>
      <c r="APE10" s="12"/>
      <c r="APF10" s="12"/>
      <c r="APG10" s="13"/>
      <c r="APH10" s="9"/>
      <c r="API10" s="9"/>
      <c r="APJ10" s="9"/>
      <c r="APK10" s="9"/>
      <c r="APL10" s="10"/>
      <c r="APM10" s="11"/>
      <c r="APN10" s="12"/>
      <c r="APO10" s="12"/>
      <c r="APP10" s="12"/>
      <c r="APQ10" s="13"/>
      <c r="APR10" s="9"/>
      <c r="APS10" s="9"/>
      <c r="APT10" s="9"/>
      <c r="APU10" s="9"/>
      <c r="APV10" s="10"/>
      <c r="APW10" s="11"/>
      <c r="APX10" s="12"/>
      <c r="APY10" s="12"/>
      <c r="APZ10" s="12"/>
      <c r="AQA10" s="13"/>
      <c r="AQB10" s="9"/>
      <c r="AQC10" s="9"/>
      <c r="AQD10" s="9"/>
      <c r="AQE10" s="9"/>
      <c r="AQF10" s="10"/>
      <c r="AQG10" s="11"/>
      <c r="AQH10" s="12"/>
      <c r="AQI10" s="12"/>
      <c r="AQJ10" s="12"/>
      <c r="AQK10" s="13"/>
      <c r="AQL10" s="9"/>
      <c r="AQM10" s="9"/>
      <c r="AQN10" s="9"/>
      <c r="AQO10" s="9"/>
      <c r="AQP10" s="10"/>
      <c r="AQQ10" s="11"/>
      <c r="AQR10" s="12"/>
      <c r="AQS10" s="12"/>
      <c r="AQT10" s="12"/>
      <c r="AQU10" s="13"/>
      <c r="AQV10" s="9"/>
      <c r="AQW10" s="9"/>
      <c r="AQX10" s="9"/>
      <c r="AQY10" s="9"/>
      <c r="AQZ10" s="10"/>
      <c r="ARA10" s="11"/>
      <c r="ARB10" s="12"/>
      <c r="ARC10" s="12"/>
      <c r="ARD10" s="12"/>
      <c r="ARE10" s="13"/>
      <c r="ARF10" s="9"/>
      <c r="ARG10" s="9"/>
      <c r="ARH10" s="9"/>
      <c r="ARI10" s="9"/>
      <c r="ARJ10" s="10"/>
      <c r="ARK10" s="11"/>
      <c r="ARL10" s="12"/>
      <c r="ARM10" s="12"/>
      <c r="ARN10" s="12"/>
      <c r="ARO10" s="13"/>
      <c r="ARP10" s="9"/>
      <c r="ARQ10" s="9"/>
      <c r="ARR10" s="9"/>
      <c r="ARS10" s="9"/>
      <c r="ART10" s="10"/>
      <c r="ARU10" s="11"/>
      <c r="ARV10" s="12"/>
      <c r="ARW10" s="12"/>
      <c r="ARX10" s="12"/>
      <c r="ARY10" s="13"/>
      <c r="ARZ10" s="9"/>
      <c r="ASA10" s="9"/>
      <c r="ASB10" s="9"/>
      <c r="ASC10" s="9"/>
      <c r="ASD10" s="10"/>
      <c r="ASE10" s="11"/>
      <c r="ASF10" s="12"/>
      <c r="ASG10" s="12"/>
      <c r="ASH10" s="12"/>
      <c r="ASI10" s="13"/>
      <c r="ASJ10" s="9"/>
      <c r="ASK10" s="9"/>
      <c r="ASL10" s="9"/>
      <c r="ASM10" s="9"/>
      <c r="ASN10" s="10"/>
      <c r="ASO10" s="11"/>
      <c r="ASP10" s="12"/>
      <c r="ASQ10" s="12"/>
      <c r="ASR10" s="12"/>
      <c r="ASS10" s="13"/>
      <c r="AST10" s="9"/>
      <c r="ASU10" s="9"/>
      <c r="ASV10" s="9"/>
      <c r="ASW10" s="9"/>
      <c r="ASX10" s="10"/>
      <c r="ASY10" s="11"/>
      <c r="ASZ10" s="12"/>
      <c r="ATA10" s="12"/>
      <c r="ATB10" s="12"/>
      <c r="ATC10" s="13"/>
      <c r="ATD10" s="9"/>
      <c r="ATE10" s="9"/>
      <c r="ATF10" s="9"/>
      <c r="ATG10" s="9"/>
      <c r="ATH10" s="10"/>
      <c r="ATI10" s="11"/>
      <c r="ATJ10" s="12"/>
      <c r="ATK10" s="12"/>
      <c r="ATL10" s="12"/>
      <c r="ATM10" s="13"/>
      <c r="ATN10" s="9"/>
      <c r="ATO10" s="9"/>
      <c r="ATP10" s="9"/>
      <c r="ATQ10" s="9"/>
      <c r="ATR10" s="10"/>
      <c r="ATS10" s="11"/>
      <c r="ATT10" s="12"/>
      <c r="ATU10" s="12"/>
      <c r="ATV10" s="12"/>
      <c r="ATW10" s="13"/>
      <c r="ATX10" s="9"/>
      <c r="ATY10" s="9"/>
      <c r="ATZ10" s="9"/>
      <c r="AUA10" s="9"/>
      <c r="AUB10" s="10"/>
      <c r="AUC10" s="11"/>
      <c r="AUD10" s="12"/>
      <c r="AUE10" s="12"/>
      <c r="AUF10" s="12"/>
      <c r="AUG10" s="13"/>
      <c r="AUH10" s="9"/>
      <c r="AUI10" s="9"/>
      <c r="AUJ10" s="9"/>
      <c r="AUK10" s="9"/>
      <c r="AUL10" s="10"/>
      <c r="AUM10" s="11"/>
      <c r="AUN10" s="12"/>
      <c r="AUO10" s="12"/>
      <c r="AUP10" s="12"/>
      <c r="AUQ10" s="13"/>
      <c r="AUR10" s="9"/>
      <c r="AUS10" s="9"/>
      <c r="AUT10" s="9"/>
      <c r="AUU10" s="9"/>
      <c r="AUV10" s="10"/>
      <c r="AUW10" s="11"/>
      <c r="AUX10" s="12"/>
      <c r="AUY10" s="12"/>
      <c r="AUZ10" s="12"/>
      <c r="AVA10" s="13"/>
      <c r="AVB10" s="9"/>
      <c r="AVC10" s="9"/>
      <c r="AVD10" s="9"/>
      <c r="AVE10" s="9"/>
      <c r="AVF10" s="10"/>
      <c r="AVG10" s="11"/>
      <c r="AVH10" s="12"/>
      <c r="AVI10" s="12"/>
      <c r="AVJ10" s="12"/>
      <c r="AVK10" s="13"/>
      <c r="AVL10" s="9"/>
      <c r="AVM10" s="9"/>
      <c r="AVN10" s="9"/>
      <c r="AVO10" s="9"/>
      <c r="AVP10" s="10"/>
      <c r="AVQ10" s="11"/>
      <c r="AVR10" s="12"/>
      <c r="AVS10" s="12"/>
      <c r="AVT10" s="12"/>
      <c r="AVU10" s="13"/>
      <c r="AVV10" s="9"/>
      <c r="AVW10" s="9"/>
      <c r="AVX10" s="9"/>
      <c r="AVY10" s="9"/>
      <c r="AVZ10" s="10"/>
      <c r="AWA10" s="11"/>
      <c r="AWB10" s="12"/>
      <c r="AWC10" s="12"/>
      <c r="AWD10" s="12"/>
      <c r="AWE10" s="13"/>
      <c r="AWF10" s="9"/>
      <c r="AWG10" s="9"/>
      <c r="AWH10" s="9"/>
      <c r="AWI10" s="9"/>
      <c r="AWJ10" s="10"/>
      <c r="AWK10" s="11"/>
      <c r="AWL10" s="12"/>
      <c r="AWM10" s="12"/>
      <c r="AWN10" s="12"/>
      <c r="AWO10" s="13"/>
      <c r="AWP10" s="9"/>
      <c r="AWQ10" s="9"/>
      <c r="AWR10" s="9"/>
      <c r="AWS10" s="9"/>
      <c r="AWT10" s="10"/>
      <c r="AWU10" s="11"/>
      <c r="AWV10" s="12"/>
      <c r="AWW10" s="12"/>
      <c r="AWX10" s="12"/>
      <c r="AWY10" s="13"/>
      <c r="AWZ10" s="9"/>
      <c r="AXA10" s="9"/>
      <c r="AXB10" s="9"/>
      <c r="AXC10" s="9"/>
      <c r="AXD10" s="10"/>
      <c r="AXE10" s="11"/>
      <c r="AXF10" s="12"/>
      <c r="AXG10" s="12"/>
      <c r="AXH10" s="12"/>
      <c r="AXI10" s="13"/>
      <c r="AXJ10" s="9"/>
      <c r="AXK10" s="9"/>
      <c r="AXL10" s="9"/>
      <c r="AXM10" s="9"/>
      <c r="AXN10" s="10"/>
      <c r="AXO10" s="11"/>
      <c r="AXP10" s="12"/>
      <c r="AXQ10" s="12"/>
      <c r="AXR10" s="12"/>
      <c r="AXS10" s="13"/>
      <c r="AXT10" s="9"/>
      <c r="AXU10" s="9"/>
      <c r="AXV10" s="9"/>
      <c r="AXW10" s="9"/>
      <c r="AXX10" s="10"/>
      <c r="AXY10" s="11"/>
      <c r="AXZ10" s="12"/>
      <c r="AYA10" s="12"/>
      <c r="AYB10" s="12"/>
      <c r="AYC10" s="13"/>
      <c r="AYD10" s="9"/>
      <c r="AYE10" s="9"/>
      <c r="AYF10" s="9"/>
      <c r="AYG10" s="9"/>
      <c r="AYH10" s="10"/>
      <c r="AYI10" s="11"/>
      <c r="AYJ10" s="12"/>
      <c r="AYK10" s="12"/>
      <c r="AYL10" s="12"/>
      <c r="AYM10" s="13"/>
      <c r="AYN10" s="9"/>
      <c r="AYO10" s="9"/>
      <c r="AYP10" s="9"/>
      <c r="AYQ10" s="9"/>
      <c r="AYR10" s="10"/>
      <c r="AYS10" s="11"/>
      <c r="AYT10" s="12"/>
      <c r="AYU10" s="12"/>
      <c r="AYV10" s="12"/>
      <c r="AYW10" s="13"/>
      <c r="AYX10" s="9"/>
      <c r="AYY10" s="9"/>
      <c r="AYZ10" s="9"/>
      <c r="AZA10" s="9"/>
      <c r="AZB10" s="10"/>
      <c r="AZC10" s="11"/>
      <c r="AZD10" s="12"/>
      <c r="AZE10" s="12"/>
      <c r="AZF10" s="12"/>
      <c r="AZG10" s="13"/>
      <c r="AZH10" s="9"/>
      <c r="AZI10" s="9"/>
      <c r="AZJ10" s="9"/>
      <c r="AZK10" s="9"/>
      <c r="AZL10" s="10"/>
      <c r="AZM10" s="11"/>
      <c r="AZN10" s="12"/>
      <c r="AZO10" s="12"/>
      <c r="AZP10" s="12"/>
      <c r="AZQ10" s="13"/>
      <c r="AZR10" s="9"/>
      <c r="AZS10" s="9"/>
      <c r="AZT10" s="9"/>
      <c r="AZU10" s="9"/>
      <c r="AZV10" s="10"/>
      <c r="AZW10" s="11"/>
      <c r="AZX10" s="12"/>
      <c r="AZY10" s="12"/>
      <c r="AZZ10" s="12"/>
      <c r="BAA10" s="13"/>
      <c r="BAB10" s="9"/>
      <c r="BAC10" s="9"/>
      <c r="BAD10" s="9"/>
      <c r="BAE10" s="9"/>
      <c r="BAF10" s="10"/>
      <c r="BAG10" s="11"/>
      <c r="BAH10" s="12"/>
      <c r="BAI10" s="12"/>
      <c r="BAJ10" s="12"/>
      <c r="BAK10" s="13"/>
      <c r="BAL10" s="9"/>
      <c r="BAM10" s="9"/>
      <c r="BAN10" s="9"/>
      <c r="BAO10" s="9"/>
      <c r="BAP10" s="10"/>
      <c r="BAQ10" s="11"/>
      <c r="BAR10" s="12"/>
      <c r="BAS10" s="12"/>
      <c r="BAT10" s="12"/>
      <c r="BAU10" s="13"/>
      <c r="BAV10" s="9"/>
      <c r="BAW10" s="9"/>
      <c r="BAX10" s="9"/>
      <c r="BAY10" s="9"/>
      <c r="BAZ10" s="10"/>
      <c r="BBA10" s="11"/>
      <c r="BBB10" s="12"/>
      <c r="BBC10" s="12"/>
      <c r="BBD10" s="12"/>
      <c r="BBE10" s="13"/>
      <c r="BBF10" s="9"/>
      <c r="BBG10" s="9"/>
      <c r="BBH10" s="9"/>
      <c r="BBI10" s="9"/>
      <c r="BBJ10" s="10"/>
      <c r="BBK10" s="11"/>
      <c r="BBL10" s="12"/>
      <c r="BBM10" s="12"/>
      <c r="BBN10" s="12"/>
      <c r="BBO10" s="13"/>
      <c r="BBP10" s="9"/>
      <c r="BBQ10" s="9"/>
      <c r="BBR10" s="9"/>
      <c r="BBS10" s="9"/>
      <c r="BBT10" s="10"/>
      <c r="BBU10" s="11"/>
      <c r="BBV10" s="12"/>
      <c r="BBW10" s="12"/>
      <c r="BBX10" s="12"/>
      <c r="BBY10" s="13"/>
      <c r="BBZ10" s="9"/>
      <c r="BCA10" s="9"/>
      <c r="BCB10" s="9"/>
      <c r="BCC10" s="9"/>
      <c r="BCD10" s="10"/>
      <c r="BCE10" s="11"/>
      <c r="BCF10" s="12"/>
      <c r="BCG10" s="12"/>
      <c r="BCH10" s="12"/>
      <c r="BCI10" s="13"/>
      <c r="BCJ10" s="9"/>
      <c r="BCK10" s="9"/>
      <c r="BCL10" s="9"/>
      <c r="BCM10" s="9"/>
      <c r="BCN10" s="10"/>
      <c r="BCO10" s="11"/>
      <c r="BCP10" s="12"/>
      <c r="BCQ10" s="12"/>
      <c r="BCR10" s="12"/>
      <c r="BCS10" s="13"/>
      <c r="BCT10" s="9"/>
      <c r="BCU10" s="9"/>
      <c r="BCV10" s="9"/>
      <c r="BCW10" s="9"/>
      <c r="BCX10" s="10"/>
      <c r="BCY10" s="11"/>
      <c r="BCZ10" s="12"/>
      <c r="BDA10" s="12"/>
      <c r="BDB10" s="12"/>
      <c r="BDC10" s="13"/>
      <c r="BDD10" s="9"/>
      <c r="BDE10" s="9"/>
      <c r="BDF10" s="9"/>
      <c r="BDG10" s="9"/>
      <c r="BDH10" s="10"/>
      <c r="BDI10" s="11"/>
      <c r="BDJ10" s="12"/>
      <c r="BDK10" s="12"/>
      <c r="BDL10" s="12"/>
      <c r="BDM10" s="13"/>
      <c r="BDN10" s="9"/>
      <c r="BDO10" s="9"/>
      <c r="BDP10" s="9"/>
      <c r="BDQ10" s="9"/>
      <c r="BDR10" s="10"/>
      <c r="BDS10" s="11"/>
      <c r="BDT10" s="12"/>
      <c r="BDU10" s="12"/>
      <c r="BDV10" s="12"/>
      <c r="BDW10" s="13"/>
      <c r="BDX10" s="9"/>
      <c r="BDY10" s="9"/>
      <c r="BDZ10" s="9"/>
      <c r="BEA10" s="9"/>
      <c r="BEB10" s="10"/>
      <c r="BEC10" s="11"/>
      <c r="BED10" s="12"/>
      <c r="BEE10" s="12"/>
      <c r="BEF10" s="12"/>
      <c r="BEG10" s="13"/>
      <c r="BEH10" s="9"/>
      <c r="BEI10" s="9"/>
      <c r="BEJ10" s="9"/>
      <c r="BEK10" s="9"/>
      <c r="BEL10" s="10"/>
      <c r="BEM10" s="11"/>
      <c r="BEN10" s="12"/>
      <c r="BEO10" s="12"/>
      <c r="BEP10" s="12"/>
      <c r="BEQ10" s="13"/>
      <c r="BER10" s="9"/>
      <c r="BES10" s="9"/>
      <c r="BET10" s="9"/>
      <c r="BEU10" s="9"/>
      <c r="BEV10" s="10"/>
      <c r="BEW10" s="11"/>
      <c r="BEX10" s="12"/>
      <c r="BEY10" s="12"/>
      <c r="BEZ10" s="12"/>
      <c r="BFA10" s="13"/>
      <c r="BFB10" s="9"/>
      <c r="BFC10" s="9"/>
      <c r="BFD10" s="9"/>
      <c r="BFE10" s="9"/>
      <c r="BFF10" s="10"/>
      <c r="BFG10" s="11"/>
      <c r="BFH10" s="12"/>
      <c r="BFI10" s="12"/>
      <c r="BFJ10" s="12"/>
      <c r="BFK10" s="13"/>
      <c r="BFL10" s="9"/>
      <c r="BFM10" s="9"/>
      <c r="BFN10" s="9"/>
      <c r="BFO10" s="9"/>
      <c r="BFP10" s="10"/>
      <c r="BFQ10" s="11"/>
      <c r="BFR10" s="12"/>
      <c r="BFS10" s="12"/>
      <c r="BFT10" s="12"/>
      <c r="BFU10" s="13"/>
      <c r="BFV10" s="9"/>
      <c r="BFW10" s="9"/>
      <c r="BFX10" s="9"/>
      <c r="BFY10" s="9"/>
      <c r="BFZ10" s="10"/>
      <c r="BGA10" s="11"/>
      <c r="BGB10" s="12"/>
      <c r="BGC10" s="12"/>
      <c r="BGD10" s="12"/>
      <c r="BGE10" s="13"/>
      <c r="BGF10" s="9"/>
      <c r="BGG10" s="9"/>
      <c r="BGH10" s="9"/>
      <c r="BGI10" s="9"/>
      <c r="BGJ10" s="10"/>
      <c r="BGK10" s="11"/>
      <c r="BGL10" s="12"/>
      <c r="BGM10" s="12"/>
      <c r="BGN10" s="12"/>
      <c r="BGO10" s="13"/>
      <c r="BGP10" s="9"/>
      <c r="BGQ10" s="9"/>
      <c r="BGR10" s="9"/>
      <c r="BGS10" s="9"/>
      <c r="BGT10" s="10"/>
      <c r="BGU10" s="11"/>
      <c r="BGV10" s="12"/>
      <c r="BGW10" s="12"/>
      <c r="BGX10" s="12"/>
      <c r="BGY10" s="13"/>
      <c r="BGZ10" s="9"/>
      <c r="BHA10" s="9"/>
      <c r="BHB10" s="9"/>
      <c r="BHC10" s="9"/>
      <c r="BHD10" s="10"/>
      <c r="BHE10" s="11"/>
      <c r="BHF10" s="12"/>
      <c r="BHG10" s="12"/>
      <c r="BHH10" s="12"/>
      <c r="BHI10" s="13"/>
      <c r="BHJ10" s="9"/>
      <c r="BHK10" s="9"/>
      <c r="BHL10" s="9"/>
      <c r="BHM10" s="9"/>
      <c r="BHN10" s="10"/>
      <c r="BHO10" s="11"/>
      <c r="BHP10" s="12"/>
      <c r="BHQ10" s="12"/>
      <c r="BHR10" s="12"/>
      <c r="BHS10" s="13"/>
      <c r="BHT10" s="9"/>
      <c r="BHU10" s="9"/>
      <c r="BHV10" s="9"/>
      <c r="BHW10" s="9"/>
      <c r="BHX10" s="10"/>
      <c r="BHY10" s="11"/>
      <c r="BHZ10" s="12"/>
      <c r="BIA10" s="12"/>
      <c r="BIB10" s="12"/>
      <c r="BIC10" s="13"/>
      <c r="BID10" s="9"/>
      <c r="BIE10" s="9"/>
      <c r="BIF10" s="9"/>
      <c r="BIG10" s="9"/>
      <c r="BIH10" s="10"/>
      <c r="BII10" s="11"/>
      <c r="BIJ10" s="12"/>
      <c r="BIK10" s="12"/>
      <c r="BIL10" s="12"/>
      <c r="BIM10" s="13"/>
      <c r="BIN10" s="9"/>
      <c r="BIO10" s="9"/>
      <c r="BIP10" s="9"/>
      <c r="BIQ10" s="9"/>
      <c r="BIR10" s="10"/>
      <c r="BIS10" s="11"/>
      <c r="BIT10" s="12"/>
      <c r="BIU10" s="12"/>
      <c r="BIV10" s="12"/>
      <c r="BIW10" s="13"/>
      <c r="BIX10" s="9"/>
      <c r="BIY10" s="9"/>
      <c r="BIZ10" s="9"/>
      <c r="BJA10" s="9"/>
      <c r="BJB10" s="10"/>
      <c r="BJC10" s="11"/>
      <c r="BJD10" s="12"/>
      <c r="BJE10" s="12"/>
      <c r="BJF10" s="12"/>
      <c r="BJG10" s="13"/>
      <c r="BJH10" s="9"/>
      <c r="BJI10" s="9"/>
      <c r="BJJ10" s="9"/>
      <c r="BJK10" s="9"/>
      <c r="BJL10" s="10"/>
      <c r="BJM10" s="11"/>
      <c r="BJN10" s="12"/>
      <c r="BJO10" s="12"/>
      <c r="BJP10" s="12"/>
      <c r="BJQ10" s="13"/>
      <c r="BJR10" s="9"/>
      <c r="BJS10" s="9"/>
      <c r="BJT10" s="9"/>
      <c r="BJU10" s="9"/>
      <c r="BJV10" s="10"/>
      <c r="BJW10" s="11"/>
      <c r="BJX10" s="12"/>
      <c r="BJY10" s="12"/>
      <c r="BJZ10" s="12"/>
      <c r="BKA10" s="13"/>
      <c r="BKB10" s="9"/>
      <c r="BKC10" s="9"/>
      <c r="BKD10" s="9"/>
      <c r="BKE10" s="9"/>
      <c r="BKF10" s="10"/>
      <c r="BKG10" s="11"/>
      <c r="BKH10" s="12"/>
      <c r="BKI10" s="12"/>
      <c r="BKJ10" s="12"/>
      <c r="BKK10" s="13"/>
      <c r="BKL10" s="9"/>
      <c r="BKM10" s="9"/>
      <c r="BKN10" s="9"/>
      <c r="BKO10" s="9"/>
      <c r="BKP10" s="10"/>
      <c r="BKQ10" s="11"/>
      <c r="BKR10" s="12"/>
      <c r="BKS10" s="12"/>
      <c r="BKT10" s="12"/>
      <c r="BKU10" s="13"/>
      <c r="BKV10" s="9"/>
      <c r="BKW10" s="9"/>
      <c r="BKX10" s="9"/>
      <c r="BKY10" s="9"/>
      <c r="BKZ10" s="10"/>
      <c r="BLA10" s="11"/>
      <c r="BLB10" s="12"/>
      <c r="BLC10" s="12"/>
      <c r="BLD10" s="12"/>
      <c r="BLE10" s="13"/>
      <c r="BLF10" s="9"/>
      <c r="BLG10" s="9"/>
      <c r="BLH10" s="9"/>
      <c r="BLI10" s="9"/>
      <c r="BLJ10" s="10"/>
      <c r="BLK10" s="11"/>
      <c r="BLL10" s="12"/>
      <c r="BLM10" s="12"/>
      <c r="BLN10" s="12"/>
      <c r="BLO10" s="13"/>
      <c r="BLP10" s="9"/>
      <c r="BLQ10" s="9"/>
      <c r="BLR10" s="9"/>
      <c r="BLS10" s="9"/>
      <c r="BLT10" s="10"/>
      <c r="BLU10" s="11"/>
      <c r="BLV10" s="12"/>
      <c r="BLW10" s="12"/>
      <c r="BLX10" s="12"/>
      <c r="BLY10" s="13"/>
      <c r="BLZ10" s="9"/>
      <c r="BMA10" s="9"/>
      <c r="BMB10" s="9"/>
      <c r="BMC10" s="9"/>
      <c r="BMD10" s="10"/>
      <c r="BME10" s="11"/>
      <c r="BMF10" s="12"/>
      <c r="BMG10" s="12"/>
      <c r="BMH10" s="12"/>
      <c r="BMI10" s="13"/>
      <c r="BMJ10" s="9"/>
      <c r="BMK10" s="9"/>
      <c r="BML10" s="9"/>
      <c r="BMM10" s="9"/>
      <c r="BMN10" s="10"/>
      <c r="BMO10" s="11"/>
      <c r="BMP10" s="12"/>
      <c r="BMQ10" s="12"/>
      <c r="BMR10" s="12"/>
      <c r="BMS10" s="13"/>
      <c r="BMT10" s="9"/>
      <c r="BMU10" s="9"/>
      <c r="BMV10" s="9"/>
      <c r="BMW10" s="9"/>
      <c r="BMX10" s="10"/>
      <c r="BMY10" s="11"/>
      <c r="BMZ10" s="12"/>
      <c r="BNA10" s="12"/>
      <c r="BNB10" s="12"/>
      <c r="BNC10" s="13"/>
      <c r="BND10" s="9"/>
      <c r="BNE10" s="9"/>
      <c r="BNF10" s="9"/>
      <c r="BNG10" s="9"/>
      <c r="BNH10" s="10"/>
      <c r="BNI10" s="11"/>
      <c r="BNJ10" s="12"/>
      <c r="BNK10" s="12"/>
      <c r="BNL10" s="12"/>
      <c r="BNM10" s="13"/>
      <c r="BNN10" s="9"/>
      <c r="BNO10" s="9"/>
      <c r="BNP10" s="9"/>
      <c r="BNQ10" s="9"/>
      <c r="BNR10" s="10"/>
      <c r="BNS10" s="11"/>
      <c r="BNT10" s="12"/>
      <c r="BNU10" s="12"/>
      <c r="BNV10" s="12"/>
      <c r="BNW10" s="13"/>
      <c r="BNX10" s="9"/>
      <c r="BNY10" s="9"/>
      <c r="BNZ10" s="9"/>
      <c r="BOA10" s="9"/>
      <c r="BOB10" s="10"/>
      <c r="BOC10" s="11"/>
      <c r="BOD10" s="12"/>
      <c r="BOE10" s="12"/>
      <c r="BOF10" s="12"/>
      <c r="BOG10" s="13"/>
      <c r="BOH10" s="9"/>
      <c r="BOI10" s="9"/>
      <c r="BOJ10" s="9"/>
      <c r="BOK10" s="9"/>
      <c r="BOL10" s="10"/>
      <c r="BOM10" s="11"/>
      <c r="BON10" s="12"/>
      <c r="BOO10" s="12"/>
      <c r="BOP10" s="12"/>
      <c r="BOQ10" s="13"/>
      <c r="BOR10" s="9"/>
      <c r="BOS10" s="9"/>
      <c r="BOT10" s="9"/>
      <c r="BOU10" s="9"/>
      <c r="BOV10" s="10"/>
      <c r="BOW10" s="11"/>
      <c r="BOX10" s="12"/>
      <c r="BOY10" s="12"/>
      <c r="BOZ10" s="12"/>
      <c r="BPA10" s="13"/>
      <c r="BPB10" s="9"/>
      <c r="BPC10" s="9"/>
      <c r="BPD10" s="9"/>
      <c r="BPE10" s="9"/>
      <c r="BPF10" s="10"/>
      <c r="BPG10" s="11"/>
      <c r="BPH10" s="12"/>
      <c r="BPI10" s="12"/>
      <c r="BPJ10" s="12"/>
      <c r="BPK10" s="13"/>
      <c r="BPL10" s="9"/>
      <c r="BPM10" s="9"/>
      <c r="BPN10" s="9"/>
      <c r="BPO10" s="9"/>
      <c r="BPP10" s="10"/>
      <c r="BPQ10" s="11"/>
      <c r="BPR10" s="12"/>
      <c r="BPS10" s="12"/>
      <c r="BPT10" s="12"/>
      <c r="BPU10" s="13"/>
      <c r="BPV10" s="9"/>
      <c r="BPW10" s="9"/>
      <c r="BPX10" s="9"/>
      <c r="BPY10" s="9"/>
      <c r="BPZ10" s="10"/>
      <c r="BQA10" s="11"/>
      <c r="BQB10" s="12"/>
      <c r="BQC10" s="12"/>
      <c r="BQD10" s="12"/>
      <c r="BQE10" s="13"/>
      <c r="BQF10" s="9"/>
      <c r="BQG10" s="9"/>
      <c r="BQH10" s="9"/>
      <c r="BQI10" s="9"/>
      <c r="BQJ10" s="10"/>
      <c r="BQK10" s="11"/>
      <c r="BQL10" s="12"/>
      <c r="BQM10" s="12"/>
      <c r="BQN10" s="12"/>
      <c r="BQO10" s="13"/>
      <c r="BQP10" s="9"/>
      <c r="BQQ10" s="9"/>
      <c r="BQR10" s="9"/>
      <c r="BQS10" s="9"/>
      <c r="BQT10" s="10"/>
      <c r="BQU10" s="11"/>
      <c r="BQV10" s="12"/>
      <c r="BQW10" s="12"/>
      <c r="BQX10" s="12"/>
      <c r="BQY10" s="13"/>
      <c r="BQZ10" s="9"/>
      <c r="BRA10" s="9"/>
      <c r="BRB10" s="9"/>
      <c r="BRC10" s="9"/>
      <c r="BRD10" s="10"/>
      <c r="BRE10" s="11"/>
      <c r="BRF10" s="12"/>
      <c r="BRG10" s="12"/>
      <c r="BRH10" s="12"/>
      <c r="BRI10" s="13"/>
      <c r="BRJ10" s="9"/>
      <c r="BRK10" s="9"/>
      <c r="BRL10" s="9"/>
      <c r="BRM10" s="9"/>
      <c r="BRN10" s="10"/>
      <c r="BRO10" s="11"/>
      <c r="BRP10" s="12"/>
      <c r="BRQ10" s="12"/>
      <c r="BRR10" s="12"/>
      <c r="BRS10" s="13"/>
      <c r="BRT10" s="9"/>
      <c r="BRU10" s="9"/>
      <c r="BRV10" s="9"/>
      <c r="BRW10" s="9"/>
      <c r="BRX10" s="10"/>
      <c r="BRY10" s="11"/>
      <c r="BRZ10" s="12"/>
      <c r="BSA10" s="12"/>
      <c r="BSB10" s="12"/>
      <c r="BSC10" s="13"/>
      <c r="BSD10" s="9"/>
      <c r="BSE10" s="9"/>
      <c r="BSF10" s="9"/>
      <c r="BSG10" s="9"/>
      <c r="BSH10" s="10"/>
      <c r="BSI10" s="11"/>
      <c r="BSJ10" s="12"/>
      <c r="BSK10" s="12"/>
      <c r="BSL10" s="12"/>
      <c r="BSM10" s="13"/>
      <c r="BSN10" s="9"/>
      <c r="BSO10" s="9"/>
      <c r="BSP10" s="9"/>
      <c r="BSQ10" s="9"/>
      <c r="BSR10" s="10"/>
      <c r="BSS10" s="11"/>
      <c r="BST10" s="12"/>
      <c r="BSU10" s="12"/>
      <c r="BSV10" s="12"/>
      <c r="BSW10" s="13"/>
      <c r="BSX10" s="9"/>
      <c r="BSY10" s="9"/>
      <c r="BSZ10" s="9"/>
      <c r="BTA10" s="9"/>
      <c r="BTB10" s="10"/>
      <c r="BTC10" s="11"/>
      <c r="BTD10" s="12"/>
      <c r="BTE10" s="12"/>
      <c r="BTF10" s="12"/>
      <c r="BTG10" s="13"/>
      <c r="BTH10" s="9"/>
      <c r="BTI10" s="9"/>
      <c r="BTJ10" s="9"/>
      <c r="BTK10" s="9"/>
      <c r="BTL10" s="10"/>
      <c r="BTM10" s="11"/>
      <c r="BTN10" s="12"/>
      <c r="BTO10" s="12"/>
      <c r="BTP10" s="12"/>
      <c r="BTQ10" s="13"/>
      <c r="BTR10" s="9"/>
      <c r="BTS10" s="9"/>
      <c r="BTT10" s="9"/>
      <c r="BTU10" s="9"/>
      <c r="BTV10" s="10"/>
      <c r="BTW10" s="11"/>
      <c r="BTX10" s="12"/>
      <c r="BTY10" s="12"/>
      <c r="BTZ10" s="12"/>
      <c r="BUA10" s="13"/>
      <c r="BUB10" s="9"/>
      <c r="BUC10" s="9"/>
      <c r="BUD10" s="9"/>
      <c r="BUE10" s="9"/>
      <c r="BUF10" s="10"/>
      <c r="BUG10" s="11"/>
      <c r="BUH10" s="12"/>
      <c r="BUI10" s="12"/>
      <c r="BUJ10" s="12"/>
      <c r="BUK10" s="13"/>
      <c r="BUL10" s="9"/>
      <c r="BUM10" s="9"/>
      <c r="BUN10" s="9"/>
      <c r="BUO10" s="9"/>
      <c r="BUP10" s="10"/>
      <c r="BUQ10" s="11"/>
      <c r="BUR10" s="12"/>
      <c r="BUS10" s="12"/>
      <c r="BUT10" s="12"/>
      <c r="BUU10" s="13"/>
      <c r="BUV10" s="9"/>
      <c r="BUW10" s="9"/>
      <c r="BUX10" s="9"/>
      <c r="BUY10" s="9"/>
      <c r="BUZ10" s="10"/>
      <c r="BVA10" s="11"/>
      <c r="BVB10" s="12"/>
      <c r="BVC10" s="12"/>
      <c r="BVD10" s="12"/>
      <c r="BVE10" s="13"/>
      <c r="BVF10" s="9"/>
      <c r="BVG10" s="9"/>
      <c r="BVH10" s="9"/>
      <c r="BVI10" s="9"/>
      <c r="BVJ10" s="10"/>
      <c r="BVK10" s="11"/>
      <c r="BVL10" s="12"/>
      <c r="BVM10" s="12"/>
      <c r="BVN10" s="12"/>
      <c r="BVO10" s="13"/>
      <c r="BVP10" s="9"/>
      <c r="BVQ10" s="9"/>
      <c r="BVR10" s="9"/>
      <c r="BVS10" s="9"/>
      <c r="BVT10" s="10"/>
      <c r="BVU10" s="11"/>
      <c r="BVV10" s="12"/>
      <c r="BVW10" s="12"/>
      <c r="BVX10" s="12"/>
      <c r="BVY10" s="13"/>
      <c r="BVZ10" s="9"/>
      <c r="BWA10" s="9"/>
      <c r="BWB10" s="9"/>
      <c r="BWC10" s="9"/>
      <c r="BWD10" s="10"/>
      <c r="BWE10" s="11"/>
      <c r="BWF10" s="12"/>
      <c r="BWG10" s="12"/>
      <c r="BWH10" s="12"/>
      <c r="BWI10" s="13"/>
      <c r="BWJ10" s="9"/>
      <c r="BWK10" s="9"/>
      <c r="BWL10" s="9"/>
      <c r="BWM10" s="9"/>
      <c r="BWN10" s="10"/>
      <c r="BWO10" s="11"/>
      <c r="BWP10" s="12"/>
      <c r="BWQ10" s="12"/>
      <c r="BWR10" s="12"/>
      <c r="BWS10" s="13"/>
      <c r="BWT10" s="9"/>
      <c r="BWU10" s="9"/>
      <c r="BWV10" s="9"/>
      <c r="BWW10" s="9"/>
      <c r="BWX10" s="10"/>
      <c r="BWY10" s="11"/>
      <c r="BWZ10" s="12"/>
      <c r="BXA10" s="12"/>
      <c r="BXB10" s="12"/>
      <c r="BXC10" s="13"/>
      <c r="BXD10" s="9"/>
      <c r="BXE10" s="9"/>
      <c r="BXF10" s="9"/>
      <c r="BXG10" s="9"/>
      <c r="BXH10" s="10"/>
      <c r="BXI10" s="11"/>
      <c r="BXJ10" s="12"/>
      <c r="BXK10" s="12"/>
      <c r="BXL10" s="12"/>
      <c r="BXM10" s="13"/>
      <c r="BXN10" s="9"/>
      <c r="BXO10" s="9"/>
      <c r="BXP10" s="9"/>
      <c r="BXQ10" s="9"/>
      <c r="BXR10" s="10"/>
      <c r="BXS10" s="11"/>
      <c r="BXT10" s="12"/>
      <c r="BXU10" s="12"/>
      <c r="BXV10" s="12"/>
      <c r="BXW10" s="13"/>
      <c r="BXX10" s="9"/>
      <c r="BXY10" s="9"/>
      <c r="BXZ10" s="9"/>
      <c r="BYA10" s="9"/>
      <c r="BYB10" s="10"/>
      <c r="BYC10" s="11"/>
      <c r="BYD10" s="12"/>
      <c r="BYE10" s="12"/>
      <c r="BYF10" s="12"/>
      <c r="BYG10" s="13"/>
      <c r="BYH10" s="9"/>
      <c r="BYI10" s="9"/>
      <c r="BYJ10" s="9"/>
      <c r="BYK10" s="9"/>
      <c r="BYL10" s="10"/>
      <c r="BYM10" s="11"/>
      <c r="BYN10" s="12"/>
      <c r="BYO10" s="12"/>
      <c r="BYP10" s="12"/>
      <c r="BYQ10" s="13"/>
      <c r="BYR10" s="9"/>
      <c r="BYS10" s="9"/>
      <c r="BYT10" s="9"/>
      <c r="BYU10" s="9"/>
      <c r="BYV10" s="10"/>
      <c r="BYW10" s="11"/>
      <c r="BYX10" s="12"/>
      <c r="BYY10" s="12"/>
      <c r="BYZ10" s="12"/>
      <c r="BZA10" s="13"/>
      <c r="BZB10" s="9"/>
      <c r="BZC10" s="9"/>
      <c r="BZD10" s="9"/>
      <c r="BZE10" s="9"/>
      <c r="BZF10" s="10"/>
      <c r="BZG10" s="11"/>
      <c r="BZH10" s="12"/>
      <c r="BZI10" s="12"/>
      <c r="BZJ10" s="12"/>
      <c r="BZK10" s="13"/>
      <c r="BZL10" s="9"/>
      <c r="BZM10" s="9"/>
      <c r="BZN10" s="9"/>
      <c r="BZO10" s="9"/>
      <c r="BZP10" s="10"/>
      <c r="BZQ10" s="11"/>
      <c r="BZR10" s="12"/>
      <c r="BZS10" s="12"/>
      <c r="BZT10" s="12"/>
      <c r="BZU10" s="13"/>
      <c r="BZV10" s="9"/>
      <c r="BZW10" s="9"/>
      <c r="BZX10" s="9"/>
      <c r="BZY10" s="9"/>
      <c r="BZZ10" s="10"/>
      <c r="CAA10" s="11"/>
      <c r="CAB10" s="12"/>
      <c r="CAC10" s="12"/>
      <c r="CAD10" s="12"/>
      <c r="CAE10" s="13"/>
      <c r="CAF10" s="9"/>
      <c r="CAG10" s="9"/>
      <c r="CAH10" s="9"/>
      <c r="CAI10" s="9"/>
      <c r="CAJ10" s="10"/>
      <c r="CAK10" s="11"/>
      <c r="CAL10" s="12"/>
      <c r="CAM10" s="12"/>
      <c r="CAN10" s="12"/>
      <c r="CAO10" s="13"/>
      <c r="CAP10" s="9"/>
      <c r="CAQ10" s="9"/>
      <c r="CAR10" s="9"/>
      <c r="CAS10" s="9"/>
      <c r="CAT10" s="10"/>
      <c r="CAU10" s="11"/>
      <c r="CAV10" s="12"/>
      <c r="CAW10" s="12"/>
      <c r="CAX10" s="12"/>
      <c r="CAY10" s="13"/>
      <c r="CAZ10" s="9"/>
      <c r="CBA10" s="9"/>
      <c r="CBB10" s="9"/>
      <c r="CBC10" s="9"/>
      <c r="CBD10" s="10"/>
      <c r="CBE10" s="11"/>
      <c r="CBF10" s="12"/>
      <c r="CBG10" s="12"/>
      <c r="CBH10" s="12"/>
      <c r="CBI10" s="13"/>
      <c r="CBJ10" s="9"/>
      <c r="CBK10" s="9"/>
      <c r="CBL10" s="9"/>
      <c r="CBM10" s="9"/>
      <c r="CBN10" s="10"/>
      <c r="CBO10" s="11"/>
      <c r="CBP10" s="12"/>
      <c r="CBQ10" s="12"/>
      <c r="CBR10" s="12"/>
      <c r="CBS10" s="13"/>
      <c r="CBT10" s="9"/>
      <c r="CBU10" s="9"/>
      <c r="CBV10" s="9"/>
      <c r="CBW10" s="9"/>
      <c r="CBX10" s="10"/>
      <c r="CBY10" s="11"/>
      <c r="CBZ10" s="12"/>
      <c r="CCA10" s="12"/>
      <c r="CCB10" s="12"/>
      <c r="CCC10" s="13"/>
      <c r="CCD10" s="9"/>
      <c r="CCE10" s="9"/>
      <c r="CCF10" s="9"/>
      <c r="CCG10" s="9"/>
      <c r="CCH10" s="10"/>
      <c r="CCI10" s="11"/>
      <c r="CCJ10" s="12"/>
      <c r="CCK10" s="12"/>
      <c r="CCL10" s="12"/>
      <c r="CCM10" s="13"/>
      <c r="CCN10" s="9"/>
      <c r="CCO10" s="9"/>
      <c r="CCP10" s="9"/>
      <c r="CCQ10" s="9"/>
      <c r="CCR10" s="10"/>
      <c r="CCS10" s="11"/>
      <c r="CCT10" s="12"/>
      <c r="CCU10" s="12"/>
      <c r="CCV10" s="12"/>
      <c r="CCW10" s="13"/>
      <c r="CCX10" s="9"/>
      <c r="CCY10" s="9"/>
      <c r="CCZ10" s="9"/>
      <c r="CDA10" s="9"/>
      <c r="CDB10" s="10"/>
      <c r="CDC10" s="11"/>
      <c r="CDD10" s="12"/>
      <c r="CDE10" s="12"/>
      <c r="CDF10" s="12"/>
      <c r="CDG10" s="13"/>
      <c r="CDH10" s="9"/>
      <c r="CDI10" s="9"/>
      <c r="CDJ10" s="9"/>
      <c r="CDK10" s="9"/>
      <c r="CDL10" s="10"/>
      <c r="CDM10" s="11"/>
      <c r="CDN10" s="12"/>
      <c r="CDO10" s="12"/>
      <c r="CDP10" s="12"/>
      <c r="CDQ10" s="13"/>
      <c r="CDR10" s="9"/>
      <c r="CDS10" s="9"/>
      <c r="CDT10" s="9"/>
      <c r="CDU10" s="9"/>
      <c r="CDV10" s="10"/>
      <c r="CDW10" s="11"/>
      <c r="CDX10" s="12"/>
      <c r="CDY10" s="12"/>
      <c r="CDZ10" s="12"/>
      <c r="CEA10" s="13"/>
      <c r="CEB10" s="9"/>
      <c r="CEC10" s="9"/>
      <c r="CED10" s="9"/>
      <c r="CEE10" s="9"/>
      <c r="CEF10" s="10"/>
      <c r="CEG10" s="11"/>
      <c r="CEH10" s="12"/>
      <c r="CEI10" s="12"/>
      <c r="CEJ10" s="12"/>
      <c r="CEK10" s="13"/>
      <c r="CEL10" s="9"/>
      <c r="CEM10" s="9"/>
      <c r="CEN10" s="9"/>
      <c r="CEO10" s="9"/>
      <c r="CEP10" s="10"/>
      <c r="CEQ10" s="11"/>
      <c r="CER10" s="12"/>
      <c r="CES10" s="12"/>
      <c r="CET10" s="12"/>
      <c r="CEU10" s="13"/>
      <c r="CEV10" s="9"/>
      <c r="CEW10" s="9"/>
      <c r="CEX10" s="9"/>
      <c r="CEY10" s="9"/>
      <c r="CEZ10" s="10"/>
      <c r="CFA10" s="11"/>
      <c r="CFB10" s="12"/>
      <c r="CFC10" s="12"/>
      <c r="CFD10" s="12"/>
      <c r="CFE10" s="13"/>
      <c r="CFF10" s="9"/>
      <c r="CFG10" s="9"/>
      <c r="CFH10" s="9"/>
      <c r="CFI10" s="9"/>
      <c r="CFJ10" s="10"/>
      <c r="CFK10" s="11"/>
      <c r="CFL10" s="12"/>
      <c r="CFM10" s="12"/>
      <c r="CFN10" s="12"/>
      <c r="CFO10" s="13"/>
      <c r="CFP10" s="9"/>
      <c r="CFQ10" s="9"/>
      <c r="CFR10" s="9"/>
      <c r="CFS10" s="9"/>
      <c r="CFT10" s="10"/>
      <c r="CFU10" s="11"/>
      <c r="CFV10" s="12"/>
      <c r="CFW10" s="12"/>
      <c r="CFX10" s="12"/>
      <c r="CFY10" s="13"/>
      <c r="CFZ10" s="9"/>
      <c r="CGA10" s="9"/>
      <c r="CGB10" s="9"/>
      <c r="CGC10" s="9"/>
      <c r="CGD10" s="10"/>
      <c r="CGE10" s="11"/>
      <c r="CGF10" s="12"/>
      <c r="CGG10" s="12"/>
      <c r="CGH10" s="12"/>
      <c r="CGI10" s="13"/>
      <c r="CGJ10" s="9"/>
      <c r="CGK10" s="9"/>
      <c r="CGL10" s="9"/>
      <c r="CGM10" s="9"/>
      <c r="CGN10" s="10"/>
      <c r="CGO10" s="11"/>
      <c r="CGP10" s="12"/>
      <c r="CGQ10" s="12"/>
      <c r="CGR10" s="12"/>
      <c r="CGS10" s="13"/>
      <c r="CGT10" s="9"/>
      <c r="CGU10" s="9"/>
      <c r="CGV10" s="9"/>
      <c r="CGW10" s="9"/>
      <c r="CGX10" s="10"/>
      <c r="CGY10" s="11"/>
      <c r="CGZ10" s="12"/>
      <c r="CHA10" s="12"/>
      <c r="CHB10" s="12"/>
      <c r="CHC10" s="13"/>
      <c r="CHD10" s="9"/>
      <c r="CHE10" s="9"/>
      <c r="CHF10" s="9"/>
      <c r="CHG10" s="9"/>
      <c r="CHH10" s="10"/>
      <c r="CHI10" s="11"/>
      <c r="CHJ10" s="12"/>
      <c r="CHK10" s="12"/>
      <c r="CHL10" s="12"/>
      <c r="CHM10" s="13"/>
      <c r="CHN10" s="9"/>
      <c r="CHO10" s="9"/>
      <c r="CHP10" s="9"/>
      <c r="CHQ10" s="9"/>
      <c r="CHR10" s="10"/>
      <c r="CHS10" s="11"/>
      <c r="CHT10" s="12"/>
      <c r="CHU10" s="12"/>
      <c r="CHV10" s="12"/>
      <c r="CHW10" s="13"/>
      <c r="CHX10" s="9"/>
      <c r="CHY10" s="9"/>
      <c r="CHZ10" s="9"/>
      <c r="CIA10" s="9"/>
      <c r="CIB10" s="10"/>
      <c r="CIC10" s="11"/>
      <c r="CID10" s="12"/>
      <c r="CIE10" s="12"/>
      <c r="CIF10" s="12"/>
      <c r="CIG10" s="13"/>
      <c r="CIH10" s="9"/>
      <c r="CII10" s="9"/>
      <c r="CIJ10" s="9"/>
      <c r="CIK10" s="9"/>
      <c r="CIL10" s="10"/>
      <c r="CIM10" s="11"/>
      <c r="CIN10" s="12"/>
      <c r="CIO10" s="12"/>
      <c r="CIP10" s="12"/>
      <c r="CIQ10" s="13"/>
      <c r="CIR10" s="9"/>
      <c r="CIS10" s="9"/>
      <c r="CIT10" s="9"/>
      <c r="CIU10" s="9"/>
      <c r="CIV10" s="10"/>
      <c r="CIW10" s="11"/>
      <c r="CIX10" s="12"/>
      <c r="CIY10" s="12"/>
      <c r="CIZ10" s="12"/>
      <c r="CJA10" s="13"/>
      <c r="CJB10" s="9"/>
      <c r="CJC10" s="9"/>
      <c r="CJD10" s="9"/>
      <c r="CJE10" s="9"/>
      <c r="CJF10" s="10"/>
      <c r="CJG10" s="11"/>
      <c r="CJH10" s="12"/>
      <c r="CJI10" s="12"/>
      <c r="CJJ10" s="12"/>
      <c r="CJK10" s="13"/>
      <c r="CJL10" s="9"/>
      <c r="CJM10" s="9"/>
      <c r="CJN10" s="9"/>
      <c r="CJO10" s="9"/>
      <c r="CJP10" s="10"/>
      <c r="CJQ10" s="11"/>
      <c r="CJR10" s="12"/>
      <c r="CJS10" s="12"/>
      <c r="CJT10" s="12"/>
      <c r="CJU10" s="13"/>
      <c r="CJV10" s="9"/>
      <c r="CJW10" s="9"/>
      <c r="CJX10" s="9"/>
      <c r="CJY10" s="9"/>
      <c r="CJZ10" s="10"/>
      <c r="CKA10" s="11"/>
      <c r="CKB10" s="12"/>
      <c r="CKC10" s="12"/>
      <c r="CKD10" s="12"/>
      <c r="CKE10" s="13"/>
      <c r="CKF10" s="9"/>
      <c r="CKG10" s="9"/>
      <c r="CKH10" s="9"/>
      <c r="CKI10" s="9"/>
      <c r="CKJ10" s="10"/>
      <c r="CKK10" s="11"/>
      <c r="CKL10" s="12"/>
      <c r="CKM10" s="12"/>
      <c r="CKN10" s="12"/>
      <c r="CKO10" s="13"/>
      <c r="CKP10" s="9"/>
      <c r="CKQ10" s="9"/>
      <c r="CKR10" s="9"/>
      <c r="CKS10" s="9"/>
      <c r="CKT10" s="10"/>
      <c r="CKU10" s="11"/>
      <c r="CKV10" s="12"/>
      <c r="CKW10" s="12"/>
      <c r="CKX10" s="12"/>
      <c r="CKY10" s="13"/>
      <c r="CKZ10" s="9"/>
      <c r="CLA10" s="9"/>
      <c r="CLB10" s="9"/>
      <c r="CLC10" s="9"/>
      <c r="CLD10" s="10"/>
      <c r="CLE10" s="11"/>
      <c r="CLF10" s="12"/>
      <c r="CLG10" s="12"/>
      <c r="CLH10" s="12"/>
      <c r="CLI10" s="13"/>
      <c r="CLJ10" s="9"/>
      <c r="CLK10" s="9"/>
      <c r="CLL10" s="9"/>
      <c r="CLM10" s="9"/>
      <c r="CLN10" s="10"/>
      <c r="CLO10" s="11"/>
      <c r="CLP10" s="12"/>
      <c r="CLQ10" s="12"/>
      <c r="CLR10" s="12"/>
      <c r="CLS10" s="13"/>
      <c r="CLT10" s="9"/>
      <c r="CLU10" s="9"/>
      <c r="CLV10" s="9"/>
      <c r="CLW10" s="9"/>
      <c r="CLX10" s="10"/>
      <c r="CLY10" s="11"/>
      <c r="CLZ10" s="12"/>
      <c r="CMA10" s="12"/>
      <c r="CMB10" s="12"/>
      <c r="CMC10" s="13"/>
      <c r="CMD10" s="9"/>
      <c r="CME10" s="9"/>
      <c r="CMF10" s="9"/>
      <c r="CMG10" s="9"/>
      <c r="CMH10" s="10"/>
      <c r="CMI10" s="11"/>
      <c r="CMJ10" s="12"/>
      <c r="CMK10" s="12"/>
      <c r="CML10" s="12"/>
      <c r="CMM10" s="13"/>
      <c r="CMN10" s="9"/>
      <c r="CMO10" s="9"/>
      <c r="CMP10" s="9"/>
      <c r="CMQ10" s="9"/>
      <c r="CMR10" s="10"/>
      <c r="CMS10" s="11"/>
      <c r="CMT10" s="12"/>
      <c r="CMU10" s="12"/>
      <c r="CMV10" s="12"/>
      <c r="CMW10" s="13"/>
      <c r="CMX10" s="9"/>
      <c r="CMY10" s="9"/>
      <c r="CMZ10" s="9"/>
      <c r="CNA10" s="9"/>
      <c r="CNB10" s="10"/>
      <c r="CNC10" s="11"/>
      <c r="CND10" s="12"/>
      <c r="CNE10" s="12"/>
      <c r="CNF10" s="12"/>
      <c r="CNG10" s="13"/>
      <c r="CNH10" s="9"/>
      <c r="CNI10" s="9"/>
      <c r="CNJ10" s="9"/>
      <c r="CNK10" s="9"/>
      <c r="CNL10" s="10"/>
      <c r="CNM10" s="11"/>
      <c r="CNN10" s="12"/>
      <c r="CNO10" s="12"/>
      <c r="CNP10" s="12"/>
      <c r="CNQ10" s="13"/>
      <c r="CNR10" s="9"/>
      <c r="CNS10" s="9"/>
      <c r="CNT10" s="9"/>
      <c r="CNU10" s="9"/>
      <c r="CNV10" s="10"/>
      <c r="CNW10" s="11"/>
      <c r="CNX10" s="12"/>
      <c r="CNY10" s="12"/>
      <c r="CNZ10" s="12"/>
      <c r="COA10" s="13"/>
      <c r="COB10" s="9"/>
      <c r="COC10" s="9"/>
      <c r="COD10" s="9"/>
      <c r="COE10" s="9"/>
      <c r="COF10" s="10"/>
      <c r="COG10" s="11"/>
      <c r="COH10" s="12"/>
      <c r="COI10" s="12"/>
      <c r="COJ10" s="12"/>
      <c r="COK10" s="13"/>
      <c r="COL10" s="9"/>
      <c r="COM10" s="9"/>
      <c r="CON10" s="9"/>
      <c r="COO10" s="9"/>
      <c r="COP10" s="10"/>
      <c r="COQ10" s="11"/>
      <c r="COR10" s="12"/>
      <c r="COS10" s="12"/>
      <c r="COT10" s="12"/>
      <c r="COU10" s="13"/>
      <c r="COV10" s="9"/>
      <c r="COW10" s="9"/>
      <c r="COX10" s="9"/>
      <c r="COY10" s="9"/>
      <c r="COZ10" s="10"/>
      <c r="CPA10" s="11"/>
      <c r="CPB10" s="12"/>
      <c r="CPC10" s="12"/>
      <c r="CPD10" s="12"/>
      <c r="CPE10" s="13"/>
      <c r="CPF10" s="9"/>
      <c r="CPG10" s="9"/>
      <c r="CPH10" s="9"/>
      <c r="CPI10" s="9"/>
      <c r="CPJ10" s="10"/>
      <c r="CPK10" s="11"/>
      <c r="CPL10" s="12"/>
      <c r="CPM10" s="12"/>
      <c r="CPN10" s="12"/>
      <c r="CPO10" s="13"/>
      <c r="CPP10" s="9"/>
      <c r="CPQ10" s="9"/>
      <c r="CPR10" s="9"/>
      <c r="CPS10" s="9"/>
      <c r="CPT10" s="10"/>
      <c r="CPU10" s="11"/>
      <c r="CPV10" s="12"/>
      <c r="CPW10" s="12"/>
      <c r="CPX10" s="12"/>
      <c r="CPY10" s="13"/>
      <c r="CPZ10" s="9"/>
      <c r="CQA10" s="9"/>
      <c r="CQB10" s="9"/>
      <c r="CQC10" s="9"/>
      <c r="CQD10" s="10"/>
      <c r="CQE10" s="11"/>
      <c r="CQF10" s="12"/>
      <c r="CQG10" s="12"/>
      <c r="CQH10" s="12"/>
      <c r="CQI10" s="13"/>
      <c r="CQJ10" s="9"/>
      <c r="CQK10" s="9"/>
      <c r="CQL10" s="9"/>
      <c r="CQM10" s="9"/>
      <c r="CQN10" s="10"/>
      <c r="CQO10" s="11"/>
      <c r="CQP10" s="12"/>
      <c r="CQQ10" s="12"/>
      <c r="CQR10" s="12"/>
      <c r="CQS10" s="13"/>
      <c r="CQT10" s="9"/>
      <c r="CQU10" s="9"/>
      <c r="CQV10" s="9"/>
      <c r="CQW10" s="9"/>
      <c r="CQX10" s="10"/>
      <c r="CQY10" s="11"/>
      <c r="CQZ10" s="12"/>
      <c r="CRA10" s="12"/>
      <c r="CRB10" s="12"/>
      <c r="CRC10" s="13"/>
      <c r="CRD10" s="9"/>
      <c r="CRE10" s="9"/>
      <c r="CRF10" s="9"/>
      <c r="CRG10" s="9"/>
      <c r="CRH10" s="10"/>
      <c r="CRI10" s="11"/>
      <c r="CRJ10" s="12"/>
      <c r="CRK10" s="12"/>
      <c r="CRL10" s="12"/>
      <c r="CRM10" s="13"/>
      <c r="CRN10" s="9"/>
      <c r="CRO10" s="9"/>
      <c r="CRP10" s="9"/>
      <c r="CRQ10" s="9"/>
      <c r="CRR10" s="10"/>
      <c r="CRS10" s="11"/>
      <c r="CRT10" s="12"/>
      <c r="CRU10" s="12"/>
      <c r="CRV10" s="12"/>
      <c r="CRW10" s="13"/>
      <c r="CRX10" s="9"/>
      <c r="CRY10" s="9"/>
      <c r="CRZ10" s="9"/>
      <c r="CSA10" s="9"/>
      <c r="CSB10" s="10"/>
      <c r="CSC10" s="11"/>
      <c r="CSD10" s="12"/>
      <c r="CSE10" s="12"/>
      <c r="CSF10" s="12"/>
      <c r="CSG10" s="13"/>
      <c r="CSH10" s="9"/>
      <c r="CSI10" s="9"/>
      <c r="CSJ10" s="9"/>
      <c r="CSK10" s="9"/>
      <c r="CSL10" s="10"/>
      <c r="CSM10" s="11"/>
      <c r="CSN10" s="12"/>
      <c r="CSO10" s="12"/>
      <c r="CSP10" s="12"/>
      <c r="CSQ10" s="13"/>
      <c r="CSR10" s="9"/>
      <c r="CSS10" s="9"/>
      <c r="CST10" s="9"/>
      <c r="CSU10" s="9"/>
      <c r="CSV10" s="10"/>
      <c r="CSW10" s="11"/>
      <c r="CSX10" s="12"/>
      <c r="CSY10" s="12"/>
      <c r="CSZ10" s="12"/>
      <c r="CTA10" s="13"/>
      <c r="CTB10" s="9"/>
      <c r="CTC10" s="9"/>
      <c r="CTD10" s="9"/>
      <c r="CTE10" s="9"/>
      <c r="CTF10" s="10"/>
      <c r="CTG10" s="11"/>
      <c r="CTH10" s="12"/>
      <c r="CTI10" s="12"/>
      <c r="CTJ10" s="12"/>
      <c r="CTK10" s="13"/>
      <c r="CTL10" s="9"/>
      <c r="CTM10" s="9"/>
      <c r="CTN10" s="9"/>
      <c r="CTO10" s="9"/>
      <c r="CTP10" s="10"/>
      <c r="CTQ10" s="11"/>
      <c r="CTR10" s="12"/>
      <c r="CTS10" s="12"/>
      <c r="CTT10" s="12"/>
      <c r="CTU10" s="13"/>
      <c r="CTV10" s="9"/>
      <c r="CTW10" s="9"/>
      <c r="CTX10" s="9"/>
      <c r="CTY10" s="9"/>
      <c r="CTZ10" s="10"/>
      <c r="CUA10" s="11"/>
      <c r="CUB10" s="12"/>
      <c r="CUC10" s="12"/>
      <c r="CUD10" s="12"/>
      <c r="CUE10" s="13"/>
      <c r="CUF10" s="9"/>
      <c r="CUG10" s="9"/>
      <c r="CUH10" s="9"/>
      <c r="CUI10" s="9"/>
      <c r="CUJ10" s="10"/>
      <c r="CUK10" s="11"/>
      <c r="CUL10" s="12"/>
      <c r="CUM10" s="12"/>
      <c r="CUN10" s="12"/>
      <c r="CUO10" s="13"/>
      <c r="CUP10" s="9"/>
      <c r="CUQ10" s="9"/>
      <c r="CUR10" s="9"/>
      <c r="CUS10" s="9"/>
      <c r="CUT10" s="10"/>
      <c r="CUU10" s="11"/>
      <c r="CUV10" s="12"/>
      <c r="CUW10" s="12"/>
      <c r="CUX10" s="12"/>
      <c r="CUY10" s="13"/>
      <c r="CUZ10" s="9"/>
      <c r="CVA10" s="9"/>
      <c r="CVB10" s="9"/>
      <c r="CVC10" s="9"/>
      <c r="CVD10" s="10"/>
      <c r="CVE10" s="11"/>
      <c r="CVF10" s="12"/>
      <c r="CVG10" s="12"/>
      <c r="CVH10" s="12"/>
      <c r="CVI10" s="13"/>
      <c r="CVJ10" s="9"/>
      <c r="CVK10" s="9"/>
      <c r="CVL10" s="9"/>
      <c r="CVM10" s="9"/>
      <c r="CVN10" s="10"/>
      <c r="CVO10" s="11"/>
      <c r="CVP10" s="12"/>
      <c r="CVQ10" s="12"/>
      <c r="CVR10" s="12"/>
      <c r="CVS10" s="13"/>
      <c r="CVT10" s="9"/>
      <c r="CVU10" s="9"/>
      <c r="CVV10" s="9"/>
      <c r="CVW10" s="9"/>
      <c r="CVX10" s="10"/>
      <c r="CVY10" s="11"/>
      <c r="CVZ10" s="12"/>
      <c r="CWA10" s="12"/>
      <c r="CWB10" s="12"/>
      <c r="CWC10" s="13"/>
      <c r="CWD10" s="9"/>
      <c r="CWE10" s="9"/>
      <c r="CWF10" s="9"/>
      <c r="CWG10" s="9"/>
      <c r="CWH10" s="10"/>
      <c r="CWI10" s="11"/>
      <c r="CWJ10" s="12"/>
      <c r="CWK10" s="12"/>
      <c r="CWL10" s="12"/>
      <c r="CWM10" s="13"/>
      <c r="CWN10" s="9"/>
      <c r="CWO10" s="9"/>
      <c r="CWP10" s="9"/>
      <c r="CWQ10" s="9"/>
      <c r="CWR10" s="10"/>
      <c r="CWS10" s="11"/>
      <c r="CWT10" s="12"/>
      <c r="CWU10" s="12"/>
      <c r="CWV10" s="12"/>
      <c r="CWW10" s="13"/>
      <c r="CWX10" s="9"/>
      <c r="CWY10" s="9"/>
      <c r="CWZ10" s="9"/>
      <c r="CXA10" s="9"/>
      <c r="CXB10" s="10"/>
      <c r="CXC10" s="11"/>
      <c r="CXD10" s="12"/>
      <c r="CXE10" s="12"/>
      <c r="CXF10" s="12"/>
      <c r="CXG10" s="13"/>
      <c r="CXH10" s="9"/>
      <c r="CXI10" s="9"/>
      <c r="CXJ10" s="9"/>
      <c r="CXK10" s="9"/>
      <c r="CXL10" s="10"/>
      <c r="CXM10" s="11"/>
      <c r="CXN10" s="12"/>
      <c r="CXO10" s="12"/>
      <c r="CXP10" s="12"/>
      <c r="CXQ10" s="13"/>
      <c r="CXR10" s="9"/>
      <c r="CXS10" s="9"/>
      <c r="CXT10" s="9"/>
      <c r="CXU10" s="9"/>
      <c r="CXV10" s="10"/>
      <c r="CXW10" s="11"/>
      <c r="CXX10" s="12"/>
      <c r="CXY10" s="12"/>
      <c r="CXZ10" s="12"/>
      <c r="CYA10" s="13"/>
      <c r="CYB10" s="9"/>
      <c r="CYC10" s="9"/>
      <c r="CYD10" s="9"/>
      <c r="CYE10" s="9"/>
      <c r="CYF10" s="10"/>
      <c r="CYG10" s="11"/>
      <c r="CYH10" s="12"/>
      <c r="CYI10" s="12"/>
      <c r="CYJ10" s="12"/>
      <c r="CYK10" s="13"/>
      <c r="CYL10" s="9"/>
      <c r="CYM10" s="9"/>
      <c r="CYN10" s="9"/>
      <c r="CYO10" s="9"/>
      <c r="CYP10" s="10"/>
      <c r="CYQ10" s="11"/>
      <c r="CYR10" s="12"/>
      <c r="CYS10" s="12"/>
      <c r="CYT10" s="12"/>
      <c r="CYU10" s="13"/>
      <c r="CYV10" s="9"/>
      <c r="CYW10" s="9"/>
      <c r="CYX10" s="9"/>
      <c r="CYY10" s="9"/>
      <c r="CYZ10" s="10"/>
      <c r="CZA10" s="11"/>
      <c r="CZB10" s="12"/>
      <c r="CZC10" s="12"/>
      <c r="CZD10" s="12"/>
      <c r="CZE10" s="13"/>
      <c r="CZF10" s="9"/>
      <c r="CZG10" s="9"/>
      <c r="CZH10" s="9"/>
      <c r="CZI10" s="9"/>
      <c r="CZJ10" s="10"/>
      <c r="CZK10" s="11"/>
      <c r="CZL10" s="12"/>
      <c r="CZM10" s="12"/>
      <c r="CZN10" s="12"/>
      <c r="CZO10" s="13"/>
      <c r="CZP10" s="9"/>
      <c r="CZQ10" s="9"/>
      <c r="CZR10" s="9"/>
      <c r="CZS10" s="9"/>
      <c r="CZT10" s="10"/>
      <c r="CZU10" s="11"/>
      <c r="CZV10" s="12"/>
      <c r="CZW10" s="12"/>
      <c r="CZX10" s="12"/>
      <c r="CZY10" s="13"/>
      <c r="CZZ10" s="9"/>
      <c r="DAA10" s="9"/>
      <c r="DAB10" s="9"/>
      <c r="DAC10" s="9"/>
      <c r="DAD10" s="10"/>
      <c r="DAE10" s="11"/>
      <c r="DAF10" s="12"/>
      <c r="DAG10" s="12"/>
      <c r="DAH10" s="12"/>
      <c r="DAI10" s="13"/>
      <c r="DAJ10" s="9"/>
      <c r="DAK10" s="9"/>
      <c r="DAL10" s="9"/>
      <c r="DAM10" s="9"/>
      <c r="DAN10" s="10"/>
      <c r="DAO10" s="11"/>
      <c r="DAP10" s="12"/>
      <c r="DAQ10" s="12"/>
      <c r="DAR10" s="12"/>
      <c r="DAS10" s="13"/>
      <c r="DAT10" s="9"/>
      <c r="DAU10" s="9"/>
      <c r="DAV10" s="9"/>
      <c r="DAW10" s="9"/>
      <c r="DAX10" s="10"/>
      <c r="DAY10" s="11"/>
      <c r="DAZ10" s="12"/>
      <c r="DBA10" s="12"/>
      <c r="DBB10" s="12"/>
      <c r="DBC10" s="13"/>
      <c r="DBD10" s="9"/>
      <c r="DBE10" s="9"/>
      <c r="DBF10" s="9"/>
      <c r="DBG10" s="9"/>
      <c r="DBH10" s="10"/>
      <c r="DBI10" s="11"/>
      <c r="DBJ10" s="12"/>
      <c r="DBK10" s="12"/>
      <c r="DBL10" s="12"/>
      <c r="DBM10" s="13"/>
      <c r="DBN10" s="9"/>
      <c r="DBO10" s="9"/>
      <c r="DBP10" s="9"/>
      <c r="DBQ10" s="9"/>
      <c r="DBR10" s="10"/>
      <c r="DBS10" s="11"/>
      <c r="DBT10" s="12"/>
      <c r="DBU10" s="12"/>
      <c r="DBV10" s="12"/>
      <c r="DBW10" s="13"/>
      <c r="DBX10" s="9"/>
      <c r="DBY10" s="9"/>
      <c r="DBZ10" s="9"/>
      <c r="DCA10" s="9"/>
      <c r="DCB10" s="10"/>
      <c r="DCC10" s="11"/>
      <c r="DCD10" s="12"/>
      <c r="DCE10" s="12"/>
      <c r="DCF10" s="12"/>
      <c r="DCG10" s="13"/>
      <c r="DCH10" s="9"/>
      <c r="DCI10" s="9"/>
      <c r="DCJ10" s="9"/>
      <c r="DCK10" s="9"/>
      <c r="DCL10" s="10"/>
      <c r="DCM10" s="11"/>
      <c r="DCN10" s="12"/>
      <c r="DCO10" s="12"/>
      <c r="DCP10" s="12"/>
      <c r="DCQ10" s="13"/>
      <c r="DCR10" s="9"/>
      <c r="DCS10" s="9"/>
      <c r="DCT10" s="9"/>
      <c r="DCU10" s="9"/>
      <c r="DCV10" s="10"/>
      <c r="DCW10" s="11"/>
      <c r="DCX10" s="12"/>
      <c r="DCY10" s="12"/>
      <c r="DCZ10" s="12"/>
      <c r="DDA10" s="13"/>
      <c r="DDB10" s="9"/>
      <c r="DDC10" s="9"/>
      <c r="DDD10" s="9"/>
      <c r="DDE10" s="9"/>
      <c r="DDF10" s="10"/>
      <c r="DDG10" s="11"/>
      <c r="DDH10" s="12"/>
      <c r="DDI10" s="12"/>
      <c r="DDJ10" s="12"/>
      <c r="DDK10" s="13"/>
      <c r="DDL10" s="9"/>
      <c r="DDM10" s="9"/>
      <c r="DDN10" s="9"/>
      <c r="DDO10" s="9"/>
      <c r="DDP10" s="10"/>
      <c r="DDQ10" s="11"/>
      <c r="DDR10" s="12"/>
      <c r="DDS10" s="12"/>
      <c r="DDT10" s="12"/>
      <c r="DDU10" s="13"/>
      <c r="DDV10" s="9"/>
      <c r="DDW10" s="9"/>
      <c r="DDX10" s="9"/>
      <c r="DDY10" s="9"/>
      <c r="DDZ10" s="10"/>
      <c r="DEA10" s="11"/>
      <c r="DEB10" s="12"/>
      <c r="DEC10" s="12"/>
      <c r="DED10" s="12"/>
      <c r="DEE10" s="13"/>
      <c r="DEF10" s="9"/>
      <c r="DEG10" s="9"/>
      <c r="DEH10" s="9"/>
      <c r="DEI10" s="9"/>
      <c r="DEJ10" s="10"/>
      <c r="DEK10" s="11"/>
      <c r="DEL10" s="12"/>
      <c r="DEM10" s="12"/>
      <c r="DEN10" s="12"/>
      <c r="DEO10" s="13"/>
      <c r="DEP10" s="9"/>
      <c r="DEQ10" s="9"/>
      <c r="DER10" s="9"/>
      <c r="DES10" s="9"/>
      <c r="DET10" s="10"/>
      <c r="DEU10" s="11"/>
      <c r="DEV10" s="12"/>
      <c r="DEW10" s="12"/>
      <c r="DEX10" s="12"/>
      <c r="DEY10" s="13"/>
      <c r="DEZ10" s="9"/>
      <c r="DFA10" s="9"/>
      <c r="DFB10" s="9"/>
      <c r="DFC10" s="9"/>
      <c r="DFD10" s="10"/>
      <c r="DFE10" s="11"/>
      <c r="DFF10" s="12"/>
      <c r="DFG10" s="12"/>
      <c r="DFH10" s="12"/>
      <c r="DFI10" s="13"/>
      <c r="DFJ10" s="9"/>
      <c r="DFK10" s="9"/>
      <c r="DFL10" s="9"/>
      <c r="DFM10" s="9"/>
      <c r="DFN10" s="10"/>
      <c r="DFO10" s="11"/>
      <c r="DFP10" s="12"/>
      <c r="DFQ10" s="12"/>
      <c r="DFR10" s="12"/>
      <c r="DFS10" s="13"/>
      <c r="DFT10" s="9"/>
      <c r="DFU10" s="9"/>
      <c r="DFV10" s="9"/>
      <c r="DFW10" s="9"/>
      <c r="DFX10" s="10"/>
      <c r="DFY10" s="11"/>
      <c r="DFZ10" s="12"/>
      <c r="DGA10" s="12"/>
      <c r="DGB10" s="12"/>
      <c r="DGC10" s="13"/>
      <c r="DGD10" s="9"/>
      <c r="DGE10" s="9"/>
      <c r="DGF10" s="9"/>
      <c r="DGG10" s="9"/>
      <c r="DGH10" s="10"/>
      <c r="DGI10" s="11"/>
      <c r="DGJ10" s="12"/>
      <c r="DGK10" s="12"/>
      <c r="DGL10" s="12"/>
      <c r="DGM10" s="13"/>
      <c r="DGN10" s="9"/>
      <c r="DGO10" s="9"/>
      <c r="DGP10" s="9"/>
      <c r="DGQ10" s="9"/>
      <c r="DGR10" s="10"/>
      <c r="DGS10" s="11"/>
      <c r="DGT10" s="12"/>
      <c r="DGU10" s="12"/>
      <c r="DGV10" s="12"/>
      <c r="DGW10" s="13"/>
      <c r="DGX10" s="9"/>
      <c r="DGY10" s="9"/>
      <c r="DGZ10" s="9"/>
      <c r="DHA10" s="9"/>
      <c r="DHB10" s="10"/>
      <c r="DHC10" s="11"/>
      <c r="DHD10" s="12"/>
      <c r="DHE10" s="12"/>
      <c r="DHF10" s="12"/>
      <c r="DHG10" s="13"/>
      <c r="DHH10" s="9"/>
      <c r="DHI10" s="9"/>
      <c r="DHJ10" s="9"/>
      <c r="DHK10" s="9"/>
      <c r="DHL10" s="10"/>
      <c r="DHM10" s="11"/>
      <c r="DHN10" s="12"/>
      <c r="DHO10" s="12"/>
      <c r="DHP10" s="12"/>
      <c r="DHQ10" s="13"/>
      <c r="DHR10" s="9"/>
      <c r="DHS10" s="9"/>
      <c r="DHT10" s="9"/>
      <c r="DHU10" s="9"/>
      <c r="DHV10" s="10"/>
      <c r="DHW10" s="11"/>
      <c r="DHX10" s="12"/>
      <c r="DHY10" s="12"/>
      <c r="DHZ10" s="12"/>
      <c r="DIA10" s="13"/>
      <c r="DIB10" s="9"/>
      <c r="DIC10" s="9"/>
      <c r="DID10" s="9"/>
      <c r="DIE10" s="9"/>
      <c r="DIF10" s="10"/>
      <c r="DIG10" s="11"/>
      <c r="DIH10" s="12"/>
      <c r="DII10" s="12"/>
      <c r="DIJ10" s="12"/>
      <c r="DIK10" s="13"/>
      <c r="DIL10" s="9"/>
      <c r="DIM10" s="9"/>
      <c r="DIN10" s="9"/>
      <c r="DIO10" s="9"/>
      <c r="DIP10" s="10"/>
      <c r="DIQ10" s="11"/>
      <c r="DIR10" s="12"/>
      <c r="DIS10" s="12"/>
      <c r="DIT10" s="12"/>
      <c r="DIU10" s="13"/>
      <c r="DIV10" s="9"/>
      <c r="DIW10" s="9"/>
      <c r="DIX10" s="9"/>
      <c r="DIY10" s="9"/>
      <c r="DIZ10" s="10"/>
      <c r="DJA10" s="11"/>
      <c r="DJB10" s="12"/>
      <c r="DJC10" s="12"/>
      <c r="DJD10" s="12"/>
      <c r="DJE10" s="13"/>
      <c r="DJF10" s="9"/>
      <c r="DJG10" s="9"/>
      <c r="DJH10" s="9"/>
      <c r="DJI10" s="9"/>
      <c r="DJJ10" s="10"/>
      <c r="DJK10" s="11"/>
      <c r="DJL10" s="12"/>
      <c r="DJM10" s="12"/>
      <c r="DJN10" s="12"/>
      <c r="DJO10" s="13"/>
      <c r="DJP10" s="9"/>
      <c r="DJQ10" s="9"/>
      <c r="DJR10" s="9"/>
      <c r="DJS10" s="9"/>
      <c r="DJT10" s="10"/>
      <c r="DJU10" s="11"/>
      <c r="DJV10" s="12"/>
      <c r="DJW10" s="12"/>
      <c r="DJX10" s="12"/>
      <c r="DJY10" s="13"/>
      <c r="DJZ10" s="9"/>
      <c r="DKA10" s="9"/>
      <c r="DKB10" s="9"/>
      <c r="DKC10" s="9"/>
      <c r="DKD10" s="10"/>
      <c r="DKE10" s="11"/>
      <c r="DKF10" s="12"/>
      <c r="DKG10" s="12"/>
      <c r="DKH10" s="12"/>
      <c r="DKI10" s="13"/>
      <c r="DKJ10" s="9"/>
      <c r="DKK10" s="9"/>
      <c r="DKL10" s="9"/>
      <c r="DKM10" s="9"/>
      <c r="DKN10" s="10"/>
      <c r="DKO10" s="11"/>
      <c r="DKP10" s="12"/>
      <c r="DKQ10" s="12"/>
      <c r="DKR10" s="12"/>
      <c r="DKS10" s="13"/>
      <c r="DKT10" s="9"/>
      <c r="DKU10" s="9"/>
      <c r="DKV10" s="9"/>
      <c r="DKW10" s="9"/>
      <c r="DKX10" s="10"/>
      <c r="DKY10" s="11"/>
      <c r="DKZ10" s="12"/>
      <c r="DLA10" s="12"/>
      <c r="DLB10" s="12"/>
      <c r="DLC10" s="13"/>
      <c r="DLD10" s="9"/>
      <c r="DLE10" s="9"/>
      <c r="DLF10" s="9"/>
      <c r="DLG10" s="9"/>
      <c r="DLH10" s="10"/>
      <c r="DLI10" s="11"/>
      <c r="DLJ10" s="12"/>
      <c r="DLK10" s="12"/>
      <c r="DLL10" s="12"/>
      <c r="DLM10" s="13"/>
      <c r="DLN10" s="9"/>
      <c r="DLO10" s="9"/>
      <c r="DLP10" s="9"/>
      <c r="DLQ10" s="9"/>
      <c r="DLR10" s="10"/>
      <c r="DLS10" s="11"/>
      <c r="DLT10" s="12"/>
      <c r="DLU10" s="12"/>
      <c r="DLV10" s="12"/>
      <c r="DLW10" s="13"/>
      <c r="DLX10" s="9"/>
      <c r="DLY10" s="9"/>
      <c r="DLZ10" s="9"/>
      <c r="DMA10" s="9"/>
      <c r="DMB10" s="10"/>
      <c r="DMC10" s="11"/>
      <c r="DMD10" s="12"/>
      <c r="DME10" s="12"/>
      <c r="DMF10" s="12"/>
      <c r="DMG10" s="13"/>
      <c r="DMH10" s="9"/>
      <c r="DMI10" s="9"/>
      <c r="DMJ10" s="9"/>
      <c r="DMK10" s="9"/>
      <c r="DML10" s="10"/>
      <c r="DMM10" s="11"/>
      <c r="DMN10" s="12"/>
      <c r="DMO10" s="12"/>
      <c r="DMP10" s="12"/>
      <c r="DMQ10" s="13"/>
      <c r="DMR10" s="9"/>
      <c r="DMS10" s="9"/>
      <c r="DMT10" s="9"/>
      <c r="DMU10" s="9"/>
      <c r="DMV10" s="10"/>
      <c r="DMW10" s="11"/>
      <c r="DMX10" s="12"/>
      <c r="DMY10" s="12"/>
      <c r="DMZ10" s="12"/>
      <c r="DNA10" s="13"/>
      <c r="DNB10" s="9"/>
      <c r="DNC10" s="9"/>
      <c r="DND10" s="9"/>
      <c r="DNE10" s="9"/>
      <c r="DNF10" s="10"/>
      <c r="DNG10" s="11"/>
      <c r="DNH10" s="12"/>
      <c r="DNI10" s="12"/>
      <c r="DNJ10" s="12"/>
      <c r="DNK10" s="13"/>
      <c r="DNL10" s="9"/>
      <c r="DNM10" s="9"/>
      <c r="DNN10" s="9"/>
      <c r="DNO10" s="9"/>
      <c r="DNP10" s="10"/>
      <c r="DNQ10" s="11"/>
      <c r="DNR10" s="12"/>
      <c r="DNS10" s="12"/>
      <c r="DNT10" s="12"/>
      <c r="DNU10" s="13"/>
      <c r="DNV10" s="9"/>
      <c r="DNW10" s="9"/>
      <c r="DNX10" s="9"/>
      <c r="DNY10" s="9"/>
      <c r="DNZ10" s="10"/>
      <c r="DOA10" s="11"/>
      <c r="DOB10" s="12"/>
      <c r="DOC10" s="12"/>
      <c r="DOD10" s="12"/>
      <c r="DOE10" s="13"/>
      <c r="DOF10" s="9"/>
      <c r="DOG10" s="9"/>
      <c r="DOH10" s="9"/>
      <c r="DOI10" s="9"/>
      <c r="DOJ10" s="10"/>
      <c r="DOK10" s="11"/>
      <c r="DOL10" s="12"/>
      <c r="DOM10" s="12"/>
      <c r="DON10" s="12"/>
      <c r="DOO10" s="13"/>
      <c r="DOP10" s="9"/>
      <c r="DOQ10" s="9"/>
      <c r="DOR10" s="9"/>
      <c r="DOS10" s="9"/>
      <c r="DOT10" s="10"/>
      <c r="DOU10" s="11"/>
      <c r="DOV10" s="12"/>
      <c r="DOW10" s="12"/>
      <c r="DOX10" s="12"/>
      <c r="DOY10" s="13"/>
      <c r="DOZ10" s="9"/>
      <c r="DPA10" s="9"/>
      <c r="DPB10" s="9"/>
      <c r="DPC10" s="9"/>
      <c r="DPD10" s="10"/>
      <c r="DPE10" s="11"/>
      <c r="DPF10" s="12"/>
      <c r="DPG10" s="12"/>
      <c r="DPH10" s="12"/>
      <c r="DPI10" s="13"/>
      <c r="DPJ10" s="9"/>
      <c r="DPK10" s="9"/>
      <c r="DPL10" s="9"/>
      <c r="DPM10" s="9"/>
      <c r="DPN10" s="10"/>
      <c r="DPO10" s="11"/>
      <c r="DPP10" s="12"/>
      <c r="DPQ10" s="12"/>
      <c r="DPR10" s="12"/>
      <c r="DPS10" s="13"/>
      <c r="DPT10" s="9"/>
      <c r="DPU10" s="9"/>
      <c r="DPV10" s="9"/>
      <c r="DPW10" s="9"/>
      <c r="DPX10" s="10"/>
      <c r="DPY10" s="11"/>
      <c r="DPZ10" s="12"/>
      <c r="DQA10" s="12"/>
      <c r="DQB10" s="12"/>
      <c r="DQC10" s="13"/>
      <c r="DQD10" s="9"/>
      <c r="DQE10" s="9"/>
      <c r="DQF10" s="9"/>
      <c r="DQG10" s="9"/>
      <c r="DQH10" s="10"/>
      <c r="DQI10" s="11"/>
      <c r="DQJ10" s="12"/>
      <c r="DQK10" s="12"/>
      <c r="DQL10" s="12"/>
      <c r="DQM10" s="13"/>
      <c r="DQN10" s="9"/>
      <c r="DQO10" s="9"/>
      <c r="DQP10" s="9"/>
      <c r="DQQ10" s="9"/>
      <c r="DQR10" s="10"/>
      <c r="DQS10" s="11"/>
      <c r="DQT10" s="12"/>
      <c r="DQU10" s="12"/>
      <c r="DQV10" s="12"/>
      <c r="DQW10" s="13"/>
      <c r="DQX10" s="9"/>
      <c r="DQY10" s="9"/>
      <c r="DQZ10" s="9"/>
      <c r="DRA10" s="9"/>
      <c r="DRB10" s="10"/>
      <c r="DRC10" s="11"/>
      <c r="DRD10" s="12"/>
      <c r="DRE10" s="12"/>
      <c r="DRF10" s="12"/>
      <c r="DRG10" s="13"/>
      <c r="DRH10" s="9"/>
      <c r="DRI10" s="9"/>
      <c r="DRJ10" s="9"/>
      <c r="DRK10" s="9"/>
      <c r="DRL10" s="10"/>
      <c r="DRM10" s="11"/>
      <c r="DRN10" s="12"/>
      <c r="DRO10" s="12"/>
      <c r="DRP10" s="12"/>
      <c r="DRQ10" s="13"/>
      <c r="DRR10" s="9"/>
      <c r="DRS10" s="9"/>
      <c r="DRT10" s="9"/>
      <c r="DRU10" s="9"/>
      <c r="DRV10" s="10"/>
      <c r="DRW10" s="11"/>
      <c r="DRX10" s="12"/>
      <c r="DRY10" s="12"/>
      <c r="DRZ10" s="12"/>
      <c r="DSA10" s="13"/>
      <c r="DSB10" s="9"/>
      <c r="DSC10" s="9"/>
      <c r="DSD10" s="9"/>
      <c r="DSE10" s="9"/>
      <c r="DSF10" s="10"/>
      <c r="DSG10" s="11"/>
      <c r="DSH10" s="12"/>
      <c r="DSI10" s="12"/>
      <c r="DSJ10" s="12"/>
      <c r="DSK10" s="13"/>
      <c r="DSL10" s="9"/>
      <c r="DSM10" s="9"/>
      <c r="DSN10" s="9"/>
      <c r="DSO10" s="9"/>
      <c r="DSP10" s="10"/>
      <c r="DSQ10" s="11"/>
      <c r="DSR10" s="12"/>
      <c r="DSS10" s="12"/>
      <c r="DST10" s="12"/>
      <c r="DSU10" s="13"/>
      <c r="DSV10" s="9"/>
      <c r="DSW10" s="9"/>
      <c r="DSX10" s="9"/>
      <c r="DSY10" s="9"/>
      <c r="DSZ10" s="10"/>
      <c r="DTA10" s="11"/>
      <c r="DTB10" s="12"/>
      <c r="DTC10" s="12"/>
      <c r="DTD10" s="12"/>
      <c r="DTE10" s="13"/>
      <c r="DTF10" s="9"/>
      <c r="DTG10" s="9"/>
      <c r="DTH10" s="9"/>
      <c r="DTI10" s="9"/>
      <c r="DTJ10" s="10"/>
      <c r="DTK10" s="11"/>
      <c r="DTL10" s="12"/>
      <c r="DTM10" s="12"/>
      <c r="DTN10" s="12"/>
      <c r="DTO10" s="13"/>
      <c r="DTP10" s="9"/>
      <c r="DTQ10" s="9"/>
      <c r="DTR10" s="9"/>
      <c r="DTS10" s="9"/>
      <c r="DTT10" s="10"/>
      <c r="DTU10" s="11"/>
      <c r="DTV10" s="12"/>
      <c r="DTW10" s="12"/>
      <c r="DTX10" s="12"/>
      <c r="DTY10" s="13"/>
      <c r="DTZ10" s="9"/>
      <c r="DUA10" s="9"/>
      <c r="DUB10" s="9"/>
      <c r="DUC10" s="9"/>
      <c r="DUD10" s="10"/>
      <c r="DUE10" s="11"/>
      <c r="DUF10" s="12"/>
      <c r="DUG10" s="12"/>
      <c r="DUH10" s="12"/>
      <c r="DUI10" s="13"/>
      <c r="DUJ10" s="9"/>
      <c r="DUK10" s="9"/>
      <c r="DUL10" s="9"/>
      <c r="DUM10" s="9"/>
      <c r="DUN10" s="10"/>
      <c r="DUO10" s="11"/>
      <c r="DUP10" s="12"/>
      <c r="DUQ10" s="12"/>
      <c r="DUR10" s="12"/>
      <c r="DUS10" s="13"/>
      <c r="DUT10" s="9"/>
      <c r="DUU10" s="9"/>
      <c r="DUV10" s="9"/>
      <c r="DUW10" s="9"/>
      <c r="DUX10" s="10"/>
      <c r="DUY10" s="11"/>
      <c r="DUZ10" s="12"/>
      <c r="DVA10" s="12"/>
      <c r="DVB10" s="12"/>
      <c r="DVC10" s="13"/>
      <c r="DVD10" s="9"/>
      <c r="DVE10" s="9"/>
      <c r="DVF10" s="9"/>
      <c r="DVG10" s="9"/>
      <c r="DVH10" s="10"/>
      <c r="DVI10" s="11"/>
      <c r="DVJ10" s="12"/>
      <c r="DVK10" s="12"/>
      <c r="DVL10" s="12"/>
      <c r="DVM10" s="13"/>
      <c r="DVN10" s="9"/>
      <c r="DVO10" s="9"/>
      <c r="DVP10" s="9"/>
      <c r="DVQ10" s="9"/>
      <c r="DVR10" s="10"/>
      <c r="DVS10" s="11"/>
      <c r="DVT10" s="12"/>
      <c r="DVU10" s="12"/>
      <c r="DVV10" s="12"/>
      <c r="DVW10" s="13"/>
      <c r="DVX10" s="9"/>
      <c r="DVY10" s="9"/>
      <c r="DVZ10" s="9"/>
      <c r="DWA10" s="9"/>
      <c r="DWB10" s="10"/>
      <c r="DWC10" s="11"/>
      <c r="DWD10" s="12"/>
      <c r="DWE10" s="12"/>
      <c r="DWF10" s="12"/>
      <c r="DWG10" s="13"/>
      <c r="DWH10" s="9"/>
      <c r="DWI10" s="9"/>
      <c r="DWJ10" s="9"/>
      <c r="DWK10" s="9"/>
      <c r="DWL10" s="10"/>
      <c r="DWM10" s="11"/>
      <c r="DWN10" s="12"/>
      <c r="DWO10" s="12"/>
      <c r="DWP10" s="12"/>
      <c r="DWQ10" s="13"/>
      <c r="DWR10" s="9"/>
      <c r="DWS10" s="9"/>
      <c r="DWT10" s="9"/>
      <c r="DWU10" s="9"/>
      <c r="DWV10" s="10"/>
      <c r="DWW10" s="11"/>
      <c r="DWX10" s="12"/>
      <c r="DWY10" s="12"/>
      <c r="DWZ10" s="12"/>
      <c r="DXA10" s="13"/>
      <c r="DXB10" s="9"/>
      <c r="DXC10" s="9"/>
      <c r="DXD10" s="9"/>
      <c r="DXE10" s="9"/>
      <c r="DXF10" s="10"/>
      <c r="DXG10" s="11"/>
      <c r="DXH10" s="12"/>
      <c r="DXI10" s="12"/>
      <c r="DXJ10" s="12"/>
      <c r="DXK10" s="13"/>
      <c r="DXL10" s="9"/>
      <c r="DXM10" s="9"/>
      <c r="DXN10" s="9"/>
      <c r="DXO10" s="9"/>
      <c r="DXP10" s="10"/>
      <c r="DXQ10" s="11"/>
      <c r="DXR10" s="12"/>
      <c r="DXS10" s="12"/>
      <c r="DXT10" s="12"/>
      <c r="DXU10" s="13"/>
      <c r="DXV10" s="9"/>
      <c r="DXW10" s="9"/>
      <c r="DXX10" s="9"/>
      <c r="DXY10" s="9"/>
      <c r="DXZ10" s="10"/>
      <c r="DYA10" s="11"/>
      <c r="DYB10" s="12"/>
      <c r="DYC10" s="12"/>
      <c r="DYD10" s="12"/>
      <c r="DYE10" s="13"/>
      <c r="DYF10" s="9"/>
      <c r="DYG10" s="9"/>
      <c r="DYH10" s="9"/>
      <c r="DYI10" s="9"/>
      <c r="DYJ10" s="10"/>
      <c r="DYK10" s="11"/>
      <c r="DYL10" s="12"/>
      <c r="DYM10" s="12"/>
      <c r="DYN10" s="12"/>
      <c r="DYO10" s="13"/>
      <c r="DYP10" s="9"/>
      <c r="DYQ10" s="9"/>
      <c r="DYR10" s="9"/>
      <c r="DYS10" s="9"/>
      <c r="DYT10" s="10"/>
      <c r="DYU10" s="11"/>
      <c r="DYV10" s="12"/>
      <c r="DYW10" s="12"/>
      <c r="DYX10" s="12"/>
      <c r="DYY10" s="13"/>
      <c r="DYZ10" s="9"/>
      <c r="DZA10" s="9"/>
      <c r="DZB10" s="9"/>
      <c r="DZC10" s="9"/>
      <c r="DZD10" s="10"/>
      <c r="DZE10" s="11"/>
      <c r="DZF10" s="12"/>
      <c r="DZG10" s="12"/>
      <c r="DZH10" s="12"/>
      <c r="DZI10" s="13"/>
      <c r="DZJ10" s="9"/>
      <c r="DZK10" s="9"/>
      <c r="DZL10" s="9"/>
      <c r="DZM10" s="9"/>
      <c r="DZN10" s="10"/>
      <c r="DZO10" s="11"/>
      <c r="DZP10" s="12"/>
      <c r="DZQ10" s="12"/>
      <c r="DZR10" s="12"/>
      <c r="DZS10" s="13"/>
      <c r="DZT10" s="9"/>
      <c r="DZU10" s="9"/>
      <c r="DZV10" s="9"/>
      <c r="DZW10" s="9"/>
      <c r="DZX10" s="10"/>
      <c r="DZY10" s="11"/>
      <c r="DZZ10" s="12"/>
      <c r="EAA10" s="12"/>
      <c r="EAB10" s="12"/>
      <c r="EAC10" s="13"/>
      <c r="EAD10" s="9"/>
      <c r="EAE10" s="9"/>
      <c r="EAF10" s="9"/>
      <c r="EAG10" s="9"/>
      <c r="EAH10" s="10"/>
      <c r="EAI10" s="11"/>
      <c r="EAJ10" s="12"/>
      <c r="EAK10" s="12"/>
      <c r="EAL10" s="12"/>
      <c r="EAM10" s="13"/>
      <c r="EAN10" s="9"/>
      <c r="EAO10" s="9"/>
      <c r="EAP10" s="9"/>
      <c r="EAQ10" s="9"/>
      <c r="EAR10" s="10"/>
      <c r="EAS10" s="11"/>
      <c r="EAT10" s="12"/>
      <c r="EAU10" s="12"/>
      <c r="EAV10" s="12"/>
      <c r="EAW10" s="13"/>
      <c r="EAX10" s="9"/>
      <c r="EAY10" s="9"/>
      <c r="EAZ10" s="9"/>
      <c r="EBA10" s="9"/>
      <c r="EBB10" s="10"/>
      <c r="EBC10" s="11"/>
      <c r="EBD10" s="12"/>
      <c r="EBE10" s="12"/>
      <c r="EBF10" s="12"/>
      <c r="EBG10" s="13"/>
      <c r="EBH10" s="9"/>
      <c r="EBI10" s="9"/>
      <c r="EBJ10" s="9"/>
      <c r="EBK10" s="9"/>
      <c r="EBL10" s="10"/>
      <c r="EBM10" s="11"/>
      <c r="EBN10" s="12"/>
      <c r="EBO10" s="12"/>
      <c r="EBP10" s="12"/>
      <c r="EBQ10" s="13"/>
      <c r="EBR10" s="9"/>
      <c r="EBS10" s="9"/>
      <c r="EBT10" s="9"/>
      <c r="EBU10" s="9"/>
      <c r="EBV10" s="10"/>
      <c r="EBW10" s="11"/>
      <c r="EBX10" s="12"/>
      <c r="EBY10" s="12"/>
      <c r="EBZ10" s="12"/>
      <c r="ECA10" s="13"/>
      <c r="ECB10" s="9"/>
      <c r="ECC10" s="9"/>
      <c r="ECD10" s="9"/>
      <c r="ECE10" s="9"/>
      <c r="ECF10" s="10"/>
      <c r="ECG10" s="11"/>
      <c r="ECH10" s="12"/>
      <c r="ECI10" s="12"/>
      <c r="ECJ10" s="12"/>
      <c r="ECK10" s="13"/>
      <c r="ECL10" s="9"/>
      <c r="ECM10" s="9"/>
      <c r="ECN10" s="9"/>
      <c r="ECO10" s="9"/>
      <c r="ECP10" s="10"/>
      <c r="ECQ10" s="11"/>
      <c r="ECR10" s="12"/>
      <c r="ECS10" s="12"/>
      <c r="ECT10" s="12"/>
      <c r="ECU10" s="13"/>
      <c r="ECV10" s="9"/>
      <c r="ECW10" s="9"/>
      <c r="ECX10" s="9"/>
      <c r="ECY10" s="9"/>
      <c r="ECZ10" s="10"/>
      <c r="EDA10" s="11"/>
      <c r="EDB10" s="12"/>
      <c r="EDC10" s="12"/>
      <c r="EDD10" s="12"/>
      <c r="EDE10" s="13"/>
      <c r="EDF10" s="9"/>
      <c r="EDG10" s="9"/>
      <c r="EDH10" s="9"/>
      <c r="EDI10" s="9"/>
      <c r="EDJ10" s="10"/>
      <c r="EDK10" s="11"/>
      <c r="EDL10" s="12"/>
      <c r="EDM10" s="12"/>
      <c r="EDN10" s="12"/>
      <c r="EDO10" s="13"/>
      <c r="EDP10" s="9"/>
      <c r="EDQ10" s="9"/>
      <c r="EDR10" s="9"/>
      <c r="EDS10" s="9"/>
      <c r="EDT10" s="10"/>
      <c r="EDU10" s="11"/>
      <c r="EDV10" s="12"/>
      <c r="EDW10" s="12"/>
      <c r="EDX10" s="12"/>
      <c r="EDY10" s="13"/>
      <c r="EDZ10" s="9"/>
      <c r="EEA10" s="9"/>
      <c r="EEB10" s="9"/>
      <c r="EEC10" s="9"/>
      <c r="EED10" s="10"/>
      <c r="EEE10" s="11"/>
      <c r="EEF10" s="12"/>
      <c r="EEG10" s="12"/>
      <c r="EEH10" s="12"/>
      <c r="EEI10" s="13"/>
      <c r="EEJ10" s="9"/>
      <c r="EEK10" s="9"/>
      <c r="EEL10" s="9"/>
      <c r="EEM10" s="9"/>
      <c r="EEN10" s="10"/>
      <c r="EEO10" s="11"/>
      <c r="EEP10" s="12"/>
      <c r="EEQ10" s="12"/>
      <c r="EER10" s="12"/>
      <c r="EES10" s="13"/>
      <c r="EET10" s="9"/>
      <c r="EEU10" s="9"/>
      <c r="EEV10" s="9"/>
      <c r="EEW10" s="9"/>
      <c r="EEX10" s="10"/>
      <c r="EEY10" s="11"/>
      <c r="EEZ10" s="12"/>
      <c r="EFA10" s="12"/>
      <c r="EFB10" s="12"/>
      <c r="EFC10" s="13"/>
      <c r="EFD10" s="9"/>
      <c r="EFE10" s="9"/>
      <c r="EFF10" s="9"/>
      <c r="EFG10" s="9"/>
      <c r="EFH10" s="10"/>
      <c r="EFI10" s="11"/>
      <c r="EFJ10" s="12"/>
      <c r="EFK10" s="12"/>
      <c r="EFL10" s="12"/>
      <c r="EFM10" s="13"/>
      <c r="EFN10" s="9"/>
      <c r="EFO10" s="9"/>
      <c r="EFP10" s="9"/>
      <c r="EFQ10" s="9"/>
      <c r="EFR10" s="10"/>
      <c r="EFS10" s="11"/>
      <c r="EFT10" s="12"/>
      <c r="EFU10" s="12"/>
      <c r="EFV10" s="12"/>
      <c r="EFW10" s="13"/>
      <c r="EFX10" s="9"/>
      <c r="EFY10" s="9"/>
      <c r="EFZ10" s="9"/>
      <c r="EGA10" s="9"/>
      <c r="EGB10" s="10"/>
      <c r="EGC10" s="11"/>
      <c r="EGD10" s="12"/>
      <c r="EGE10" s="12"/>
      <c r="EGF10" s="12"/>
      <c r="EGG10" s="13"/>
      <c r="EGH10" s="9"/>
      <c r="EGI10" s="9"/>
      <c r="EGJ10" s="9"/>
      <c r="EGK10" s="9"/>
      <c r="EGL10" s="10"/>
      <c r="EGM10" s="11"/>
      <c r="EGN10" s="12"/>
      <c r="EGO10" s="12"/>
      <c r="EGP10" s="12"/>
      <c r="EGQ10" s="13"/>
      <c r="EGR10" s="9"/>
      <c r="EGS10" s="9"/>
      <c r="EGT10" s="9"/>
      <c r="EGU10" s="9"/>
      <c r="EGV10" s="10"/>
      <c r="EGW10" s="11"/>
      <c r="EGX10" s="12"/>
      <c r="EGY10" s="12"/>
      <c r="EGZ10" s="12"/>
      <c r="EHA10" s="13"/>
      <c r="EHB10" s="9"/>
      <c r="EHC10" s="9"/>
      <c r="EHD10" s="9"/>
      <c r="EHE10" s="9"/>
      <c r="EHF10" s="10"/>
      <c r="EHG10" s="11"/>
      <c r="EHH10" s="12"/>
      <c r="EHI10" s="12"/>
      <c r="EHJ10" s="12"/>
      <c r="EHK10" s="13"/>
      <c r="EHL10" s="9"/>
      <c r="EHM10" s="9"/>
      <c r="EHN10" s="9"/>
      <c r="EHO10" s="9"/>
      <c r="EHP10" s="10"/>
      <c r="EHQ10" s="11"/>
      <c r="EHR10" s="12"/>
      <c r="EHS10" s="12"/>
      <c r="EHT10" s="12"/>
      <c r="EHU10" s="13"/>
      <c r="EHV10" s="9"/>
      <c r="EHW10" s="9"/>
      <c r="EHX10" s="9"/>
      <c r="EHY10" s="9"/>
      <c r="EHZ10" s="10"/>
      <c r="EIA10" s="11"/>
      <c r="EIB10" s="12"/>
      <c r="EIC10" s="12"/>
      <c r="EID10" s="12"/>
      <c r="EIE10" s="13"/>
      <c r="EIF10" s="9"/>
      <c r="EIG10" s="9"/>
      <c r="EIH10" s="9"/>
      <c r="EII10" s="9"/>
      <c r="EIJ10" s="10"/>
      <c r="EIK10" s="11"/>
      <c r="EIL10" s="12"/>
      <c r="EIM10" s="12"/>
      <c r="EIN10" s="12"/>
      <c r="EIO10" s="13"/>
      <c r="EIP10" s="9"/>
      <c r="EIQ10" s="9"/>
      <c r="EIR10" s="9"/>
      <c r="EIS10" s="9"/>
      <c r="EIT10" s="10"/>
      <c r="EIU10" s="11"/>
      <c r="EIV10" s="12"/>
      <c r="EIW10" s="12"/>
      <c r="EIX10" s="12"/>
      <c r="EIY10" s="13"/>
      <c r="EIZ10" s="9"/>
      <c r="EJA10" s="9"/>
      <c r="EJB10" s="9"/>
      <c r="EJC10" s="9"/>
      <c r="EJD10" s="10"/>
      <c r="EJE10" s="11"/>
      <c r="EJF10" s="12"/>
      <c r="EJG10" s="12"/>
      <c r="EJH10" s="12"/>
      <c r="EJI10" s="13"/>
      <c r="EJJ10" s="9"/>
      <c r="EJK10" s="9"/>
      <c r="EJL10" s="9"/>
      <c r="EJM10" s="9"/>
      <c r="EJN10" s="10"/>
      <c r="EJO10" s="11"/>
      <c r="EJP10" s="12"/>
      <c r="EJQ10" s="12"/>
      <c r="EJR10" s="12"/>
      <c r="EJS10" s="13"/>
      <c r="EJT10" s="9"/>
      <c r="EJU10" s="9"/>
      <c r="EJV10" s="9"/>
      <c r="EJW10" s="9"/>
      <c r="EJX10" s="10"/>
      <c r="EJY10" s="11"/>
      <c r="EJZ10" s="12"/>
      <c r="EKA10" s="12"/>
      <c r="EKB10" s="12"/>
      <c r="EKC10" s="13"/>
      <c r="EKD10" s="9"/>
      <c r="EKE10" s="9"/>
      <c r="EKF10" s="9"/>
      <c r="EKG10" s="9"/>
      <c r="EKH10" s="10"/>
      <c r="EKI10" s="11"/>
      <c r="EKJ10" s="12"/>
      <c r="EKK10" s="12"/>
      <c r="EKL10" s="12"/>
      <c r="EKM10" s="13"/>
      <c r="EKN10" s="9"/>
      <c r="EKO10" s="9"/>
      <c r="EKP10" s="9"/>
      <c r="EKQ10" s="9"/>
      <c r="EKR10" s="10"/>
      <c r="EKS10" s="11"/>
      <c r="EKT10" s="12"/>
      <c r="EKU10" s="12"/>
      <c r="EKV10" s="12"/>
      <c r="EKW10" s="13"/>
      <c r="EKX10" s="9"/>
      <c r="EKY10" s="9"/>
      <c r="EKZ10" s="9"/>
      <c r="ELA10" s="9"/>
      <c r="ELB10" s="10"/>
      <c r="ELC10" s="11"/>
      <c r="ELD10" s="12"/>
      <c r="ELE10" s="12"/>
      <c r="ELF10" s="12"/>
      <c r="ELG10" s="13"/>
      <c r="ELH10" s="9"/>
      <c r="ELI10" s="9"/>
      <c r="ELJ10" s="9"/>
      <c r="ELK10" s="9"/>
      <c r="ELL10" s="10"/>
      <c r="ELM10" s="11"/>
      <c r="ELN10" s="12"/>
      <c r="ELO10" s="12"/>
      <c r="ELP10" s="12"/>
      <c r="ELQ10" s="13"/>
      <c r="ELR10" s="9"/>
      <c r="ELS10" s="9"/>
      <c r="ELT10" s="9"/>
      <c r="ELU10" s="9"/>
      <c r="ELV10" s="10"/>
      <c r="ELW10" s="11"/>
      <c r="ELX10" s="12"/>
      <c r="ELY10" s="12"/>
      <c r="ELZ10" s="12"/>
      <c r="EMA10" s="13"/>
      <c r="EMB10" s="9"/>
      <c r="EMC10" s="9"/>
      <c r="EMD10" s="9"/>
      <c r="EME10" s="9"/>
      <c r="EMF10" s="10"/>
      <c r="EMG10" s="11"/>
      <c r="EMH10" s="12"/>
      <c r="EMI10" s="12"/>
      <c r="EMJ10" s="12"/>
      <c r="EMK10" s="13"/>
      <c r="EML10" s="9"/>
      <c r="EMM10" s="9"/>
      <c r="EMN10" s="9"/>
      <c r="EMO10" s="9"/>
      <c r="EMP10" s="10"/>
      <c r="EMQ10" s="11"/>
      <c r="EMR10" s="12"/>
      <c r="EMS10" s="12"/>
      <c r="EMT10" s="12"/>
      <c r="EMU10" s="13"/>
      <c r="EMV10" s="9"/>
      <c r="EMW10" s="9"/>
      <c r="EMX10" s="9"/>
      <c r="EMY10" s="9"/>
      <c r="EMZ10" s="10"/>
      <c r="ENA10" s="11"/>
      <c r="ENB10" s="12"/>
      <c r="ENC10" s="12"/>
      <c r="END10" s="12"/>
      <c r="ENE10" s="13"/>
      <c r="ENF10" s="9"/>
      <c r="ENG10" s="9"/>
      <c r="ENH10" s="9"/>
      <c r="ENI10" s="9"/>
      <c r="ENJ10" s="10"/>
      <c r="ENK10" s="11"/>
      <c r="ENL10" s="12"/>
      <c r="ENM10" s="12"/>
      <c r="ENN10" s="12"/>
      <c r="ENO10" s="13"/>
      <c r="ENP10" s="9"/>
      <c r="ENQ10" s="9"/>
      <c r="ENR10" s="9"/>
      <c r="ENS10" s="9"/>
      <c r="ENT10" s="10"/>
      <c r="ENU10" s="11"/>
      <c r="ENV10" s="12"/>
      <c r="ENW10" s="12"/>
      <c r="ENX10" s="12"/>
      <c r="ENY10" s="13"/>
      <c r="ENZ10" s="9"/>
      <c r="EOA10" s="9"/>
      <c r="EOB10" s="9"/>
      <c r="EOC10" s="9"/>
      <c r="EOD10" s="10"/>
      <c r="EOE10" s="11"/>
      <c r="EOF10" s="12"/>
      <c r="EOG10" s="12"/>
      <c r="EOH10" s="12"/>
      <c r="EOI10" s="13"/>
      <c r="EOJ10" s="9"/>
      <c r="EOK10" s="9"/>
      <c r="EOL10" s="9"/>
      <c r="EOM10" s="9"/>
      <c r="EON10" s="10"/>
      <c r="EOO10" s="11"/>
      <c r="EOP10" s="12"/>
      <c r="EOQ10" s="12"/>
      <c r="EOR10" s="12"/>
      <c r="EOS10" s="13"/>
      <c r="EOT10" s="9"/>
      <c r="EOU10" s="9"/>
      <c r="EOV10" s="9"/>
      <c r="EOW10" s="9"/>
      <c r="EOX10" s="10"/>
      <c r="EOY10" s="11"/>
      <c r="EOZ10" s="12"/>
      <c r="EPA10" s="12"/>
      <c r="EPB10" s="12"/>
      <c r="EPC10" s="13"/>
      <c r="EPD10" s="9"/>
      <c r="EPE10" s="9"/>
      <c r="EPF10" s="9"/>
      <c r="EPG10" s="9"/>
      <c r="EPH10" s="10"/>
      <c r="EPI10" s="11"/>
      <c r="EPJ10" s="12"/>
      <c r="EPK10" s="12"/>
      <c r="EPL10" s="12"/>
      <c r="EPM10" s="13"/>
      <c r="EPN10" s="9"/>
      <c r="EPO10" s="9"/>
      <c r="EPP10" s="9"/>
      <c r="EPQ10" s="9"/>
      <c r="EPR10" s="10"/>
      <c r="EPS10" s="11"/>
      <c r="EPT10" s="12"/>
      <c r="EPU10" s="12"/>
      <c r="EPV10" s="12"/>
      <c r="EPW10" s="13"/>
      <c r="EPX10" s="9"/>
      <c r="EPY10" s="9"/>
      <c r="EPZ10" s="9"/>
      <c r="EQA10" s="9"/>
      <c r="EQB10" s="10"/>
      <c r="EQC10" s="11"/>
      <c r="EQD10" s="12"/>
      <c r="EQE10" s="12"/>
      <c r="EQF10" s="12"/>
      <c r="EQG10" s="13"/>
      <c r="EQH10" s="9"/>
      <c r="EQI10" s="9"/>
      <c r="EQJ10" s="9"/>
      <c r="EQK10" s="9"/>
      <c r="EQL10" s="10"/>
      <c r="EQM10" s="11"/>
      <c r="EQN10" s="12"/>
      <c r="EQO10" s="12"/>
      <c r="EQP10" s="12"/>
      <c r="EQQ10" s="13"/>
      <c r="EQR10" s="9"/>
      <c r="EQS10" s="9"/>
      <c r="EQT10" s="9"/>
      <c r="EQU10" s="9"/>
      <c r="EQV10" s="10"/>
      <c r="EQW10" s="11"/>
      <c r="EQX10" s="12"/>
      <c r="EQY10" s="12"/>
      <c r="EQZ10" s="12"/>
      <c r="ERA10" s="13"/>
      <c r="ERB10" s="9"/>
      <c r="ERC10" s="9"/>
      <c r="ERD10" s="9"/>
      <c r="ERE10" s="9"/>
      <c r="ERF10" s="10"/>
      <c r="ERG10" s="11"/>
      <c r="ERH10" s="12"/>
      <c r="ERI10" s="12"/>
      <c r="ERJ10" s="12"/>
      <c r="ERK10" s="13"/>
      <c r="ERL10" s="9"/>
      <c r="ERM10" s="9"/>
      <c r="ERN10" s="9"/>
      <c r="ERO10" s="9"/>
      <c r="ERP10" s="10"/>
      <c r="ERQ10" s="11"/>
      <c r="ERR10" s="12"/>
      <c r="ERS10" s="12"/>
      <c r="ERT10" s="12"/>
      <c r="ERU10" s="13"/>
      <c r="ERV10" s="9"/>
      <c r="ERW10" s="9"/>
      <c r="ERX10" s="9"/>
      <c r="ERY10" s="9"/>
      <c r="ERZ10" s="10"/>
      <c r="ESA10" s="11"/>
      <c r="ESB10" s="12"/>
      <c r="ESC10" s="12"/>
      <c r="ESD10" s="12"/>
      <c r="ESE10" s="13"/>
      <c r="ESF10" s="9"/>
      <c r="ESG10" s="9"/>
      <c r="ESH10" s="9"/>
      <c r="ESI10" s="9"/>
      <c r="ESJ10" s="10"/>
      <c r="ESK10" s="11"/>
      <c r="ESL10" s="12"/>
      <c r="ESM10" s="12"/>
      <c r="ESN10" s="12"/>
      <c r="ESO10" s="13"/>
      <c r="ESP10" s="9"/>
      <c r="ESQ10" s="9"/>
      <c r="ESR10" s="9"/>
      <c r="ESS10" s="9"/>
      <c r="EST10" s="10"/>
      <c r="ESU10" s="11"/>
      <c r="ESV10" s="12"/>
      <c r="ESW10" s="12"/>
      <c r="ESX10" s="12"/>
      <c r="ESY10" s="13"/>
      <c r="ESZ10" s="9"/>
      <c r="ETA10" s="9"/>
      <c r="ETB10" s="9"/>
      <c r="ETC10" s="9"/>
      <c r="ETD10" s="10"/>
      <c r="ETE10" s="11"/>
      <c r="ETF10" s="12"/>
      <c r="ETG10" s="12"/>
      <c r="ETH10" s="12"/>
      <c r="ETI10" s="13"/>
      <c r="ETJ10" s="9"/>
      <c r="ETK10" s="9"/>
      <c r="ETL10" s="9"/>
      <c r="ETM10" s="9"/>
      <c r="ETN10" s="10"/>
      <c r="ETO10" s="11"/>
      <c r="ETP10" s="12"/>
      <c r="ETQ10" s="12"/>
      <c r="ETR10" s="12"/>
      <c r="ETS10" s="13"/>
      <c r="ETT10" s="9"/>
      <c r="ETU10" s="9"/>
      <c r="ETV10" s="9"/>
      <c r="ETW10" s="9"/>
      <c r="ETX10" s="10"/>
      <c r="ETY10" s="11"/>
      <c r="ETZ10" s="12"/>
      <c r="EUA10" s="12"/>
      <c r="EUB10" s="12"/>
      <c r="EUC10" s="13"/>
      <c r="EUD10" s="9"/>
      <c r="EUE10" s="9"/>
      <c r="EUF10" s="9"/>
      <c r="EUG10" s="9"/>
      <c r="EUH10" s="10"/>
      <c r="EUI10" s="11"/>
      <c r="EUJ10" s="12"/>
      <c r="EUK10" s="12"/>
      <c r="EUL10" s="12"/>
      <c r="EUM10" s="13"/>
      <c r="EUN10" s="9"/>
      <c r="EUO10" s="9"/>
      <c r="EUP10" s="9"/>
      <c r="EUQ10" s="9"/>
      <c r="EUR10" s="10"/>
      <c r="EUS10" s="11"/>
      <c r="EUT10" s="12"/>
      <c r="EUU10" s="12"/>
      <c r="EUV10" s="12"/>
      <c r="EUW10" s="13"/>
      <c r="EUX10" s="9"/>
      <c r="EUY10" s="9"/>
      <c r="EUZ10" s="9"/>
      <c r="EVA10" s="9"/>
      <c r="EVB10" s="10"/>
      <c r="EVC10" s="11"/>
      <c r="EVD10" s="12"/>
      <c r="EVE10" s="12"/>
      <c r="EVF10" s="12"/>
      <c r="EVG10" s="13"/>
      <c r="EVH10" s="9"/>
      <c r="EVI10" s="9"/>
      <c r="EVJ10" s="9"/>
      <c r="EVK10" s="9"/>
      <c r="EVL10" s="10"/>
      <c r="EVM10" s="11"/>
      <c r="EVN10" s="12"/>
      <c r="EVO10" s="12"/>
      <c r="EVP10" s="12"/>
      <c r="EVQ10" s="13"/>
      <c r="EVR10" s="9"/>
      <c r="EVS10" s="9"/>
      <c r="EVT10" s="9"/>
      <c r="EVU10" s="9"/>
      <c r="EVV10" s="10"/>
      <c r="EVW10" s="11"/>
      <c r="EVX10" s="12"/>
      <c r="EVY10" s="12"/>
      <c r="EVZ10" s="12"/>
      <c r="EWA10" s="13"/>
      <c r="EWB10" s="9"/>
      <c r="EWC10" s="9"/>
      <c r="EWD10" s="9"/>
      <c r="EWE10" s="9"/>
      <c r="EWF10" s="10"/>
      <c r="EWG10" s="11"/>
      <c r="EWH10" s="12"/>
      <c r="EWI10" s="12"/>
      <c r="EWJ10" s="12"/>
      <c r="EWK10" s="13"/>
      <c r="EWL10" s="9"/>
      <c r="EWM10" s="9"/>
      <c r="EWN10" s="9"/>
      <c r="EWO10" s="9"/>
      <c r="EWP10" s="10"/>
      <c r="EWQ10" s="11"/>
      <c r="EWR10" s="12"/>
      <c r="EWS10" s="12"/>
      <c r="EWT10" s="12"/>
      <c r="EWU10" s="13"/>
      <c r="EWV10" s="9"/>
      <c r="EWW10" s="9"/>
      <c r="EWX10" s="9"/>
      <c r="EWY10" s="9"/>
      <c r="EWZ10" s="10"/>
      <c r="EXA10" s="11"/>
      <c r="EXB10" s="12"/>
      <c r="EXC10" s="12"/>
      <c r="EXD10" s="12"/>
      <c r="EXE10" s="13"/>
      <c r="EXF10" s="9"/>
      <c r="EXG10" s="9"/>
      <c r="EXH10" s="9"/>
      <c r="EXI10" s="9"/>
      <c r="EXJ10" s="10"/>
      <c r="EXK10" s="11"/>
      <c r="EXL10" s="12"/>
      <c r="EXM10" s="12"/>
      <c r="EXN10" s="12"/>
      <c r="EXO10" s="13"/>
      <c r="EXP10" s="9"/>
      <c r="EXQ10" s="9"/>
      <c r="EXR10" s="9"/>
      <c r="EXS10" s="9"/>
      <c r="EXT10" s="10"/>
      <c r="EXU10" s="11"/>
      <c r="EXV10" s="12"/>
      <c r="EXW10" s="12"/>
      <c r="EXX10" s="12"/>
      <c r="EXY10" s="13"/>
      <c r="EXZ10" s="9"/>
      <c r="EYA10" s="9"/>
      <c r="EYB10" s="9"/>
      <c r="EYC10" s="9"/>
      <c r="EYD10" s="10"/>
      <c r="EYE10" s="11"/>
      <c r="EYF10" s="12"/>
      <c r="EYG10" s="12"/>
      <c r="EYH10" s="12"/>
      <c r="EYI10" s="13"/>
      <c r="EYJ10" s="9"/>
      <c r="EYK10" s="9"/>
      <c r="EYL10" s="9"/>
      <c r="EYM10" s="9"/>
      <c r="EYN10" s="10"/>
      <c r="EYO10" s="11"/>
      <c r="EYP10" s="12"/>
      <c r="EYQ10" s="12"/>
      <c r="EYR10" s="12"/>
      <c r="EYS10" s="13"/>
      <c r="EYT10" s="9"/>
      <c r="EYU10" s="9"/>
      <c r="EYV10" s="9"/>
      <c r="EYW10" s="9"/>
      <c r="EYX10" s="10"/>
      <c r="EYY10" s="11"/>
      <c r="EYZ10" s="12"/>
      <c r="EZA10" s="12"/>
      <c r="EZB10" s="12"/>
      <c r="EZC10" s="13"/>
      <c r="EZD10" s="9"/>
      <c r="EZE10" s="9"/>
      <c r="EZF10" s="9"/>
      <c r="EZG10" s="9"/>
      <c r="EZH10" s="10"/>
      <c r="EZI10" s="11"/>
      <c r="EZJ10" s="12"/>
      <c r="EZK10" s="12"/>
      <c r="EZL10" s="12"/>
      <c r="EZM10" s="13"/>
      <c r="EZN10" s="9"/>
      <c r="EZO10" s="9"/>
      <c r="EZP10" s="9"/>
      <c r="EZQ10" s="9"/>
      <c r="EZR10" s="10"/>
      <c r="EZS10" s="11"/>
      <c r="EZT10" s="12"/>
      <c r="EZU10" s="12"/>
      <c r="EZV10" s="12"/>
      <c r="EZW10" s="13"/>
      <c r="EZX10" s="9"/>
      <c r="EZY10" s="9"/>
      <c r="EZZ10" s="9"/>
      <c r="FAA10" s="9"/>
      <c r="FAB10" s="10"/>
      <c r="FAC10" s="11"/>
      <c r="FAD10" s="12"/>
      <c r="FAE10" s="12"/>
      <c r="FAF10" s="12"/>
      <c r="FAG10" s="13"/>
      <c r="FAH10" s="9"/>
      <c r="FAI10" s="9"/>
      <c r="FAJ10" s="9"/>
      <c r="FAK10" s="9"/>
      <c r="FAL10" s="10"/>
      <c r="FAM10" s="11"/>
      <c r="FAN10" s="12"/>
      <c r="FAO10" s="12"/>
      <c r="FAP10" s="12"/>
      <c r="FAQ10" s="13"/>
      <c r="FAR10" s="9"/>
      <c r="FAS10" s="9"/>
      <c r="FAT10" s="9"/>
      <c r="FAU10" s="9"/>
      <c r="FAV10" s="10"/>
      <c r="FAW10" s="11"/>
      <c r="FAX10" s="12"/>
      <c r="FAY10" s="12"/>
      <c r="FAZ10" s="12"/>
      <c r="FBA10" s="13"/>
      <c r="FBB10" s="9"/>
      <c r="FBC10" s="9"/>
      <c r="FBD10" s="9"/>
      <c r="FBE10" s="9"/>
      <c r="FBF10" s="10"/>
      <c r="FBG10" s="11"/>
      <c r="FBH10" s="12"/>
      <c r="FBI10" s="12"/>
      <c r="FBJ10" s="12"/>
      <c r="FBK10" s="13"/>
      <c r="FBL10" s="9"/>
      <c r="FBM10" s="9"/>
      <c r="FBN10" s="9"/>
      <c r="FBO10" s="9"/>
      <c r="FBP10" s="10"/>
      <c r="FBQ10" s="11"/>
      <c r="FBR10" s="12"/>
      <c r="FBS10" s="12"/>
      <c r="FBT10" s="12"/>
      <c r="FBU10" s="13"/>
      <c r="FBV10" s="9"/>
      <c r="FBW10" s="9"/>
      <c r="FBX10" s="9"/>
      <c r="FBY10" s="9"/>
      <c r="FBZ10" s="10"/>
      <c r="FCA10" s="11"/>
      <c r="FCB10" s="12"/>
      <c r="FCC10" s="12"/>
      <c r="FCD10" s="12"/>
      <c r="FCE10" s="13"/>
      <c r="FCF10" s="9"/>
      <c r="FCG10" s="9"/>
      <c r="FCH10" s="9"/>
      <c r="FCI10" s="9"/>
      <c r="FCJ10" s="10"/>
      <c r="FCK10" s="11"/>
      <c r="FCL10" s="12"/>
      <c r="FCM10" s="12"/>
      <c r="FCN10" s="12"/>
      <c r="FCO10" s="13"/>
      <c r="FCP10" s="9"/>
      <c r="FCQ10" s="9"/>
      <c r="FCR10" s="9"/>
      <c r="FCS10" s="9"/>
      <c r="FCT10" s="10"/>
      <c r="FCU10" s="11"/>
      <c r="FCV10" s="12"/>
      <c r="FCW10" s="12"/>
      <c r="FCX10" s="12"/>
      <c r="FCY10" s="13"/>
      <c r="FCZ10" s="9"/>
      <c r="FDA10" s="9"/>
      <c r="FDB10" s="9"/>
      <c r="FDC10" s="9"/>
      <c r="FDD10" s="10"/>
      <c r="FDE10" s="11"/>
      <c r="FDF10" s="12"/>
      <c r="FDG10" s="12"/>
      <c r="FDH10" s="12"/>
      <c r="FDI10" s="13"/>
      <c r="FDJ10" s="9"/>
      <c r="FDK10" s="9"/>
      <c r="FDL10" s="9"/>
      <c r="FDM10" s="9"/>
      <c r="FDN10" s="10"/>
      <c r="FDO10" s="11"/>
      <c r="FDP10" s="12"/>
      <c r="FDQ10" s="12"/>
      <c r="FDR10" s="12"/>
      <c r="FDS10" s="13"/>
      <c r="FDT10" s="9"/>
      <c r="FDU10" s="9"/>
      <c r="FDV10" s="9"/>
      <c r="FDW10" s="9"/>
      <c r="FDX10" s="10"/>
      <c r="FDY10" s="11"/>
      <c r="FDZ10" s="12"/>
      <c r="FEA10" s="12"/>
      <c r="FEB10" s="12"/>
      <c r="FEC10" s="13"/>
      <c r="FED10" s="9"/>
      <c r="FEE10" s="9"/>
      <c r="FEF10" s="9"/>
      <c r="FEG10" s="9"/>
      <c r="FEH10" s="10"/>
      <c r="FEI10" s="11"/>
      <c r="FEJ10" s="12"/>
      <c r="FEK10" s="12"/>
      <c r="FEL10" s="12"/>
      <c r="FEM10" s="13"/>
      <c r="FEN10" s="9"/>
      <c r="FEO10" s="9"/>
      <c r="FEP10" s="9"/>
      <c r="FEQ10" s="9"/>
      <c r="FER10" s="10"/>
      <c r="FES10" s="11"/>
      <c r="FET10" s="12"/>
      <c r="FEU10" s="12"/>
      <c r="FEV10" s="12"/>
      <c r="FEW10" s="13"/>
      <c r="FEX10" s="9"/>
      <c r="FEY10" s="9"/>
      <c r="FEZ10" s="9"/>
      <c r="FFA10" s="9"/>
      <c r="FFB10" s="10"/>
      <c r="FFC10" s="11"/>
      <c r="FFD10" s="12"/>
      <c r="FFE10" s="12"/>
      <c r="FFF10" s="12"/>
      <c r="FFG10" s="13"/>
      <c r="FFH10" s="9"/>
      <c r="FFI10" s="9"/>
      <c r="FFJ10" s="9"/>
      <c r="FFK10" s="9"/>
      <c r="FFL10" s="10"/>
      <c r="FFM10" s="11"/>
      <c r="FFN10" s="12"/>
      <c r="FFO10" s="12"/>
      <c r="FFP10" s="12"/>
      <c r="FFQ10" s="13"/>
      <c r="FFR10" s="9"/>
      <c r="FFS10" s="9"/>
      <c r="FFT10" s="9"/>
      <c r="FFU10" s="9"/>
      <c r="FFV10" s="10"/>
      <c r="FFW10" s="11"/>
      <c r="FFX10" s="12"/>
      <c r="FFY10" s="12"/>
      <c r="FFZ10" s="12"/>
      <c r="FGA10" s="13"/>
      <c r="FGB10" s="9"/>
      <c r="FGC10" s="9"/>
      <c r="FGD10" s="9"/>
      <c r="FGE10" s="9"/>
      <c r="FGF10" s="10"/>
      <c r="FGG10" s="11"/>
      <c r="FGH10" s="12"/>
      <c r="FGI10" s="12"/>
      <c r="FGJ10" s="12"/>
      <c r="FGK10" s="13"/>
      <c r="FGL10" s="9"/>
      <c r="FGM10" s="9"/>
      <c r="FGN10" s="9"/>
      <c r="FGO10" s="9"/>
      <c r="FGP10" s="10"/>
      <c r="FGQ10" s="11"/>
      <c r="FGR10" s="12"/>
      <c r="FGS10" s="12"/>
      <c r="FGT10" s="12"/>
      <c r="FGU10" s="13"/>
      <c r="FGV10" s="9"/>
      <c r="FGW10" s="9"/>
      <c r="FGX10" s="9"/>
      <c r="FGY10" s="9"/>
      <c r="FGZ10" s="10"/>
      <c r="FHA10" s="11"/>
      <c r="FHB10" s="12"/>
      <c r="FHC10" s="12"/>
      <c r="FHD10" s="12"/>
      <c r="FHE10" s="13"/>
      <c r="FHF10" s="9"/>
      <c r="FHG10" s="9"/>
      <c r="FHH10" s="9"/>
      <c r="FHI10" s="9"/>
      <c r="FHJ10" s="10"/>
      <c r="FHK10" s="11"/>
      <c r="FHL10" s="12"/>
      <c r="FHM10" s="12"/>
      <c r="FHN10" s="12"/>
      <c r="FHO10" s="13"/>
      <c r="FHP10" s="9"/>
      <c r="FHQ10" s="9"/>
      <c r="FHR10" s="9"/>
      <c r="FHS10" s="9"/>
      <c r="FHT10" s="10"/>
      <c r="FHU10" s="11"/>
      <c r="FHV10" s="12"/>
      <c r="FHW10" s="12"/>
      <c r="FHX10" s="12"/>
      <c r="FHY10" s="13"/>
      <c r="FHZ10" s="9"/>
      <c r="FIA10" s="9"/>
      <c r="FIB10" s="9"/>
      <c r="FIC10" s="9"/>
      <c r="FID10" s="10"/>
      <c r="FIE10" s="11"/>
      <c r="FIF10" s="12"/>
      <c r="FIG10" s="12"/>
      <c r="FIH10" s="12"/>
      <c r="FII10" s="13"/>
      <c r="FIJ10" s="9"/>
      <c r="FIK10" s="9"/>
      <c r="FIL10" s="9"/>
      <c r="FIM10" s="9"/>
      <c r="FIN10" s="10"/>
      <c r="FIO10" s="11"/>
      <c r="FIP10" s="12"/>
      <c r="FIQ10" s="12"/>
      <c r="FIR10" s="12"/>
      <c r="FIS10" s="13"/>
      <c r="FIT10" s="9"/>
      <c r="FIU10" s="9"/>
      <c r="FIV10" s="9"/>
      <c r="FIW10" s="9"/>
      <c r="FIX10" s="10"/>
      <c r="FIY10" s="11"/>
      <c r="FIZ10" s="12"/>
      <c r="FJA10" s="12"/>
      <c r="FJB10" s="12"/>
      <c r="FJC10" s="13"/>
      <c r="FJD10" s="9"/>
      <c r="FJE10" s="9"/>
      <c r="FJF10" s="9"/>
      <c r="FJG10" s="9"/>
      <c r="FJH10" s="10"/>
      <c r="FJI10" s="11"/>
      <c r="FJJ10" s="12"/>
      <c r="FJK10" s="12"/>
      <c r="FJL10" s="12"/>
      <c r="FJM10" s="13"/>
      <c r="FJN10" s="9"/>
      <c r="FJO10" s="9"/>
      <c r="FJP10" s="9"/>
      <c r="FJQ10" s="9"/>
      <c r="FJR10" s="10"/>
      <c r="FJS10" s="11"/>
      <c r="FJT10" s="12"/>
      <c r="FJU10" s="12"/>
      <c r="FJV10" s="12"/>
      <c r="FJW10" s="13"/>
      <c r="FJX10" s="9"/>
      <c r="FJY10" s="9"/>
      <c r="FJZ10" s="9"/>
      <c r="FKA10" s="9"/>
      <c r="FKB10" s="10"/>
      <c r="FKC10" s="11"/>
      <c r="FKD10" s="12"/>
      <c r="FKE10" s="12"/>
      <c r="FKF10" s="12"/>
      <c r="FKG10" s="13"/>
      <c r="FKH10" s="9"/>
      <c r="FKI10" s="9"/>
      <c r="FKJ10" s="9"/>
      <c r="FKK10" s="9"/>
      <c r="FKL10" s="10"/>
      <c r="FKM10" s="11"/>
      <c r="FKN10" s="12"/>
      <c r="FKO10" s="12"/>
      <c r="FKP10" s="12"/>
      <c r="FKQ10" s="13"/>
      <c r="FKR10" s="9"/>
      <c r="FKS10" s="9"/>
      <c r="FKT10" s="9"/>
      <c r="FKU10" s="9"/>
      <c r="FKV10" s="10"/>
      <c r="FKW10" s="11"/>
      <c r="FKX10" s="12"/>
      <c r="FKY10" s="12"/>
      <c r="FKZ10" s="12"/>
      <c r="FLA10" s="13"/>
      <c r="FLB10" s="9"/>
      <c r="FLC10" s="9"/>
      <c r="FLD10" s="9"/>
      <c r="FLE10" s="9"/>
      <c r="FLF10" s="10"/>
      <c r="FLG10" s="11"/>
      <c r="FLH10" s="12"/>
      <c r="FLI10" s="12"/>
      <c r="FLJ10" s="12"/>
      <c r="FLK10" s="13"/>
      <c r="FLL10" s="9"/>
      <c r="FLM10" s="9"/>
      <c r="FLN10" s="9"/>
      <c r="FLO10" s="9"/>
      <c r="FLP10" s="10"/>
      <c r="FLQ10" s="11"/>
      <c r="FLR10" s="12"/>
      <c r="FLS10" s="12"/>
      <c r="FLT10" s="12"/>
      <c r="FLU10" s="13"/>
      <c r="FLV10" s="9"/>
      <c r="FLW10" s="9"/>
      <c r="FLX10" s="9"/>
      <c r="FLY10" s="9"/>
      <c r="FLZ10" s="10"/>
      <c r="FMA10" s="11"/>
      <c r="FMB10" s="12"/>
      <c r="FMC10" s="12"/>
      <c r="FMD10" s="12"/>
      <c r="FME10" s="13"/>
      <c r="FMF10" s="9"/>
      <c r="FMG10" s="9"/>
      <c r="FMH10" s="9"/>
      <c r="FMI10" s="9"/>
      <c r="FMJ10" s="10"/>
      <c r="FMK10" s="11"/>
      <c r="FML10" s="12"/>
      <c r="FMM10" s="12"/>
      <c r="FMN10" s="12"/>
      <c r="FMO10" s="13"/>
      <c r="FMP10" s="9"/>
      <c r="FMQ10" s="9"/>
      <c r="FMR10" s="9"/>
      <c r="FMS10" s="9"/>
      <c r="FMT10" s="10"/>
      <c r="FMU10" s="11"/>
      <c r="FMV10" s="12"/>
      <c r="FMW10" s="12"/>
      <c r="FMX10" s="12"/>
      <c r="FMY10" s="13"/>
      <c r="FMZ10" s="9"/>
      <c r="FNA10" s="9"/>
      <c r="FNB10" s="9"/>
      <c r="FNC10" s="9"/>
      <c r="FND10" s="10"/>
      <c r="FNE10" s="11"/>
      <c r="FNF10" s="12"/>
      <c r="FNG10" s="12"/>
      <c r="FNH10" s="12"/>
      <c r="FNI10" s="13"/>
      <c r="FNJ10" s="9"/>
      <c r="FNK10" s="9"/>
      <c r="FNL10" s="9"/>
      <c r="FNM10" s="9"/>
      <c r="FNN10" s="10"/>
      <c r="FNO10" s="11"/>
      <c r="FNP10" s="12"/>
      <c r="FNQ10" s="12"/>
      <c r="FNR10" s="12"/>
      <c r="FNS10" s="13"/>
      <c r="FNT10" s="9"/>
      <c r="FNU10" s="9"/>
      <c r="FNV10" s="9"/>
      <c r="FNW10" s="9"/>
      <c r="FNX10" s="10"/>
      <c r="FNY10" s="11"/>
      <c r="FNZ10" s="12"/>
      <c r="FOA10" s="12"/>
      <c r="FOB10" s="12"/>
      <c r="FOC10" s="13"/>
      <c r="FOD10" s="9"/>
      <c r="FOE10" s="9"/>
      <c r="FOF10" s="9"/>
      <c r="FOG10" s="9"/>
      <c r="FOH10" s="10"/>
      <c r="FOI10" s="11"/>
      <c r="FOJ10" s="12"/>
      <c r="FOK10" s="12"/>
      <c r="FOL10" s="12"/>
      <c r="FOM10" s="13"/>
      <c r="FON10" s="9"/>
      <c r="FOO10" s="9"/>
      <c r="FOP10" s="9"/>
      <c r="FOQ10" s="9"/>
      <c r="FOR10" s="10"/>
      <c r="FOS10" s="11"/>
      <c r="FOT10" s="12"/>
      <c r="FOU10" s="12"/>
      <c r="FOV10" s="12"/>
      <c r="FOW10" s="13"/>
      <c r="FOX10" s="9"/>
      <c r="FOY10" s="9"/>
      <c r="FOZ10" s="9"/>
      <c r="FPA10" s="9"/>
      <c r="FPB10" s="10"/>
      <c r="FPC10" s="11"/>
      <c r="FPD10" s="12"/>
      <c r="FPE10" s="12"/>
      <c r="FPF10" s="12"/>
      <c r="FPG10" s="13"/>
      <c r="FPH10" s="9"/>
      <c r="FPI10" s="9"/>
      <c r="FPJ10" s="9"/>
      <c r="FPK10" s="9"/>
      <c r="FPL10" s="10"/>
      <c r="FPM10" s="11"/>
      <c r="FPN10" s="12"/>
      <c r="FPO10" s="12"/>
      <c r="FPP10" s="12"/>
      <c r="FPQ10" s="13"/>
      <c r="FPR10" s="9"/>
      <c r="FPS10" s="9"/>
      <c r="FPT10" s="9"/>
      <c r="FPU10" s="9"/>
      <c r="FPV10" s="10"/>
      <c r="FPW10" s="11"/>
      <c r="FPX10" s="12"/>
      <c r="FPY10" s="12"/>
      <c r="FPZ10" s="12"/>
      <c r="FQA10" s="13"/>
      <c r="FQB10" s="9"/>
      <c r="FQC10" s="9"/>
      <c r="FQD10" s="9"/>
      <c r="FQE10" s="9"/>
      <c r="FQF10" s="10"/>
      <c r="FQG10" s="11"/>
      <c r="FQH10" s="12"/>
      <c r="FQI10" s="12"/>
      <c r="FQJ10" s="12"/>
      <c r="FQK10" s="13"/>
      <c r="FQL10" s="9"/>
      <c r="FQM10" s="9"/>
      <c r="FQN10" s="9"/>
      <c r="FQO10" s="9"/>
      <c r="FQP10" s="10"/>
      <c r="FQQ10" s="11"/>
      <c r="FQR10" s="12"/>
      <c r="FQS10" s="12"/>
      <c r="FQT10" s="12"/>
      <c r="FQU10" s="13"/>
      <c r="FQV10" s="9"/>
      <c r="FQW10" s="9"/>
      <c r="FQX10" s="9"/>
      <c r="FQY10" s="9"/>
      <c r="FQZ10" s="10"/>
      <c r="FRA10" s="11"/>
      <c r="FRB10" s="12"/>
      <c r="FRC10" s="12"/>
      <c r="FRD10" s="12"/>
      <c r="FRE10" s="13"/>
      <c r="FRF10" s="9"/>
      <c r="FRG10" s="9"/>
      <c r="FRH10" s="9"/>
      <c r="FRI10" s="9"/>
      <c r="FRJ10" s="10"/>
      <c r="FRK10" s="11"/>
      <c r="FRL10" s="12"/>
      <c r="FRM10" s="12"/>
      <c r="FRN10" s="12"/>
      <c r="FRO10" s="13"/>
      <c r="FRP10" s="9"/>
      <c r="FRQ10" s="9"/>
      <c r="FRR10" s="9"/>
      <c r="FRS10" s="9"/>
      <c r="FRT10" s="10"/>
      <c r="FRU10" s="11"/>
      <c r="FRV10" s="12"/>
      <c r="FRW10" s="12"/>
      <c r="FRX10" s="12"/>
      <c r="FRY10" s="13"/>
      <c r="FRZ10" s="9"/>
      <c r="FSA10" s="9"/>
      <c r="FSB10" s="9"/>
      <c r="FSC10" s="9"/>
      <c r="FSD10" s="10"/>
      <c r="FSE10" s="11"/>
      <c r="FSF10" s="12"/>
      <c r="FSG10" s="12"/>
      <c r="FSH10" s="12"/>
      <c r="FSI10" s="13"/>
      <c r="FSJ10" s="9"/>
      <c r="FSK10" s="9"/>
      <c r="FSL10" s="9"/>
      <c r="FSM10" s="9"/>
      <c r="FSN10" s="10"/>
      <c r="FSO10" s="11"/>
      <c r="FSP10" s="12"/>
      <c r="FSQ10" s="12"/>
      <c r="FSR10" s="12"/>
      <c r="FSS10" s="13"/>
      <c r="FST10" s="9"/>
      <c r="FSU10" s="9"/>
      <c r="FSV10" s="9"/>
      <c r="FSW10" s="9"/>
      <c r="FSX10" s="10"/>
      <c r="FSY10" s="11"/>
      <c r="FSZ10" s="12"/>
      <c r="FTA10" s="12"/>
      <c r="FTB10" s="12"/>
      <c r="FTC10" s="13"/>
      <c r="FTD10" s="9"/>
      <c r="FTE10" s="9"/>
      <c r="FTF10" s="9"/>
      <c r="FTG10" s="9"/>
      <c r="FTH10" s="10"/>
      <c r="FTI10" s="11"/>
      <c r="FTJ10" s="12"/>
      <c r="FTK10" s="12"/>
      <c r="FTL10" s="12"/>
      <c r="FTM10" s="13"/>
      <c r="FTN10" s="9"/>
      <c r="FTO10" s="9"/>
      <c r="FTP10" s="9"/>
      <c r="FTQ10" s="9"/>
      <c r="FTR10" s="10"/>
      <c r="FTS10" s="11"/>
      <c r="FTT10" s="12"/>
      <c r="FTU10" s="12"/>
      <c r="FTV10" s="12"/>
      <c r="FTW10" s="13"/>
      <c r="FTX10" s="9"/>
      <c r="FTY10" s="9"/>
      <c r="FTZ10" s="9"/>
      <c r="FUA10" s="9"/>
      <c r="FUB10" s="10"/>
      <c r="FUC10" s="11"/>
      <c r="FUD10" s="12"/>
      <c r="FUE10" s="12"/>
      <c r="FUF10" s="12"/>
      <c r="FUG10" s="13"/>
      <c r="FUH10" s="9"/>
      <c r="FUI10" s="9"/>
      <c r="FUJ10" s="9"/>
      <c r="FUK10" s="9"/>
      <c r="FUL10" s="10"/>
      <c r="FUM10" s="11"/>
      <c r="FUN10" s="12"/>
      <c r="FUO10" s="12"/>
      <c r="FUP10" s="12"/>
      <c r="FUQ10" s="13"/>
      <c r="FUR10" s="9"/>
      <c r="FUS10" s="9"/>
      <c r="FUT10" s="9"/>
      <c r="FUU10" s="9"/>
      <c r="FUV10" s="10"/>
      <c r="FUW10" s="11"/>
      <c r="FUX10" s="12"/>
      <c r="FUY10" s="12"/>
      <c r="FUZ10" s="12"/>
      <c r="FVA10" s="13"/>
      <c r="FVB10" s="9"/>
      <c r="FVC10" s="9"/>
      <c r="FVD10" s="9"/>
      <c r="FVE10" s="9"/>
      <c r="FVF10" s="10"/>
      <c r="FVG10" s="11"/>
      <c r="FVH10" s="12"/>
      <c r="FVI10" s="12"/>
      <c r="FVJ10" s="12"/>
      <c r="FVK10" s="13"/>
      <c r="FVL10" s="9"/>
      <c r="FVM10" s="9"/>
      <c r="FVN10" s="9"/>
      <c r="FVO10" s="9"/>
      <c r="FVP10" s="10"/>
      <c r="FVQ10" s="11"/>
      <c r="FVR10" s="12"/>
      <c r="FVS10" s="12"/>
      <c r="FVT10" s="12"/>
      <c r="FVU10" s="13"/>
      <c r="FVV10" s="9"/>
      <c r="FVW10" s="9"/>
      <c r="FVX10" s="9"/>
      <c r="FVY10" s="9"/>
      <c r="FVZ10" s="10"/>
      <c r="FWA10" s="11"/>
      <c r="FWB10" s="12"/>
      <c r="FWC10" s="12"/>
      <c r="FWD10" s="12"/>
      <c r="FWE10" s="13"/>
      <c r="FWF10" s="9"/>
      <c r="FWG10" s="9"/>
      <c r="FWH10" s="9"/>
      <c r="FWI10" s="9"/>
      <c r="FWJ10" s="10"/>
      <c r="FWK10" s="11"/>
      <c r="FWL10" s="12"/>
      <c r="FWM10" s="12"/>
      <c r="FWN10" s="12"/>
      <c r="FWO10" s="13"/>
      <c r="FWP10" s="9"/>
      <c r="FWQ10" s="9"/>
      <c r="FWR10" s="9"/>
      <c r="FWS10" s="9"/>
      <c r="FWT10" s="10"/>
      <c r="FWU10" s="11"/>
      <c r="FWV10" s="12"/>
      <c r="FWW10" s="12"/>
      <c r="FWX10" s="12"/>
      <c r="FWY10" s="13"/>
      <c r="FWZ10" s="9"/>
      <c r="FXA10" s="9"/>
      <c r="FXB10" s="9"/>
      <c r="FXC10" s="9"/>
      <c r="FXD10" s="10"/>
      <c r="FXE10" s="11"/>
      <c r="FXF10" s="12"/>
      <c r="FXG10" s="12"/>
      <c r="FXH10" s="12"/>
      <c r="FXI10" s="13"/>
      <c r="FXJ10" s="9"/>
      <c r="FXK10" s="9"/>
      <c r="FXL10" s="9"/>
      <c r="FXM10" s="9"/>
      <c r="FXN10" s="10"/>
      <c r="FXO10" s="11"/>
      <c r="FXP10" s="12"/>
      <c r="FXQ10" s="12"/>
      <c r="FXR10" s="12"/>
      <c r="FXS10" s="13"/>
      <c r="FXT10" s="9"/>
      <c r="FXU10" s="9"/>
      <c r="FXV10" s="9"/>
      <c r="FXW10" s="9"/>
      <c r="FXX10" s="10"/>
      <c r="FXY10" s="11"/>
      <c r="FXZ10" s="12"/>
      <c r="FYA10" s="12"/>
      <c r="FYB10" s="12"/>
      <c r="FYC10" s="13"/>
      <c r="FYD10" s="9"/>
      <c r="FYE10" s="9"/>
      <c r="FYF10" s="9"/>
      <c r="FYG10" s="9"/>
      <c r="FYH10" s="10"/>
      <c r="FYI10" s="11"/>
      <c r="FYJ10" s="12"/>
      <c r="FYK10" s="12"/>
      <c r="FYL10" s="12"/>
      <c r="FYM10" s="13"/>
      <c r="FYN10" s="9"/>
      <c r="FYO10" s="9"/>
      <c r="FYP10" s="9"/>
      <c r="FYQ10" s="9"/>
      <c r="FYR10" s="10"/>
      <c r="FYS10" s="11"/>
      <c r="FYT10" s="12"/>
      <c r="FYU10" s="12"/>
      <c r="FYV10" s="12"/>
      <c r="FYW10" s="13"/>
      <c r="FYX10" s="9"/>
      <c r="FYY10" s="9"/>
      <c r="FYZ10" s="9"/>
      <c r="FZA10" s="9"/>
      <c r="FZB10" s="10"/>
      <c r="FZC10" s="11"/>
      <c r="FZD10" s="12"/>
      <c r="FZE10" s="12"/>
      <c r="FZF10" s="12"/>
      <c r="FZG10" s="13"/>
      <c r="FZH10" s="9"/>
      <c r="FZI10" s="9"/>
      <c r="FZJ10" s="9"/>
      <c r="FZK10" s="9"/>
      <c r="FZL10" s="10"/>
      <c r="FZM10" s="11"/>
      <c r="FZN10" s="12"/>
      <c r="FZO10" s="12"/>
      <c r="FZP10" s="12"/>
      <c r="FZQ10" s="13"/>
      <c r="FZR10" s="9"/>
      <c r="FZS10" s="9"/>
      <c r="FZT10" s="9"/>
      <c r="FZU10" s="9"/>
      <c r="FZV10" s="10"/>
      <c r="FZW10" s="11"/>
      <c r="FZX10" s="12"/>
      <c r="FZY10" s="12"/>
      <c r="FZZ10" s="12"/>
      <c r="GAA10" s="13"/>
      <c r="GAB10" s="9"/>
      <c r="GAC10" s="9"/>
      <c r="GAD10" s="9"/>
      <c r="GAE10" s="9"/>
      <c r="GAF10" s="10"/>
      <c r="GAG10" s="11"/>
      <c r="GAH10" s="12"/>
      <c r="GAI10" s="12"/>
      <c r="GAJ10" s="12"/>
      <c r="GAK10" s="13"/>
      <c r="GAL10" s="9"/>
      <c r="GAM10" s="9"/>
      <c r="GAN10" s="9"/>
      <c r="GAO10" s="9"/>
      <c r="GAP10" s="10"/>
      <c r="GAQ10" s="11"/>
      <c r="GAR10" s="12"/>
      <c r="GAS10" s="12"/>
      <c r="GAT10" s="12"/>
      <c r="GAU10" s="13"/>
      <c r="GAV10" s="9"/>
      <c r="GAW10" s="9"/>
      <c r="GAX10" s="9"/>
      <c r="GAY10" s="9"/>
      <c r="GAZ10" s="10"/>
      <c r="GBA10" s="11"/>
      <c r="GBB10" s="12"/>
      <c r="GBC10" s="12"/>
      <c r="GBD10" s="12"/>
      <c r="GBE10" s="13"/>
      <c r="GBF10" s="9"/>
      <c r="GBG10" s="9"/>
      <c r="GBH10" s="9"/>
      <c r="GBI10" s="9"/>
      <c r="GBJ10" s="10"/>
      <c r="GBK10" s="11"/>
      <c r="GBL10" s="12"/>
      <c r="GBM10" s="12"/>
      <c r="GBN10" s="12"/>
      <c r="GBO10" s="13"/>
      <c r="GBP10" s="9"/>
      <c r="GBQ10" s="9"/>
      <c r="GBR10" s="9"/>
      <c r="GBS10" s="9"/>
      <c r="GBT10" s="10"/>
      <c r="GBU10" s="11"/>
      <c r="GBV10" s="12"/>
      <c r="GBW10" s="12"/>
      <c r="GBX10" s="12"/>
      <c r="GBY10" s="13"/>
      <c r="GBZ10" s="9"/>
      <c r="GCA10" s="9"/>
      <c r="GCB10" s="9"/>
      <c r="GCC10" s="9"/>
      <c r="GCD10" s="10"/>
      <c r="GCE10" s="11"/>
      <c r="GCF10" s="12"/>
      <c r="GCG10" s="12"/>
      <c r="GCH10" s="12"/>
      <c r="GCI10" s="13"/>
      <c r="GCJ10" s="9"/>
      <c r="GCK10" s="9"/>
      <c r="GCL10" s="9"/>
      <c r="GCM10" s="9"/>
      <c r="GCN10" s="10"/>
      <c r="GCO10" s="11"/>
      <c r="GCP10" s="12"/>
      <c r="GCQ10" s="12"/>
      <c r="GCR10" s="12"/>
      <c r="GCS10" s="13"/>
      <c r="GCT10" s="9"/>
      <c r="GCU10" s="9"/>
      <c r="GCV10" s="9"/>
      <c r="GCW10" s="9"/>
      <c r="GCX10" s="10"/>
      <c r="GCY10" s="11"/>
      <c r="GCZ10" s="12"/>
      <c r="GDA10" s="12"/>
      <c r="GDB10" s="12"/>
      <c r="GDC10" s="13"/>
      <c r="GDD10" s="9"/>
      <c r="GDE10" s="9"/>
      <c r="GDF10" s="9"/>
      <c r="GDG10" s="9"/>
      <c r="GDH10" s="10"/>
      <c r="GDI10" s="11"/>
      <c r="GDJ10" s="12"/>
      <c r="GDK10" s="12"/>
      <c r="GDL10" s="12"/>
      <c r="GDM10" s="13"/>
      <c r="GDN10" s="9"/>
      <c r="GDO10" s="9"/>
      <c r="GDP10" s="9"/>
      <c r="GDQ10" s="9"/>
      <c r="GDR10" s="10"/>
      <c r="GDS10" s="11"/>
      <c r="GDT10" s="12"/>
      <c r="GDU10" s="12"/>
      <c r="GDV10" s="12"/>
      <c r="GDW10" s="13"/>
      <c r="GDX10" s="9"/>
      <c r="GDY10" s="9"/>
      <c r="GDZ10" s="9"/>
      <c r="GEA10" s="9"/>
      <c r="GEB10" s="10"/>
      <c r="GEC10" s="11"/>
      <c r="GED10" s="12"/>
      <c r="GEE10" s="12"/>
      <c r="GEF10" s="12"/>
      <c r="GEG10" s="13"/>
      <c r="GEH10" s="9"/>
      <c r="GEI10" s="9"/>
      <c r="GEJ10" s="9"/>
      <c r="GEK10" s="9"/>
      <c r="GEL10" s="10"/>
      <c r="GEM10" s="11"/>
      <c r="GEN10" s="12"/>
      <c r="GEO10" s="12"/>
      <c r="GEP10" s="12"/>
      <c r="GEQ10" s="13"/>
      <c r="GER10" s="9"/>
      <c r="GES10" s="9"/>
      <c r="GET10" s="9"/>
      <c r="GEU10" s="9"/>
      <c r="GEV10" s="10"/>
      <c r="GEW10" s="11"/>
      <c r="GEX10" s="12"/>
      <c r="GEY10" s="12"/>
      <c r="GEZ10" s="12"/>
      <c r="GFA10" s="13"/>
      <c r="GFB10" s="9"/>
      <c r="GFC10" s="9"/>
      <c r="GFD10" s="9"/>
      <c r="GFE10" s="9"/>
      <c r="GFF10" s="10"/>
      <c r="GFG10" s="11"/>
      <c r="GFH10" s="12"/>
      <c r="GFI10" s="12"/>
      <c r="GFJ10" s="12"/>
      <c r="GFK10" s="13"/>
      <c r="GFL10" s="9"/>
      <c r="GFM10" s="9"/>
      <c r="GFN10" s="9"/>
      <c r="GFO10" s="9"/>
      <c r="GFP10" s="10"/>
      <c r="GFQ10" s="11"/>
      <c r="GFR10" s="12"/>
      <c r="GFS10" s="12"/>
      <c r="GFT10" s="12"/>
      <c r="GFU10" s="13"/>
      <c r="GFV10" s="9"/>
      <c r="GFW10" s="9"/>
      <c r="GFX10" s="9"/>
      <c r="GFY10" s="9"/>
      <c r="GFZ10" s="10"/>
      <c r="GGA10" s="11"/>
      <c r="GGB10" s="12"/>
      <c r="GGC10" s="12"/>
      <c r="GGD10" s="12"/>
      <c r="GGE10" s="13"/>
      <c r="GGF10" s="9"/>
      <c r="GGG10" s="9"/>
      <c r="GGH10" s="9"/>
      <c r="GGI10" s="9"/>
      <c r="GGJ10" s="10"/>
      <c r="GGK10" s="11"/>
      <c r="GGL10" s="12"/>
      <c r="GGM10" s="12"/>
      <c r="GGN10" s="12"/>
      <c r="GGO10" s="13"/>
      <c r="GGP10" s="9"/>
      <c r="GGQ10" s="9"/>
      <c r="GGR10" s="9"/>
      <c r="GGS10" s="9"/>
      <c r="GGT10" s="10"/>
      <c r="GGU10" s="11"/>
      <c r="GGV10" s="12"/>
      <c r="GGW10" s="12"/>
      <c r="GGX10" s="12"/>
      <c r="GGY10" s="13"/>
      <c r="GGZ10" s="9"/>
      <c r="GHA10" s="9"/>
      <c r="GHB10" s="9"/>
      <c r="GHC10" s="9"/>
      <c r="GHD10" s="10"/>
      <c r="GHE10" s="11"/>
      <c r="GHF10" s="12"/>
      <c r="GHG10" s="12"/>
      <c r="GHH10" s="12"/>
      <c r="GHI10" s="13"/>
      <c r="GHJ10" s="9"/>
      <c r="GHK10" s="9"/>
      <c r="GHL10" s="9"/>
      <c r="GHM10" s="9"/>
      <c r="GHN10" s="10"/>
      <c r="GHO10" s="11"/>
      <c r="GHP10" s="12"/>
      <c r="GHQ10" s="12"/>
      <c r="GHR10" s="12"/>
      <c r="GHS10" s="13"/>
      <c r="GHT10" s="9"/>
      <c r="GHU10" s="9"/>
      <c r="GHV10" s="9"/>
      <c r="GHW10" s="9"/>
      <c r="GHX10" s="10"/>
      <c r="GHY10" s="11"/>
      <c r="GHZ10" s="12"/>
      <c r="GIA10" s="12"/>
      <c r="GIB10" s="12"/>
      <c r="GIC10" s="13"/>
      <c r="GID10" s="9"/>
      <c r="GIE10" s="9"/>
      <c r="GIF10" s="9"/>
      <c r="GIG10" s="9"/>
      <c r="GIH10" s="10"/>
      <c r="GII10" s="11"/>
      <c r="GIJ10" s="12"/>
      <c r="GIK10" s="12"/>
      <c r="GIL10" s="12"/>
      <c r="GIM10" s="13"/>
      <c r="GIN10" s="9"/>
      <c r="GIO10" s="9"/>
      <c r="GIP10" s="9"/>
      <c r="GIQ10" s="9"/>
      <c r="GIR10" s="10"/>
      <c r="GIS10" s="11"/>
      <c r="GIT10" s="12"/>
      <c r="GIU10" s="12"/>
      <c r="GIV10" s="12"/>
      <c r="GIW10" s="13"/>
      <c r="GIX10" s="9"/>
      <c r="GIY10" s="9"/>
      <c r="GIZ10" s="9"/>
      <c r="GJA10" s="9"/>
      <c r="GJB10" s="10"/>
      <c r="GJC10" s="11"/>
      <c r="GJD10" s="12"/>
      <c r="GJE10" s="12"/>
      <c r="GJF10" s="12"/>
      <c r="GJG10" s="13"/>
      <c r="GJH10" s="9"/>
      <c r="GJI10" s="9"/>
      <c r="GJJ10" s="9"/>
      <c r="GJK10" s="9"/>
      <c r="GJL10" s="10"/>
      <c r="GJM10" s="11"/>
      <c r="GJN10" s="12"/>
      <c r="GJO10" s="12"/>
      <c r="GJP10" s="12"/>
      <c r="GJQ10" s="13"/>
      <c r="GJR10" s="9"/>
      <c r="GJS10" s="9"/>
      <c r="GJT10" s="9"/>
      <c r="GJU10" s="9"/>
      <c r="GJV10" s="10"/>
      <c r="GJW10" s="11"/>
      <c r="GJX10" s="12"/>
      <c r="GJY10" s="12"/>
      <c r="GJZ10" s="12"/>
      <c r="GKA10" s="13"/>
      <c r="GKB10" s="9"/>
      <c r="GKC10" s="9"/>
      <c r="GKD10" s="9"/>
      <c r="GKE10" s="9"/>
      <c r="GKF10" s="10"/>
      <c r="GKG10" s="11"/>
      <c r="GKH10" s="12"/>
      <c r="GKI10" s="12"/>
      <c r="GKJ10" s="12"/>
      <c r="GKK10" s="13"/>
      <c r="GKL10" s="9"/>
      <c r="GKM10" s="9"/>
      <c r="GKN10" s="9"/>
      <c r="GKO10" s="9"/>
      <c r="GKP10" s="10"/>
      <c r="GKQ10" s="11"/>
      <c r="GKR10" s="12"/>
      <c r="GKS10" s="12"/>
      <c r="GKT10" s="12"/>
      <c r="GKU10" s="13"/>
      <c r="GKV10" s="9"/>
      <c r="GKW10" s="9"/>
      <c r="GKX10" s="9"/>
      <c r="GKY10" s="9"/>
      <c r="GKZ10" s="10"/>
      <c r="GLA10" s="11"/>
      <c r="GLB10" s="12"/>
      <c r="GLC10" s="12"/>
      <c r="GLD10" s="12"/>
      <c r="GLE10" s="13"/>
      <c r="GLF10" s="9"/>
      <c r="GLG10" s="9"/>
      <c r="GLH10" s="9"/>
      <c r="GLI10" s="9"/>
      <c r="GLJ10" s="10"/>
      <c r="GLK10" s="11"/>
      <c r="GLL10" s="12"/>
      <c r="GLM10" s="12"/>
      <c r="GLN10" s="12"/>
      <c r="GLO10" s="13"/>
      <c r="GLP10" s="9"/>
      <c r="GLQ10" s="9"/>
      <c r="GLR10" s="9"/>
      <c r="GLS10" s="9"/>
      <c r="GLT10" s="10"/>
      <c r="GLU10" s="11"/>
      <c r="GLV10" s="12"/>
      <c r="GLW10" s="12"/>
      <c r="GLX10" s="12"/>
      <c r="GLY10" s="13"/>
      <c r="GLZ10" s="9"/>
      <c r="GMA10" s="9"/>
      <c r="GMB10" s="9"/>
      <c r="GMC10" s="9"/>
      <c r="GMD10" s="10"/>
      <c r="GME10" s="11"/>
      <c r="GMF10" s="12"/>
      <c r="GMG10" s="12"/>
      <c r="GMH10" s="12"/>
      <c r="GMI10" s="13"/>
      <c r="GMJ10" s="9"/>
      <c r="GMK10" s="9"/>
      <c r="GML10" s="9"/>
      <c r="GMM10" s="9"/>
      <c r="GMN10" s="10"/>
      <c r="GMO10" s="11"/>
      <c r="GMP10" s="12"/>
      <c r="GMQ10" s="12"/>
      <c r="GMR10" s="12"/>
      <c r="GMS10" s="13"/>
      <c r="GMT10" s="9"/>
      <c r="GMU10" s="9"/>
      <c r="GMV10" s="9"/>
      <c r="GMW10" s="9"/>
      <c r="GMX10" s="10"/>
      <c r="GMY10" s="11"/>
      <c r="GMZ10" s="12"/>
      <c r="GNA10" s="12"/>
      <c r="GNB10" s="12"/>
      <c r="GNC10" s="13"/>
      <c r="GND10" s="9"/>
      <c r="GNE10" s="9"/>
      <c r="GNF10" s="9"/>
      <c r="GNG10" s="9"/>
      <c r="GNH10" s="10"/>
      <c r="GNI10" s="11"/>
      <c r="GNJ10" s="12"/>
      <c r="GNK10" s="12"/>
      <c r="GNL10" s="12"/>
      <c r="GNM10" s="13"/>
      <c r="GNN10" s="9"/>
      <c r="GNO10" s="9"/>
      <c r="GNP10" s="9"/>
      <c r="GNQ10" s="9"/>
      <c r="GNR10" s="10"/>
      <c r="GNS10" s="11"/>
      <c r="GNT10" s="12"/>
      <c r="GNU10" s="12"/>
      <c r="GNV10" s="12"/>
      <c r="GNW10" s="13"/>
      <c r="GNX10" s="9"/>
      <c r="GNY10" s="9"/>
      <c r="GNZ10" s="9"/>
      <c r="GOA10" s="9"/>
      <c r="GOB10" s="10"/>
      <c r="GOC10" s="11"/>
      <c r="GOD10" s="12"/>
      <c r="GOE10" s="12"/>
      <c r="GOF10" s="12"/>
      <c r="GOG10" s="13"/>
      <c r="GOH10" s="9"/>
      <c r="GOI10" s="9"/>
      <c r="GOJ10" s="9"/>
      <c r="GOK10" s="9"/>
      <c r="GOL10" s="10"/>
      <c r="GOM10" s="11"/>
      <c r="GON10" s="12"/>
      <c r="GOO10" s="12"/>
      <c r="GOP10" s="12"/>
      <c r="GOQ10" s="13"/>
      <c r="GOR10" s="9"/>
      <c r="GOS10" s="9"/>
      <c r="GOT10" s="9"/>
      <c r="GOU10" s="9"/>
      <c r="GOV10" s="10"/>
      <c r="GOW10" s="11"/>
      <c r="GOX10" s="12"/>
      <c r="GOY10" s="12"/>
      <c r="GOZ10" s="12"/>
      <c r="GPA10" s="13"/>
      <c r="GPB10" s="9"/>
      <c r="GPC10" s="9"/>
      <c r="GPD10" s="9"/>
      <c r="GPE10" s="9"/>
      <c r="GPF10" s="10"/>
      <c r="GPG10" s="11"/>
      <c r="GPH10" s="12"/>
      <c r="GPI10" s="12"/>
      <c r="GPJ10" s="12"/>
      <c r="GPK10" s="13"/>
      <c r="GPL10" s="9"/>
      <c r="GPM10" s="9"/>
      <c r="GPN10" s="9"/>
      <c r="GPO10" s="9"/>
      <c r="GPP10" s="10"/>
      <c r="GPQ10" s="11"/>
      <c r="GPR10" s="12"/>
      <c r="GPS10" s="12"/>
      <c r="GPT10" s="12"/>
      <c r="GPU10" s="13"/>
      <c r="GPV10" s="9"/>
      <c r="GPW10" s="9"/>
      <c r="GPX10" s="9"/>
      <c r="GPY10" s="9"/>
      <c r="GPZ10" s="10"/>
      <c r="GQA10" s="11"/>
      <c r="GQB10" s="12"/>
      <c r="GQC10" s="12"/>
      <c r="GQD10" s="12"/>
      <c r="GQE10" s="13"/>
      <c r="GQF10" s="9"/>
      <c r="GQG10" s="9"/>
      <c r="GQH10" s="9"/>
      <c r="GQI10" s="9"/>
      <c r="GQJ10" s="10"/>
      <c r="GQK10" s="11"/>
      <c r="GQL10" s="12"/>
      <c r="GQM10" s="12"/>
      <c r="GQN10" s="12"/>
      <c r="GQO10" s="13"/>
      <c r="GQP10" s="9"/>
      <c r="GQQ10" s="9"/>
      <c r="GQR10" s="9"/>
      <c r="GQS10" s="9"/>
      <c r="GQT10" s="10"/>
      <c r="GQU10" s="11"/>
      <c r="GQV10" s="12"/>
      <c r="GQW10" s="12"/>
      <c r="GQX10" s="12"/>
      <c r="GQY10" s="13"/>
      <c r="GQZ10" s="9"/>
      <c r="GRA10" s="9"/>
      <c r="GRB10" s="9"/>
      <c r="GRC10" s="9"/>
      <c r="GRD10" s="10"/>
      <c r="GRE10" s="11"/>
      <c r="GRF10" s="12"/>
      <c r="GRG10" s="12"/>
      <c r="GRH10" s="12"/>
      <c r="GRI10" s="13"/>
      <c r="GRJ10" s="9"/>
      <c r="GRK10" s="9"/>
      <c r="GRL10" s="9"/>
      <c r="GRM10" s="9"/>
      <c r="GRN10" s="10"/>
      <c r="GRO10" s="11"/>
      <c r="GRP10" s="12"/>
      <c r="GRQ10" s="12"/>
      <c r="GRR10" s="12"/>
      <c r="GRS10" s="13"/>
      <c r="GRT10" s="9"/>
      <c r="GRU10" s="9"/>
      <c r="GRV10" s="9"/>
      <c r="GRW10" s="9"/>
      <c r="GRX10" s="10"/>
      <c r="GRY10" s="11"/>
      <c r="GRZ10" s="12"/>
      <c r="GSA10" s="12"/>
      <c r="GSB10" s="12"/>
      <c r="GSC10" s="13"/>
      <c r="GSD10" s="9"/>
      <c r="GSE10" s="9"/>
      <c r="GSF10" s="9"/>
      <c r="GSG10" s="9"/>
      <c r="GSH10" s="10"/>
      <c r="GSI10" s="11"/>
      <c r="GSJ10" s="12"/>
      <c r="GSK10" s="12"/>
      <c r="GSL10" s="12"/>
      <c r="GSM10" s="13"/>
      <c r="GSN10" s="9"/>
      <c r="GSO10" s="9"/>
      <c r="GSP10" s="9"/>
      <c r="GSQ10" s="9"/>
      <c r="GSR10" s="10"/>
      <c r="GSS10" s="11"/>
      <c r="GST10" s="12"/>
      <c r="GSU10" s="12"/>
      <c r="GSV10" s="12"/>
      <c r="GSW10" s="13"/>
      <c r="GSX10" s="9"/>
      <c r="GSY10" s="9"/>
      <c r="GSZ10" s="9"/>
      <c r="GTA10" s="9"/>
      <c r="GTB10" s="10"/>
      <c r="GTC10" s="11"/>
      <c r="GTD10" s="12"/>
      <c r="GTE10" s="12"/>
      <c r="GTF10" s="12"/>
      <c r="GTG10" s="13"/>
      <c r="GTH10" s="9"/>
      <c r="GTI10" s="9"/>
      <c r="GTJ10" s="9"/>
      <c r="GTK10" s="9"/>
      <c r="GTL10" s="10"/>
      <c r="GTM10" s="11"/>
      <c r="GTN10" s="12"/>
      <c r="GTO10" s="12"/>
      <c r="GTP10" s="12"/>
      <c r="GTQ10" s="13"/>
      <c r="GTR10" s="9"/>
      <c r="GTS10" s="9"/>
      <c r="GTT10" s="9"/>
      <c r="GTU10" s="9"/>
      <c r="GTV10" s="10"/>
      <c r="GTW10" s="11"/>
      <c r="GTX10" s="12"/>
      <c r="GTY10" s="12"/>
      <c r="GTZ10" s="12"/>
      <c r="GUA10" s="13"/>
      <c r="GUB10" s="9"/>
      <c r="GUC10" s="9"/>
      <c r="GUD10" s="9"/>
      <c r="GUE10" s="9"/>
      <c r="GUF10" s="10"/>
      <c r="GUG10" s="11"/>
      <c r="GUH10" s="12"/>
      <c r="GUI10" s="12"/>
      <c r="GUJ10" s="12"/>
      <c r="GUK10" s="13"/>
      <c r="GUL10" s="9"/>
      <c r="GUM10" s="9"/>
      <c r="GUN10" s="9"/>
      <c r="GUO10" s="9"/>
      <c r="GUP10" s="10"/>
      <c r="GUQ10" s="11"/>
      <c r="GUR10" s="12"/>
      <c r="GUS10" s="12"/>
      <c r="GUT10" s="12"/>
      <c r="GUU10" s="13"/>
      <c r="GUV10" s="9"/>
      <c r="GUW10" s="9"/>
      <c r="GUX10" s="9"/>
      <c r="GUY10" s="9"/>
      <c r="GUZ10" s="10"/>
      <c r="GVA10" s="11"/>
      <c r="GVB10" s="12"/>
      <c r="GVC10" s="12"/>
      <c r="GVD10" s="12"/>
      <c r="GVE10" s="13"/>
      <c r="GVF10" s="9"/>
      <c r="GVG10" s="9"/>
      <c r="GVH10" s="9"/>
      <c r="GVI10" s="9"/>
      <c r="GVJ10" s="10"/>
      <c r="GVK10" s="11"/>
      <c r="GVL10" s="12"/>
      <c r="GVM10" s="12"/>
      <c r="GVN10" s="12"/>
      <c r="GVO10" s="13"/>
      <c r="GVP10" s="9"/>
      <c r="GVQ10" s="9"/>
      <c r="GVR10" s="9"/>
      <c r="GVS10" s="9"/>
      <c r="GVT10" s="10"/>
      <c r="GVU10" s="11"/>
      <c r="GVV10" s="12"/>
      <c r="GVW10" s="12"/>
      <c r="GVX10" s="12"/>
      <c r="GVY10" s="13"/>
      <c r="GVZ10" s="9"/>
      <c r="GWA10" s="9"/>
      <c r="GWB10" s="9"/>
      <c r="GWC10" s="9"/>
      <c r="GWD10" s="10"/>
      <c r="GWE10" s="11"/>
      <c r="GWF10" s="12"/>
      <c r="GWG10" s="12"/>
      <c r="GWH10" s="12"/>
      <c r="GWI10" s="13"/>
      <c r="GWJ10" s="9"/>
      <c r="GWK10" s="9"/>
      <c r="GWL10" s="9"/>
      <c r="GWM10" s="9"/>
      <c r="GWN10" s="10"/>
      <c r="GWO10" s="11"/>
      <c r="GWP10" s="12"/>
      <c r="GWQ10" s="12"/>
      <c r="GWR10" s="12"/>
      <c r="GWS10" s="13"/>
      <c r="GWT10" s="9"/>
      <c r="GWU10" s="9"/>
      <c r="GWV10" s="9"/>
      <c r="GWW10" s="9"/>
      <c r="GWX10" s="10"/>
      <c r="GWY10" s="11"/>
      <c r="GWZ10" s="12"/>
      <c r="GXA10" s="12"/>
      <c r="GXB10" s="12"/>
      <c r="GXC10" s="13"/>
      <c r="GXD10" s="9"/>
      <c r="GXE10" s="9"/>
      <c r="GXF10" s="9"/>
      <c r="GXG10" s="9"/>
      <c r="GXH10" s="10"/>
      <c r="GXI10" s="11"/>
      <c r="GXJ10" s="12"/>
      <c r="GXK10" s="12"/>
      <c r="GXL10" s="12"/>
      <c r="GXM10" s="13"/>
      <c r="GXN10" s="9"/>
      <c r="GXO10" s="9"/>
      <c r="GXP10" s="9"/>
      <c r="GXQ10" s="9"/>
      <c r="GXR10" s="10"/>
      <c r="GXS10" s="11"/>
      <c r="GXT10" s="12"/>
      <c r="GXU10" s="12"/>
      <c r="GXV10" s="12"/>
      <c r="GXW10" s="13"/>
      <c r="GXX10" s="9"/>
      <c r="GXY10" s="9"/>
      <c r="GXZ10" s="9"/>
      <c r="GYA10" s="9"/>
      <c r="GYB10" s="10"/>
      <c r="GYC10" s="11"/>
      <c r="GYD10" s="12"/>
      <c r="GYE10" s="12"/>
      <c r="GYF10" s="12"/>
      <c r="GYG10" s="13"/>
      <c r="GYH10" s="9"/>
      <c r="GYI10" s="9"/>
      <c r="GYJ10" s="9"/>
      <c r="GYK10" s="9"/>
      <c r="GYL10" s="10"/>
      <c r="GYM10" s="11"/>
      <c r="GYN10" s="12"/>
      <c r="GYO10" s="12"/>
      <c r="GYP10" s="12"/>
      <c r="GYQ10" s="13"/>
      <c r="GYR10" s="9"/>
      <c r="GYS10" s="9"/>
      <c r="GYT10" s="9"/>
      <c r="GYU10" s="9"/>
      <c r="GYV10" s="10"/>
      <c r="GYW10" s="11"/>
      <c r="GYX10" s="12"/>
      <c r="GYY10" s="12"/>
      <c r="GYZ10" s="12"/>
      <c r="GZA10" s="13"/>
      <c r="GZB10" s="9"/>
      <c r="GZC10" s="9"/>
      <c r="GZD10" s="9"/>
      <c r="GZE10" s="9"/>
      <c r="GZF10" s="10"/>
      <c r="GZG10" s="11"/>
      <c r="GZH10" s="12"/>
      <c r="GZI10" s="12"/>
      <c r="GZJ10" s="12"/>
      <c r="GZK10" s="13"/>
      <c r="GZL10" s="9"/>
      <c r="GZM10" s="9"/>
      <c r="GZN10" s="9"/>
      <c r="GZO10" s="9"/>
      <c r="GZP10" s="10"/>
      <c r="GZQ10" s="11"/>
      <c r="GZR10" s="12"/>
      <c r="GZS10" s="12"/>
      <c r="GZT10" s="12"/>
      <c r="GZU10" s="13"/>
      <c r="GZV10" s="9"/>
      <c r="GZW10" s="9"/>
      <c r="GZX10" s="9"/>
      <c r="GZY10" s="9"/>
      <c r="GZZ10" s="10"/>
      <c r="HAA10" s="11"/>
      <c r="HAB10" s="12"/>
      <c r="HAC10" s="12"/>
      <c r="HAD10" s="12"/>
      <c r="HAE10" s="13"/>
      <c r="HAF10" s="9"/>
      <c r="HAG10" s="9"/>
      <c r="HAH10" s="9"/>
      <c r="HAI10" s="9"/>
      <c r="HAJ10" s="10"/>
      <c r="HAK10" s="11"/>
      <c r="HAL10" s="12"/>
      <c r="HAM10" s="12"/>
      <c r="HAN10" s="12"/>
      <c r="HAO10" s="13"/>
      <c r="HAP10" s="9"/>
      <c r="HAQ10" s="9"/>
      <c r="HAR10" s="9"/>
      <c r="HAS10" s="9"/>
      <c r="HAT10" s="10"/>
      <c r="HAU10" s="11"/>
      <c r="HAV10" s="12"/>
      <c r="HAW10" s="12"/>
      <c r="HAX10" s="12"/>
      <c r="HAY10" s="13"/>
      <c r="HAZ10" s="9"/>
      <c r="HBA10" s="9"/>
      <c r="HBB10" s="9"/>
      <c r="HBC10" s="9"/>
      <c r="HBD10" s="10"/>
      <c r="HBE10" s="11"/>
      <c r="HBF10" s="12"/>
      <c r="HBG10" s="12"/>
      <c r="HBH10" s="12"/>
      <c r="HBI10" s="13"/>
      <c r="HBJ10" s="9"/>
      <c r="HBK10" s="9"/>
      <c r="HBL10" s="9"/>
      <c r="HBM10" s="9"/>
      <c r="HBN10" s="10"/>
      <c r="HBO10" s="11"/>
      <c r="HBP10" s="12"/>
      <c r="HBQ10" s="12"/>
      <c r="HBR10" s="12"/>
      <c r="HBS10" s="13"/>
      <c r="HBT10" s="9"/>
      <c r="HBU10" s="9"/>
      <c r="HBV10" s="9"/>
      <c r="HBW10" s="9"/>
      <c r="HBX10" s="10"/>
      <c r="HBY10" s="11"/>
      <c r="HBZ10" s="12"/>
      <c r="HCA10" s="12"/>
      <c r="HCB10" s="12"/>
      <c r="HCC10" s="13"/>
      <c r="HCD10" s="9"/>
      <c r="HCE10" s="9"/>
      <c r="HCF10" s="9"/>
      <c r="HCG10" s="9"/>
      <c r="HCH10" s="10"/>
      <c r="HCI10" s="11"/>
      <c r="HCJ10" s="12"/>
      <c r="HCK10" s="12"/>
      <c r="HCL10" s="12"/>
      <c r="HCM10" s="13"/>
      <c r="HCN10" s="9"/>
      <c r="HCO10" s="9"/>
      <c r="HCP10" s="9"/>
      <c r="HCQ10" s="9"/>
      <c r="HCR10" s="10"/>
      <c r="HCS10" s="11"/>
      <c r="HCT10" s="12"/>
      <c r="HCU10" s="12"/>
      <c r="HCV10" s="12"/>
      <c r="HCW10" s="13"/>
      <c r="HCX10" s="9"/>
      <c r="HCY10" s="9"/>
      <c r="HCZ10" s="9"/>
      <c r="HDA10" s="9"/>
      <c r="HDB10" s="10"/>
      <c r="HDC10" s="11"/>
      <c r="HDD10" s="12"/>
      <c r="HDE10" s="12"/>
      <c r="HDF10" s="12"/>
      <c r="HDG10" s="13"/>
      <c r="HDH10" s="9"/>
      <c r="HDI10" s="9"/>
      <c r="HDJ10" s="9"/>
      <c r="HDK10" s="9"/>
      <c r="HDL10" s="10"/>
      <c r="HDM10" s="11"/>
      <c r="HDN10" s="12"/>
      <c r="HDO10" s="12"/>
      <c r="HDP10" s="12"/>
      <c r="HDQ10" s="13"/>
      <c r="HDR10" s="9"/>
      <c r="HDS10" s="9"/>
      <c r="HDT10" s="9"/>
      <c r="HDU10" s="9"/>
      <c r="HDV10" s="10"/>
      <c r="HDW10" s="11"/>
      <c r="HDX10" s="12"/>
      <c r="HDY10" s="12"/>
      <c r="HDZ10" s="12"/>
      <c r="HEA10" s="13"/>
      <c r="HEB10" s="9"/>
      <c r="HEC10" s="9"/>
      <c r="HED10" s="9"/>
      <c r="HEE10" s="9"/>
      <c r="HEF10" s="10"/>
      <c r="HEG10" s="11"/>
      <c r="HEH10" s="12"/>
      <c r="HEI10" s="12"/>
      <c r="HEJ10" s="12"/>
      <c r="HEK10" s="13"/>
      <c r="HEL10" s="9"/>
      <c r="HEM10" s="9"/>
      <c r="HEN10" s="9"/>
      <c r="HEO10" s="9"/>
      <c r="HEP10" s="10"/>
      <c r="HEQ10" s="11"/>
      <c r="HER10" s="12"/>
      <c r="HES10" s="12"/>
      <c r="HET10" s="12"/>
      <c r="HEU10" s="13"/>
      <c r="HEV10" s="9"/>
      <c r="HEW10" s="9"/>
      <c r="HEX10" s="9"/>
      <c r="HEY10" s="9"/>
      <c r="HEZ10" s="10"/>
      <c r="HFA10" s="11"/>
      <c r="HFB10" s="12"/>
      <c r="HFC10" s="12"/>
      <c r="HFD10" s="12"/>
      <c r="HFE10" s="13"/>
      <c r="HFF10" s="9"/>
      <c r="HFG10" s="9"/>
      <c r="HFH10" s="9"/>
      <c r="HFI10" s="9"/>
      <c r="HFJ10" s="10"/>
      <c r="HFK10" s="11"/>
      <c r="HFL10" s="12"/>
      <c r="HFM10" s="12"/>
      <c r="HFN10" s="12"/>
      <c r="HFO10" s="13"/>
      <c r="HFP10" s="9"/>
      <c r="HFQ10" s="9"/>
      <c r="HFR10" s="9"/>
      <c r="HFS10" s="9"/>
      <c r="HFT10" s="10"/>
      <c r="HFU10" s="11"/>
      <c r="HFV10" s="12"/>
      <c r="HFW10" s="12"/>
      <c r="HFX10" s="12"/>
      <c r="HFY10" s="13"/>
      <c r="HFZ10" s="9"/>
      <c r="HGA10" s="9"/>
      <c r="HGB10" s="9"/>
      <c r="HGC10" s="9"/>
      <c r="HGD10" s="10"/>
      <c r="HGE10" s="11"/>
      <c r="HGF10" s="12"/>
      <c r="HGG10" s="12"/>
      <c r="HGH10" s="12"/>
      <c r="HGI10" s="13"/>
      <c r="HGJ10" s="9"/>
      <c r="HGK10" s="9"/>
      <c r="HGL10" s="9"/>
      <c r="HGM10" s="9"/>
      <c r="HGN10" s="10"/>
      <c r="HGO10" s="11"/>
      <c r="HGP10" s="12"/>
      <c r="HGQ10" s="12"/>
      <c r="HGR10" s="12"/>
      <c r="HGS10" s="13"/>
      <c r="HGT10" s="9"/>
      <c r="HGU10" s="9"/>
      <c r="HGV10" s="9"/>
      <c r="HGW10" s="9"/>
      <c r="HGX10" s="10"/>
      <c r="HGY10" s="11"/>
      <c r="HGZ10" s="12"/>
      <c r="HHA10" s="12"/>
      <c r="HHB10" s="12"/>
      <c r="HHC10" s="13"/>
      <c r="HHD10" s="9"/>
      <c r="HHE10" s="9"/>
      <c r="HHF10" s="9"/>
      <c r="HHG10" s="9"/>
      <c r="HHH10" s="10"/>
      <c r="HHI10" s="11"/>
      <c r="HHJ10" s="12"/>
      <c r="HHK10" s="12"/>
      <c r="HHL10" s="12"/>
      <c r="HHM10" s="13"/>
      <c r="HHN10" s="9"/>
      <c r="HHO10" s="9"/>
      <c r="HHP10" s="9"/>
      <c r="HHQ10" s="9"/>
      <c r="HHR10" s="10"/>
      <c r="HHS10" s="11"/>
      <c r="HHT10" s="12"/>
      <c r="HHU10" s="12"/>
      <c r="HHV10" s="12"/>
      <c r="HHW10" s="13"/>
      <c r="HHX10" s="9"/>
      <c r="HHY10" s="9"/>
      <c r="HHZ10" s="9"/>
      <c r="HIA10" s="9"/>
      <c r="HIB10" s="10"/>
      <c r="HIC10" s="11"/>
      <c r="HID10" s="12"/>
      <c r="HIE10" s="12"/>
      <c r="HIF10" s="12"/>
      <c r="HIG10" s="13"/>
      <c r="HIH10" s="9"/>
      <c r="HII10" s="9"/>
      <c r="HIJ10" s="9"/>
      <c r="HIK10" s="9"/>
      <c r="HIL10" s="10"/>
      <c r="HIM10" s="11"/>
      <c r="HIN10" s="12"/>
      <c r="HIO10" s="12"/>
      <c r="HIP10" s="12"/>
      <c r="HIQ10" s="13"/>
      <c r="HIR10" s="9"/>
      <c r="HIS10" s="9"/>
      <c r="HIT10" s="9"/>
      <c r="HIU10" s="9"/>
      <c r="HIV10" s="10"/>
      <c r="HIW10" s="11"/>
      <c r="HIX10" s="12"/>
      <c r="HIY10" s="12"/>
      <c r="HIZ10" s="12"/>
      <c r="HJA10" s="13"/>
      <c r="HJB10" s="9"/>
      <c r="HJC10" s="9"/>
      <c r="HJD10" s="9"/>
      <c r="HJE10" s="9"/>
      <c r="HJF10" s="10"/>
      <c r="HJG10" s="11"/>
      <c r="HJH10" s="12"/>
      <c r="HJI10" s="12"/>
      <c r="HJJ10" s="12"/>
      <c r="HJK10" s="13"/>
      <c r="HJL10" s="9"/>
      <c r="HJM10" s="9"/>
      <c r="HJN10" s="9"/>
      <c r="HJO10" s="9"/>
      <c r="HJP10" s="10"/>
      <c r="HJQ10" s="11"/>
      <c r="HJR10" s="12"/>
      <c r="HJS10" s="12"/>
      <c r="HJT10" s="12"/>
      <c r="HJU10" s="13"/>
      <c r="HJV10" s="9"/>
      <c r="HJW10" s="9"/>
      <c r="HJX10" s="9"/>
      <c r="HJY10" s="9"/>
      <c r="HJZ10" s="10"/>
      <c r="HKA10" s="11"/>
      <c r="HKB10" s="12"/>
      <c r="HKC10" s="12"/>
      <c r="HKD10" s="12"/>
      <c r="HKE10" s="13"/>
      <c r="HKF10" s="9"/>
      <c r="HKG10" s="9"/>
      <c r="HKH10" s="9"/>
      <c r="HKI10" s="9"/>
      <c r="HKJ10" s="10"/>
      <c r="HKK10" s="11"/>
      <c r="HKL10" s="12"/>
      <c r="HKM10" s="12"/>
      <c r="HKN10" s="12"/>
      <c r="HKO10" s="13"/>
      <c r="HKP10" s="9"/>
      <c r="HKQ10" s="9"/>
      <c r="HKR10" s="9"/>
      <c r="HKS10" s="9"/>
      <c r="HKT10" s="10"/>
      <c r="HKU10" s="11"/>
      <c r="HKV10" s="12"/>
      <c r="HKW10" s="12"/>
      <c r="HKX10" s="12"/>
      <c r="HKY10" s="13"/>
      <c r="HKZ10" s="9"/>
      <c r="HLA10" s="9"/>
      <c r="HLB10" s="9"/>
      <c r="HLC10" s="9"/>
      <c r="HLD10" s="10"/>
      <c r="HLE10" s="11"/>
      <c r="HLF10" s="12"/>
      <c r="HLG10" s="12"/>
      <c r="HLH10" s="12"/>
      <c r="HLI10" s="13"/>
      <c r="HLJ10" s="9"/>
      <c r="HLK10" s="9"/>
      <c r="HLL10" s="9"/>
      <c r="HLM10" s="9"/>
      <c r="HLN10" s="10"/>
      <c r="HLO10" s="11"/>
      <c r="HLP10" s="12"/>
      <c r="HLQ10" s="12"/>
      <c r="HLR10" s="12"/>
      <c r="HLS10" s="13"/>
      <c r="HLT10" s="9"/>
      <c r="HLU10" s="9"/>
      <c r="HLV10" s="9"/>
      <c r="HLW10" s="9"/>
      <c r="HLX10" s="10"/>
      <c r="HLY10" s="11"/>
      <c r="HLZ10" s="12"/>
      <c r="HMA10" s="12"/>
      <c r="HMB10" s="12"/>
      <c r="HMC10" s="13"/>
      <c r="HMD10" s="9"/>
      <c r="HME10" s="9"/>
      <c r="HMF10" s="9"/>
      <c r="HMG10" s="9"/>
      <c r="HMH10" s="10"/>
      <c r="HMI10" s="11"/>
      <c r="HMJ10" s="12"/>
      <c r="HMK10" s="12"/>
      <c r="HML10" s="12"/>
      <c r="HMM10" s="13"/>
      <c r="HMN10" s="9"/>
      <c r="HMO10" s="9"/>
      <c r="HMP10" s="9"/>
      <c r="HMQ10" s="9"/>
      <c r="HMR10" s="10"/>
      <c r="HMS10" s="11"/>
      <c r="HMT10" s="12"/>
      <c r="HMU10" s="12"/>
      <c r="HMV10" s="12"/>
      <c r="HMW10" s="13"/>
      <c r="HMX10" s="9"/>
      <c r="HMY10" s="9"/>
      <c r="HMZ10" s="9"/>
      <c r="HNA10" s="9"/>
      <c r="HNB10" s="10"/>
      <c r="HNC10" s="11"/>
      <c r="HND10" s="12"/>
      <c r="HNE10" s="12"/>
      <c r="HNF10" s="12"/>
      <c r="HNG10" s="13"/>
      <c r="HNH10" s="9"/>
      <c r="HNI10" s="9"/>
      <c r="HNJ10" s="9"/>
      <c r="HNK10" s="9"/>
      <c r="HNL10" s="10"/>
      <c r="HNM10" s="11"/>
      <c r="HNN10" s="12"/>
      <c r="HNO10" s="12"/>
      <c r="HNP10" s="12"/>
      <c r="HNQ10" s="13"/>
      <c r="HNR10" s="9"/>
      <c r="HNS10" s="9"/>
      <c r="HNT10" s="9"/>
      <c r="HNU10" s="9"/>
      <c r="HNV10" s="10"/>
      <c r="HNW10" s="11"/>
      <c r="HNX10" s="12"/>
      <c r="HNY10" s="12"/>
      <c r="HNZ10" s="12"/>
      <c r="HOA10" s="13"/>
      <c r="HOB10" s="9"/>
      <c r="HOC10" s="9"/>
      <c r="HOD10" s="9"/>
      <c r="HOE10" s="9"/>
      <c r="HOF10" s="10"/>
      <c r="HOG10" s="11"/>
      <c r="HOH10" s="12"/>
      <c r="HOI10" s="12"/>
      <c r="HOJ10" s="12"/>
      <c r="HOK10" s="13"/>
      <c r="HOL10" s="9"/>
      <c r="HOM10" s="9"/>
      <c r="HON10" s="9"/>
      <c r="HOO10" s="9"/>
      <c r="HOP10" s="10"/>
      <c r="HOQ10" s="11"/>
      <c r="HOR10" s="12"/>
      <c r="HOS10" s="12"/>
      <c r="HOT10" s="12"/>
      <c r="HOU10" s="13"/>
      <c r="HOV10" s="9"/>
      <c r="HOW10" s="9"/>
      <c r="HOX10" s="9"/>
      <c r="HOY10" s="9"/>
      <c r="HOZ10" s="10"/>
      <c r="HPA10" s="11"/>
      <c r="HPB10" s="12"/>
      <c r="HPC10" s="12"/>
      <c r="HPD10" s="12"/>
      <c r="HPE10" s="13"/>
      <c r="HPF10" s="9"/>
      <c r="HPG10" s="9"/>
      <c r="HPH10" s="9"/>
      <c r="HPI10" s="9"/>
      <c r="HPJ10" s="10"/>
      <c r="HPK10" s="11"/>
      <c r="HPL10" s="12"/>
      <c r="HPM10" s="12"/>
      <c r="HPN10" s="12"/>
      <c r="HPO10" s="13"/>
      <c r="HPP10" s="9"/>
      <c r="HPQ10" s="9"/>
      <c r="HPR10" s="9"/>
      <c r="HPS10" s="9"/>
      <c r="HPT10" s="10"/>
      <c r="HPU10" s="11"/>
      <c r="HPV10" s="12"/>
      <c r="HPW10" s="12"/>
      <c r="HPX10" s="12"/>
      <c r="HPY10" s="13"/>
      <c r="HPZ10" s="9"/>
      <c r="HQA10" s="9"/>
      <c r="HQB10" s="9"/>
      <c r="HQC10" s="9"/>
      <c r="HQD10" s="10"/>
      <c r="HQE10" s="11"/>
      <c r="HQF10" s="12"/>
      <c r="HQG10" s="12"/>
      <c r="HQH10" s="12"/>
      <c r="HQI10" s="13"/>
      <c r="HQJ10" s="9"/>
      <c r="HQK10" s="9"/>
      <c r="HQL10" s="9"/>
      <c r="HQM10" s="9"/>
      <c r="HQN10" s="10"/>
      <c r="HQO10" s="11"/>
      <c r="HQP10" s="12"/>
      <c r="HQQ10" s="12"/>
      <c r="HQR10" s="12"/>
      <c r="HQS10" s="13"/>
      <c r="HQT10" s="9"/>
      <c r="HQU10" s="9"/>
      <c r="HQV10" s="9"/>
      <c r="HQW10" s="9"/>
      <c r="HQX10" s="10"/>
      <c r="HQY10" s="11"/>
      <c r="HQZ10" s="12"/>
      <c r="HRA10" s="12"/>
      <c r="HRB10" s="12"/>
      <c r="HRC10" s="13"/>
      <c r="HRD10" s="9"/>
      <c r="HRE10" s="9"/>
      <c r="HRF10" s="9"/>
      <c r="HRG10" s="9"/>
      <c r="HRH10" s="10"/>
      <c r="HRI10" s="11"/>
      <c r="HRJ10" s="12"/>
      <c r="HRK10" s="12"/>
      <c r="HRL10" s="12"/>
      <c r="HRM10" s="13"/>
      <c r="HRN10" s="9"/>
      <c r="HRO10" s="9"/>
      <c r="HRP10" s="9"/>
      <c r="HRQ10" s="9"/>
      <c r="HRR10" s="10"/>
      <c r="HRS10" s="11"/>
      <c r="HRT10" s="12"/>
      <c r="HRU10" s="12"/>
      <c r="HRV10" s="12"/>
      <c r="HRW10" s="13"/>
      <c r="HRX10" s="9"/>
      <c r="HRY10" s="9"/>
      <c r="HRZ10" s="9"/>
      <c r="HSA10" s="9"/>
      <c r="HSB10" s="10"/>
      <c r="HSC10" s="11"/>
      <c r="HSD10" s="12"/>
      <c r="HSE10" s="12"/>
      <c r="HSF10" s="12"/>
      <c r="HSG10" s="13"/>
      <c r="HSH10" s="9"/>
      <c r="HSI10" s="9"/>
      <c r="HSJ10" s="9"/>
      <c r="HSK10" s="9"/>
      <c r="HSL10" s="10"/>
      <c r="HSM10" s="11"/>
      <c r="HSN10" s="12"/>
      <c r="HSO10" s="12"/>
      <c r="HSP10" s="12"/>
      <c r="HSQ10" s="13"/>
      <c r="HSR10" s="9"/>
      <c r="HSS10" s="9"/>
      <c r="HST10" s="9"/>
      <c r="HSU10" s="9"/>
      <c r="HSV10" s="10"/>
      <c r="HSW10" s="11"/>
      <c r="HSX10" s="12"/>
      <c r="HSY10" s="12"/>
      <c r="HSZ10" s="12"/>
      <c r="HTA10" s="13"/>
      <c r="HTB10" s="9"/>
      <c r="HTC10" s="9"/>
      <c r="HTD10" s="9"/>
      <c r="HTE10" s="9"/>
      <c r="HTF10" s="10"/>
      <c r="HTG10" s="11"/>
      <c r="HTH10" s="12"/>
      <c r="HTI10" s="12"/>
      <c r="HTJ10" s="12"/>
      <c r="HTK10" s="13"/>
      <c r="HTL10" s="9"/>
      <c r="HTM10" s="9"/>
      <c r="HTN10" s="9"/>
      <c r="HTO10" s="9"/>
      <c r="HTP10" s="10"/>
      <c r="HTQ10" s="11"/>
      <c r="HTR10" s="12"/>
      <c r="HTS10" s="12"/>
      <c r="HTT10" s="12"/>
      <c r="HTU10" s="13"/>
      <c r="HTV10" s="9"/>
      <c r="HTW10" s="9"/>
      <c r="HTX10" s="9"/>
      <c r="HTY10" s="9"/>
      <c r="HTZ10" s="10"/>
      <c r="HUA10" s="11"/>
      <c r="HUB10" s="12"/>
      <c r="HUC10" s="12"/>
      <c r="HUD10" s="12"/>
      <c r="HUE10" s="13"/>
      <c r="HUF10" s="9"/>
      <c r="HUG10" s="9"/>
      <c r="HUH10" s="9"/>
      <c r="HUI10" s="9"/>
      <c r="HUJ10" s="10"/>
      <c r="HUK10" s="11"/>
      <c r="HUL10" s="12"/>
      <c r="HUM10" s="12"/>
      <c r="HUN10" s="12"/>
      <c r="HUO10" s="13"/>
      <c r="HUP10" s="9"/>
      <c r="HUQ10" s="9"/>
      <c r="HUR10" s="9"/>
      <c r="HUS10" s="9"/>
      <c r="HUT10" s="10"/>
      <c r="HUU10" s="11"/>
      <c r="HUV10" s="12"/>
      <c r="HUW10" s="12"/>
      <c r="HUX10" s="12"/>
      <c r="HUY10" s="13"/>
      <c r="HUZ10" s="9"/>
      <c r="HVA10" s="9"/>
      <c r="HVB10" s="9"/>
      <c r="HVC10" s="9"/>
      <c r="HVD10" s="10"/>
      <c r="HVE10" s="11"/>
      <c r="HVF10" s="12"/>
      <c r="HVG10" s="12"/>
      <c r="HVH10" s="12"/>
      <c r="HVI10" s="13"/>
      <c r="HVJ10" s="9"/>
      <c r="HVK10" s="9"/>
      <c r="HVL10" s="9"/>
      <c r="HVM10" s="9"/>
      <c r="HVN10" s="10"/>
      <c r="HVO10" s="11"/>
      <c r="HVP10" s="12"/>
      <c r="HVQ10" s="12"/>
      <c r="HVR10" s="12"/>
      <c r="HVS10" s="13"/>
      <c r="HVT10" s="9"/>
      <c r="HVU10" s="9"/>
      <c r="HVV10" s="9"/>
      <c r="HVW10" s="9"/>
      <c r="HVX10" s="10"/>
      <c r="HVY10" s="11"/>
      <c r="HVZ10" s="12"/>
      <c r="HWA10" s="12"/>
      <c r="HWB10" s="12"/>
      <c r="HWC10" s="13"/>
      <c r="HWD10" s="9"/>
      <c r="HWE10" s="9"/>
      <c r="HWF10" s="9"/>
      <c r="HWG10" s="9"/>
      <c r="HWH10" s="10"/>
      <c r="HWI10" s="11"/>
      <c r="HWJ10" s="12"/>
      <c r="HWK10" s="12"/>
      <c r="HWL10" s="12"/>
      <c r="HWM10" s="13"/>
      <c r="HWN10" s="9"/>
      <c r="HWO10" s="9"/>
      <c r="HWP10" s="9"/>
      <c r="HWQ10" s="9"/>
      <c r="HWR10" s="10"/>
      <c r="HWS10" s="11"/>
      <c r="HWT10" s="12"/>
      <c r="HWU10" s="12"/>
      <c r="HWV10" s="12"/>
      <c r="HWW10" s="13"/>
      <c r="HWX10" s="9"/>
      <c r="HWY10" s="9"/>
      <c r="HWZ10" s="9"/>
      <c r="HXA10" s="9"/>
      <c r="HXB10" s="10"/>
      <c r="HXC10" s="11"/>
      <c r="HXD10" s="12"/>
      <c r="HXE10" s="12"/>
      <c r="HXF10" s="12"/>
      <c r="HXG10" s="13"/>
      <c r="HXH10" s="9"/>
      <c r="HXI10" s="9"/>
      <c r="HXJ10" s="9"/>
      <c r="HXK10" s="9"/>
      <c r="HXL10" s="10"/>
      <c r="HXM10" s="11"/>
      <c r="HXN10" s="12"/>
      <c r="HXO10" s="12"/>
      <c r="HXP10" s="12"/>
      <c r="HXQ10" s="13"/>
      <c r="HXR10" s="9"/>
      <c r="HXS10" s="9"/>
      <c r="HXT10" s="9"/>
      <c r="HXU10" s="9"/>
      <c r="HXV10" s="10"/>
      <c r="HXW10" s="11"/>
      <c r="HXX10" s="12"/>
      <c r="HXY10" s="12"/>
      <c r="HXZ10" s="12"/>
      <c r="HYA10" s="13"/>
      <c r="HYB10" s="9"/>
      <c r="HYC10" s="9"/>
      <c r="HYD10" s="9"/>
      <c r="HYE10" s="9"/>
      <c r="HYF10" s="10"/>
      <c r="HYG10" s="11"/>
      <c r="HYH10" s="12"/>
      <c r="HYI10" s="12"/>
      <c r="HYJ10" s="12"/>
      <c r="HYK10" s="13"/>
      <c r="HYL10" s="9"/>
      <c r="HYM10" s="9"/>
      <c r="HYN10" s="9"/>
      <c r="HYO10" s="9"/>
      <c r="HYP10" s="10"/>
      <c r="HYQ10" s="11"/>
      <c r="HYR10" s="12"/>
      <c r="HYS10" s="12"/>
      <c r="HYT10" s="12"/>
      <c r="HYU10" s="13"/>
      <c r="HYV10" s="9"/>
      <c r="HYW10" s="9"/>
      <c r="HYX10" s="9"/>
      <c r="HYY10" s="9"/>
      <c r="HYZ10" s="10"/>
      <c r="HZA10" s="11"/>
      <c r="HZB10" s="12"/>
      <c r="HZC10" s="12"/>
      <c r="HZD10" s="12"/>
      <c r="HZE10" s="13"/>
      <c r="HZF10" s="9"/>
      <c r="HZG10" s="9"/>
      <c r="HZH10" s="9"/>
      <c r="HZI10" s="9"/>
      <c r="HZJ10" s="10"/>
      <c r="HZK10" s="11"/>
      <c r="HZL10" s="12"/>
      <c r="HZM10" s="12"/>
      <c r="HZN10" s="12"/>
      <c r="HZO10" s="13"/>
      <c r="HZP10" s="9"/>
      <c r="HZQ10" s="9"/>
      <c r="HZR10" s="9"/>
      <c r="HZS10" s="9"/>
      <c r="HZT10" s="10"/>
      <c r="HZU10" s="11"/>
      <c r="HZV10" s="12"/>
      <c r="HZW10" s="12"/>
      <c r="HZX10" s="12"/>
      <c r="HZY10" s="13"/>
      <c r="HZZ10" s="9"/>
      <c r="IAA10" s="9"/>
      <c r="IAB10" s="9"/>
      <c r="IAC10" s="9"/>
      <c r="IAD10" s="10"/>
      <c r="IAE10" s="11"/>
      <c r="IAF10" s="12"/>
      <c r="IAG10" s="12"/>
      <c r="IAH10" s="12"/>
      <c r="IAI10" s="13"/>
      <c r="IAJ10" s="9"/>
      <c r="IAK10" s="9"/>
      <c r="IAL10" s="9"/>
      <c r="IAM10" s="9"/>
      <c r="IAN10" s="10"/>
      <c r="IAO10" s="11"/>
      <c r="IAP10" s="12"/>
      <c r="IAQ10" s="12"/>
      <c r="IAR10" s="12"/>
      <c r="IAS10" s="13"/>
      <c r="IAT10" s="9"/>
      <c r="IAU10" s="9"/>
      <c r="IAV10" s="9"/>
      <c r="IAW10" s="9"/>
      <c r="IAX10" s="10"/>
      <c r="IAY10" s="11"/>
      <c r="IAZ10" s="12"/>
      <c r="IBA10" s="12"/>
      <c r="IBB10" s="12"/>
      <c r="IBC10" s="13"/>
      <c r="IBD10" s="9"/>
      <c r="IBE10" s="9"/>
      <c r="IBF10" s="9"/>
      <c r="IBG10" s="9"/>
      <c r="IBH10" s="10"/>
      <c r="IBI10" s="11"/>
      <c r="IBJ10" s="12"/>
      <c r="IBK10" s="12"/>
      <c r="IBL10" s="12"/>
      <c r="IBM10" s="13"/>
      <c r="IBN10" s="9"/>
      <c r="IBO10" s="9"/>
      <c r="IBP10" s="9"/>
      <c r="IBQ10" s="9"/>
      <c r="IBR10" s="10"/>
      <c r="IBS10" s="11"/>
      <c r="IBT10" s="12"/>
      <c r="IBU10" s="12"/>
      <c r="IBV10" s="12"/>
      <c r="IBW10" s="13"/>
      <c r="IBX10" s="9"/>
      <c r="IBY10" s="9"/>
      <c r="IBZ10" s="9"/>
      <c r="ICA10" s="9"/>
      <c r="ICB10" s="10"/>
      <c r="ICC10" s="11"/>
      <c r="ICD10" s="12"/>
      <c r="ICE10" s="12"/>
      <c r="ICF10" s="12"/>
      <c r="ICG10" s="13"/>
      <c r="ICH10" s="9"/>
      <c r="ICI10" s="9"/>
      <c r="ICJ10" s="9"/>
      <c r="ICK10" s="9"/>
      <c r="ICL10" s="10"/>
      <c r="ICM10" s="11"/>
      <c r="ICN10" s="12"/>
      <c r="ICO10" s="12"/>
      <c r="ICP10" s="12"/>
      <c r="ICQ10" s="13"/>
      <c r="ICR10" s="9"/>
      <c r="ICS10" s="9"/>
      <c r="ICT10" s="9"/>
      <c r="ICU10" s="9"/>
      <c r="ICV10" s="10"/>
      <c r="ICW10" s="11"/>
      <c r="ICX10" s="12"/>
      <c r="ICY10" s="12"/>
      <c r="ICZ10" s="12"/>
      <c r="IDA10" s="13"/>
      <c r="IDB10" s="9"/>
      <c r="IDC10" s="9"/>
      <c r="IDD10" s="9"/>
      <c r="IDE10" s="9"/>
      <c r="IDF10" s="10"/>
      <c r="IDG10" s="11"/>
      <c r="IDH10" s="12"/>
      <c r="IDI10" s="12"/>
      <c r="IDJ10" s="12"/>
      <c r="IDK10" s="13"/>
      <c r="IDL10" s="9"/>
      <c r="IDM10" s="9"/>
      <c r="IDN10" s="9"/>
      <c r="IDO10" s="9"/>
      <c r="IDP10" s="10"/>
      <c r="IDQ10" s="11"/>
      <c r="IDR10" s="12"/>
      <c r="IDS10" s="12"/>
      <c r="IDT10" s="12"/>
      <c r="IDU10" s="13"/>
      <c r="IDV10" s="9"/>
      <c r="IDW10" s="9"/>
      <c r="IDX10" s="9"/>
      <c r="IDY10" s="9"/>
      <c r="IDZ10" s="10"/>
      <c r="IEA10" s="11"/>
      <c r="IEB10" s="12"/>
      <c r="IEC10" s="12"/>
      <c r="IED10" s="12"/>
      <c r="IEE10" s="13"/>
      <c r="IEF10" s="9"/>
      <c r="IEG10" s="9"/>
      <c r="IEH10" s="9"/>
      <c r="IEI10" s="9"/>
      <c r="IEJ10" s="10"/>
      <c r="IEK10" s="11"/>
      <c r="IEL10" s="12"/>
      <c r="IEM10" s="12"/>
      <c r="IEN10" s="12"/>
      <c r="IEO10" s="13"/>
      <c r="IEP10" s="9"/>
      <c r="IEQ10" s="9"/>
      <c r="IER10" s="9"/>
      <c r="IES10" s="9"/>
      <c r="IET10" s="10"/>
      <c r="IEU10" s="11"/>
      <c r="IEV10" s="12"/>
      <c r="IEW10" s="12"/>
      <c r="IEX10" s="12"/>
      <c r="IEY10" s="13"/>
      <c r="IEZ10" s="9"/>
      <c r="IFA10" s="9"/>
      <c r="IFB10" s="9"/>
      <c r="IFC10" s="9"/>
      <c r="IFD10" s="10"/>
      <c r="IFE10" s="11"/>
      <c r="IFF10" s="12"/>
      <c r="IFG10" s="12"/>
      <c r="IFH10" s="12"/>
      <c r="IFI10" s="13"/>
      <c r="IFJ10" s="9"/>
      <c r="IFK10" s="9"/>
      <c r="IFL10" s="9"/>
      <c r="IFM10" s="9"/>
      <c r="IFN10" s="10"/>
      <c r="IFO10" s="11"/>
      <c r="IFP10" s="12"/>
      <c r="IFQ10" s="12"/>
      <c r="IFR10" s="12"/>
      <c r="IFS10" s="13"/>
      <c r="IFT10" s="9"/>
      <c r="IFU10" s="9"/>
      <c r="IFV10" s="9"/>
      <c r="IFW10" s="9"/>
      <c r="IFX10" s="10"/>
      <c r="IFY10" s="11"/>
      <c r="IFZ10" s="12"/>
      <c r="IGA10" s="12"/>
      <c r="IGB10" s="12"/>
      <c r="IGC10" s="13"/>
      <c r="IGD10" s="9"/>
      <c r="IGE10" s="9"/>
      <c r="IGF10" s="9"/>
      <c r="IGG10" s="9"/>
      <c r="IGH10" s="10"/>
      <c r="IGI10" s="11"/>
      <c r="IGJ10" s="12"/>
      <c r="IGK10" s="12"/>
      <c r="IGL10" s="12"/>
      <c r="IGM10" s="13"/>
      <c r="IGN10" s="9"/>
      <c r="IGO10" s="9"/>
      <c r="IGP10" s="9"/>
      <c r="IGQ10" s="9"/>
      <c r="IGR10" s="10"/>
      <c r="IGS10" s="11"/>
      <c r="IGT10" s="12"/>
      <c r="IGU10" s="12"/>
      <c r="IGV10" s="12"/>
      <c r="IGW10" s="13"/>
      <c r="IGX10" s="9"/>
      <c r="IGY10" s="9"/>
      <c r="IGZ10" s="9"/>
      <c r="IHA10" s="9"/>
      <c r="IHB10" s="10"/>
      <c r="IHC10" s="11"/>
      <c r="IHD10" s="12"/>
      <c r="IHE10" s="12"/>
      <c r="IHF10" s="12"/>
      <c r="IHG10" s="13"/>
      <c r="IHH10" s="9"/>
      <c r="IHI10" s="9"/>
      <c r="IHJ10" s="9"/>
      <c r="IHK10" s="9"/>
      <c r="IHL10" s="10"/>
      <c r="IHM10" s="11"/>
      <c r="IHN10" s="12"/>
      <c r="IHO10" s="12"/>
      <c r="IHP10" s="12"/>
      <c r="IHQ10" s="13"/>
      <c r="IHR10" s="9"/>
      <c r="IHS10" s="9"/>
      <c r="IHT10" s="9"/>
      <c r="IHU10" s="9"/>
      <c r="IHV10" s="10"/>
      <c r="IHW10" s="11"/>
      <c r="IHX10" s="12"/>
      <c r="IHY10" s="12"/>
      <c r="IHZ10" s="12"/>
      <c r="IIA10" s="13"/>
      <c r="IIB10" s="9"/>
      <c r="IIC10" s="9"/>
      <c r="IID10" s="9"/>
      <c r="IIE10" s="9"/>
      <c r="IIF10" s="10"/>
      <c r="IIG10" s="11"/>
      <c r="IIH10" s="12"/>
      <c r="III10" s="12"/>
      <c r="IIJ10" s="12"/>
      <c r="IIK10" s="13"/>
      <c r="IIL10" s="9"/>
      <c r="IIM10" s="9"/>
      <c r="IIN10" s="9"/>
      <c r="IIO10" s="9"/>
      <c r="IIP10" s="10"/>
      <c r="IIQ10" s="11"/>
      <c r="IIR10" s="12"/>
      <c r="IIS10" s="12"/>
      <c r="IIT10" s="12"/>
      <c r="IIU10" s="13"/>
      <c r="IIV10" s="9"/>
      <c r="IIW10" s="9"/>
      <c r="IIX10" s="9"/>
      <c r="IIY10" s="9"/>
      <c r="IIZ10" s="10"/>
      <c r="IJA10" s="11"/>
      <c r="IJB10" s="12"/>
      <c r="IJC10" s="12"/>
      <c r="IJD10" s="12"/>
      <c r="IJE10" s="13"/>
      <c r="IJF10" s="9"/>
      <c r="IJG10" s="9"/>
      <c r="IJH10" s="9"/>
      <c r="IJI10" s="9"/>
      <c r="IJJ10" s="10"/>
      <c r="IJK10" s="11"/>
      <c r="IJL10" s="12"/>
      <c r="IJM10" s="12"/>
      <c r="IJN10" s="12"/>
      <c r="IJO10" s="13"/>
      <c r="IJP10" s="9"/>
      <c r="IJQ10" s="9"/>
      <c r="IJR10" s="9"/>
      <c r="IJS10" s="9"/>
      <c r="IJT10" s="10"/>
      <c r="IJU10" s="11"/>
      <c r="IJV10" s="12"/>
      <c r="IJW10" s="12"/>
      <c r="IJX10" s="12"/>
      <c r="IJY10" s="13"/>
      <c r="IJZ10" s="9"/>
      <c r="IKA10" s="9"/>
      <c r="IKB10" s="9"/>
      <c r="IKC10" s="9"/>
      <c r="IKD10" s="10"/>
      <c r="IKE10" s="11"/>
      <c r="IKF10" s="12"/>
      <c r="IKG10" s="12"/>
      <c r="IKH10" s="12"/>
      <c r="IKI10" s="13"/>
      <c r="IKJ10" s="9"/>
      <c r="IKK10" s="9"/>
      <c r="IKL10" s="9"/>
      <c r="IKM10" s="9"/>
      <c r="IKN10" s="10"/>
      <c r="IKO10" s="11"/>
      <c r="IKP10" s="12"/>
      <c r="IKQ10" s="12"/>
      <c r="IKR10" s="12"/>
      <c r="IKS10" s="13"/>
      <c r="IKT10" s="9"/>
      <c r="IKU10" s="9"/>
      <c r="IKV10" s="9"/>
      <c r="IKW10" s="9"/>
      <c r="IKX10" s="10"/>
      <c r="IKY10" s="11"/>
      <c r="IKZ10" s="12"/>
      <c r="ILA10" s="12"/>
      <c r="ILB10" s="12"/>
      <c r="ILC10" s="13"/>
      <c r="ILD10" s="9"/>
      <c r="ILE10" s="9"/>
      <c r="ILF10" s="9"/>
      <c r="ILG10" s="9"/>
      <c r="ILH10" s="10"/>
      <c r="ILI10" s="11"/>
      <c r="ILJ10" s="12"/>
      <c r="ILK10" s="12"/>
      <c r="ILL10" s="12"/>
      <c r="ILM10" s="13"/>
      <c r="ILN10" s="9"/>
      <c r="ILO10" s="9"/>
      <c r="ILP10" s="9"/>
      <c r="ILQ10" s="9"/>
      <c r="ILR10" s="10"/>
      <c r="ILS10" s="11"/>
      <c r="ILT10" s="12"/>
      <c r="ILU10" s="12"/>
      <c r="ILV10" s="12"/>
      <c r="ILW10" s="13"/>
      <c r="ILX10" s="9"/>
      <c r="ILY10" s="9"/>
      <c r="ILZ10" s="9"/>
      <c r="IMA10" s="9"/>
      <c r="IMB10" s="10"/>
      <c r="IMC10" s="11"/>
      <c r="IMD10" s="12"/>
      <c r="IME10" s="12"/>
      <c r="IMF10" s="12"/>
      <c r="IMG10" s="13"/>
      <c r="IMH10" s="9"/>
      <c r="IMI10" s="9"/>
      <c r="IMJ10" s="9"/>
      <c r="IMK10" s="9"/>
      <c r="IML10" s="10"/>
      <c r="IMM10" s="11"/>
      <c r="IMN10" s="12"/>
      <c r="IMO10" s="12"/>
      <c r="IMP10" s="12"/>
      <c r="IMQ10" s="13"/>
      <c r="IMR10" s="9"/>
      <c r="IMS10" s="9"/>
      <c r="IMT10" s="9"/>
      <c r="IMU10" s="9"/>
      <c r="IMV10" s="10"/>
      <c r="IMW10" s="11"/>
      <c r="IMX10" s="12"/>
      <c r="IMY10" s="12"/>
      <c r="IMZ10" s="12"/>
      <c r="INA10" s="13"/>
      <c r="INB10" s="9"/>
      <c r="INC10" s="9"/>
      <c r="IND10" s="9"/>
      <c r="INE10" s="9"/>
      <c r="INF10" s="10"/>
      <c r="ING10" s="11"/>
      <c r="INH10" s="12"/>
      <c r="INI10" s="12"/>
      <c r="INJ10" s="12"/>
      <c r="INK10" s="13"/>
      <c r="INL10" s="9"/>
      <c r="INM10" s="9"/>
      <c r="INN10" s="9"/>
      <c r="INO10" s="9"/>
      <c r="INP10" s="10"/>
      <c r="INQ10" s="11"/>
      <c r="INR10" s="12"/>
      <c r="INS10" s="12"/>
      <c r="INT10" s="12"/>
      <c r="INU10" s="13"/>
      <c r="INV10" s="9"/>
      <c r="INW10" s="9"/>
      <c r="INX10" s="9"/>
      <c r="INY10" s="9"/>
      <c r="INZ10" s="10"/>
      <c r="IOA10" s="11"/>
      <c r="IOB10" s="12"/>
      <c r="IOC10" s="12"/>
      <c r="IOD10" s="12"/>
      <c r="IOE10" s="13"/>
      <c r="IOF10" s="9"/>
      <c r="IOG10" s="9"/>
      <c r="IOH10" s="9"/>
      <c r="IOI10" s="9"/>
      <c r="IOJ10" s="10"/>
      <c r="IOK10" s="11"/>
      <c r="IOL10" s="12"/>
      <c r="IOM10" s="12"/>
      <c r="ION10" s="12"/>
      <c r="IOO10" s="13"/>
      <c r="IOP10" s="9"/>
      <c r="IOQ10" s="9"/>
      <c r="IOR10" s="9"/>
      <c r="IOS10" s="9"/>
      <c r="IOT10" s="10"/>
      <c r="IOU10" s="11"/>
      <c r="IOV10" s="12"/>
      <c r="IOW10" s="12"/>
      <c r="IOX10" s="12"/>
      <c r="IOY10" s="13"/>
      <c r="IOZ10" s="9"/>
      <c r="IPA10" s="9"/>
      <c r="IPB10" s="9"/>
      <c r="IPC10" s="9"/>
      <c r="IPD10" s="10"/>
      <c r="IPE10" s="11"/>
      <c r="IPF10" s="12"/>
      <c r="IPG10" s="12"/>
      <c r="IPH10" s="12"/>
      <c r="IPI10" s="13"/>
      <c r="IPJ10" s="9"/>
      <c r="IPK10" s="9"/>
      <c r="IPL10" s="9"/>
      <c r="IPM10" s="9"/>
      <c r="IPN10" s="10"/>
      <c r="IPO10" s="11"/>
      <c r="IPP10" s="12"/>
      <c r="IPQ10" s="12"/>
      <c r="IPR10" s="12"/>
      <c r="IPS10" s="13"/>
      <c r="IPT10" s="9"/>
      <c r="IPU10" s="9"/>
      <c r="IPV10" s="9"/>
      <c r="IPW10" s="9"/>
      <c r="IPX10" s="10"/>
      <c r="IPY10" s="11"/>
      <c r="IPZ10" s="12"/>
      <c r="IQA10" s="12"/>
      <c r="IQB10" s="12"/>
      <c r="IQC10" s="13"/>
      <c r="IQD10" s="9"/>
      <c r="IQE10" s="9"/>
      <c r="IQF10" s="9"/>
      <c r="IQG10" s="9"/>
      <c r="IQH10" s="10"/>
      <c r="IQI10" s="11"/>
      <c r="IQJ10" s="12"/>
      <c r="IQK10" s="12"/>
      <c r="IQL10" s="12"/>
      <c r="IQM10" s="13"/>
      <c r="IQN10" s="9"/>
      <c r="IQO10" s="9"/>
      <c r="IQP10" s="9"/>
      <c r="IQQ10" s="9"/>
      <c r="IQR10" s="10"/>
      <c r="IQS10" s="11"/>
      <c r="IQT10" s="12"/>
      <c r="IQU10" s="12"/>
      <c r="IQV10" s="12"/>
      <c r="IQW10" s="13"/>
      <c r="IQX10" s="9"/>
      <c r="IQY10" s="9"/>
      <c r="IQZ10" s="9"/>
      <c r="IRA10" s="9"/>
      <c r="IRB10" s="10"/>
      <c r="IRC10" s="11"/>
      <c r="IRD10" s="12"/>
      <c r="IRE10" s="12"/>
      <c r="IRF10" s="12"/>
      <c r="IRG10" s="13"/>
      <c r="IRH10" s="9"/>
      <c r="IRI10" s="9"/>
      <c r="IRJ10" s="9"/>
      <c r="IRK10" s="9"/>
      <c r="IRL10" s="10"/>
      <c r="IRM10" s="11"/>
      <c r="IRN10" s="12"/>
      <c r="IRO10" s="12"/>
      <c r="IRP10" s="12"/>
      <c r="IRQ10" s="13"/>
      <c r="IRR10" s="9"/>
      <c r="IRS10" s="9"/>
      <c r="IRT10" s="9"/>
      <c r="IRU10" s="9"/>
      <c r="IRV10" s="10"/>
      <c r="IRW10" s="11"/>
      <c r="IRX10" s="12"/>
      <c r="IRY10" s="12"/>
      <c r="IRZ10" s="12"/>
      <c r="ISA10" s="13"/>
      <c r="ISB10" s="9"/>
      <c r="ISC10" s="9"/>
      <c r="ISD10" s="9"/>
      <c r="ISE10" s="9"/>
      <c r="ISF10" s="10"/>
      <c r="ISG10" s="11"/>
      <c r="ISH10" s="12"/>
      <c r="ISI10" s="12"/>
      <c r="ISJ10" s="12"/>
      <c r="ISK10" s="13"/>
      <c r="ISL10" s="9"/>
      <c r="ISM10" s="9"/>
      <c r="ISN10" s="9"/>
      <c r="ISO10" s="9"/>
      <c r="ISP10" s="10"/>
      <c r="ISQ10" s="11"/>
      <c r="ISR10" s="12"/>
      <c r="ISS10" s="12"/>
      <c r="IST10" s="12"/>
      <c r="ISU10" s="13"/>
      <c r="ISV10" s="9"/>
      <c r="ISW10" s="9"/>
      <c r="ISX10" s="9"/>
      <c r="ISY10" s="9"/>
      <c r="ISZ10" s="10"/>
      <c r="ITA10" s="11"/>
      <c r="ITB10" s="12"/>
      <c r="ITC10" s="12"/>
      <c r="ITD10" s="12"/>
      <c r="ITE10" s="13"/>
      <c r="ITF10" s="9"/>
      <c r="ITG10" s="9"/>
      <c r="ITH10" s="9"/>
      <c r="ITI10" s="9"/>
      <c r="ITJ10" s="10"/>
      <c r="ITK10" s="11"/>
      <c r="ITL10" s="12"/>
      <c r="ITM10" s="12"/>
      <c r="ITN10" s="12"/>
      <c r="ITO10" s="13"/>
      <c r="ITP10" s="9"/>
      <c r="ITQ10" s="9"/>
      <c r="ITR10" s="9"/>
      <c r="ITS10" s="9"/>
      <c r="ITT10" s="10"/>
      <c r="ITU10" s="11"/>
      <c r="ITV10" s="12"/>
      <c r="ITW10" s="12"/>
      <c r="ITX10" s="12"/>
      <c r="ITY10" s="13"/>
      <c r="ITZ10" s="9"/>
      <c r="IUA10" s="9"/>
      <c r="IUB10" s="9"/>
      <c r="IUC10" s="9"/>
      <c r="IUD10" s="10"/>
      <c r="IUE10" s="11"/>
      <c r="IUF10" s="12"/>
      <c r="IUG10" s="12"/>
      <c r="IUH10" s="12"/>
      <c r="IUI10" s="13"/>
      <c r="IUJ10" s="9"/>
      <c r="IUK10" s="9"/>
      <c r="IUL10" s="9"/>
      <c r="IUM10" s="9"/>
      <c r="IUN10" s="10"/>
      <c r="IUO10" s="11"/>
      <c r="IUP10" s="12"/>
      <c r="IUQ10" s="12"/>
      <c r="IUR10" s="12"/>
      <c r="IUS10" s="13"/>
      <c r="IUT10" s="9"/>
      <c r="IUU10" s="9"/>
      <c r="IUV10" s="9"/>
      <c r="IUW10" s="9"/>
      <c r="IUX10" s="10"/>
      <c r="IUY10" s="11"/>
      <c r="IUZ10" s="12"/>
      <c r="IVA10" s="12"/>
      <c r="IVB10" s="12"/>
      <c r="IVC10" s="13"/>
      <c r="IVD10" s="9"/>
      <c r="IVE10" s="9"/>
      <c r="IVF10" s="9"/>
      <c r="IVG10" s="9"/>
      <c r="IVH10" s="10"/>
      <c r="IVI10" s="11"/>
      <c r="IVJ10" s="12"/>
      <c r="IVK10" s="12"/>
      <c r="IVL10" s="12"/>
      <c r="IVM10" s="13"/>
      <c r="IVN10" s="9"/>
      <c r="IVO10" s="9"/>
      <c r="IVP10" s="9"/>
      <c r="IVQ10" s="9"/>
      <c r="IVR10" s="10"/>
      <c r="IVS10" s="11"/>
      <c r="IVT10" s="12"/>
      <c r="IVU10" s="12"/>
      <c r="IVV10" s="12"/>
      <c r="IVW10" s="13"/>
      <c r="IVX10" s="9"/>
      <c r="IVY10" s="9"/>
      <c r="IVZ10" s="9"/>
      <c r="IWA10" s="9"/>
      <c r="IWB10" s="10"/>
      <c r="IWC10" s="11"/>
      <c r="IWD10" s="12"/>
      <c r="IWE10" s="12"/>
      <c r="IWF10" s="12"/>
      <c r="IWG10" s="13"/>
      <c r="IWH10" s="9"/>
      <c r="IWI10" s="9"/>
      <c r="IWJ10" s="9"/>
      <c r="IWK10" s="9"/>
      <c r="IWL10" s="10"/>
      <c r="IWM10" s="11"/>
      <c r="IWN10" s="12"/>
      <c r="IWO10" s="12"/>
      <c r="IWP10" s="12"/>
      <c r="IWQ10" s="13"/>
      <c r="IWR10" s="9"/>
      <c r="IWS10" s="9"/>
      <c r="IWT10" s="9"/>
      <c r="IWU10" s="9"/>
      <c r="IWV10" s="10"/>
      <c r="IWW10" s="11"/>
      <c r="IWX10" s="12"/>
      <c r="IWY10" s="12"/>
      <c r="IWZ10" s="12"/>
      <c r="IXA10" s="13"/>
      <c r="IXB10" s="9"/>
      <c r="IXC10" s="9"/>
      <c r="IXD10" s="9"/>
      <c r="IXE10" s="9"/>
      <c r="IXF10" s="10"/>
      <c r="IXG10" s="11"/>
      <c r="IXH10" s="12"/>
      <c r="IXI10" s="12"/>
      <c r="IXJ10" s="12"/>
      <c r="IXK10" s="13"/>
      <c r="IXL10" s="9"/>
      <c r="IXM10" s="9"/>
      <c r="IXN10" s="9"/>
      <c r="IXO10" s="9"/>
      <c r="IXP10" s="10"/>
      <c r="IXQ10" s="11"/>
      <c r="IXR10" s="12"/>
      <c r="IXS10" s="12"/>
      <c r="IXT10" s="12"/>
      <c r="IXU10" s="13"/>
      <c r="IXV10" s="9"/>
      <c r="IXW10" s="9"/>
      <c r="IXX10" s="9"/>
      <c r="IXY10" s="9"/>
      <c r="IXZ10" s="10"/>
      <c r="IYA10" s="11"/>
      <c r="IYB10" s="12"/>
      <c r="IYC10" s="12"/>
      <c r="IYD10" s="12"/>
      <c r="IYE10" s="13"/>
      <c r="IYF10" s="9"/>
      <c r="IYG10" s="9"/>
      <c r="IYH10" s="9"/>
      <c r="IYI10" s="9"/>
      <c r="IYJ10" s="10"/>
      <c r="IYK10" s="11"/>
      <c r="IYL10" s="12"/>
      <c r="IYM10" s="12"/>
      <c r="IYN10" s="12"/>
      <c r="IYO10" s="13"/>
      <c r="IYP10" s="9"/>
      <c r="IYQ10" s="9"/>
      <c r="IYR10" s="9"/>
      <c r="IYS10" s="9"/>
      <c r="IYT10" s="10"/>
      <c r="IYU10" s="11"/>
      <c r="IYV10" s="12"/>
      <c r="IYW10" s="12"/>
      <c r="IYX10" s="12"/>
      <c r="IYY10" s="13"/>
      <c r="IYZ10" s="9"/>
      <c r="IZA10" s="9"/>
      <c r="IZB10" s="9"/>
      <c r="IZC10" s="9"/>
      <c r="IZD10" s="10"/>
      <c r="IZE10" s="11"/>
      <c r="IZF10" s="12"/>
      <c r="IZG10" s="12"/>
      <c r="IZH10" s="12"/>
      <c r="IZI10" s="13"/>
      <c r="IZJ10" s="9"/>
      <c r="IZK10" s="9"/>
      <c r="IZL10" s="9"/>
      <c r="IZM10" s="9"/>
      <c r="IZN10" s="10"/>
      <c r="IZO10" s="11"/>
      <c r="IZP10" s="12"/>
      <c r="IZQ10" s="12"/>
      <c r="IZR10" s="12"/>
      <c r="IZS10" s="13"/>
      <c r="IZT10" s="9"/>
      <c r="IZU10" s="9"/>
      <c r="IZV10" s="9"/>
      <c r="IZW10" s="9"/>
      <c r="IZX10" s="10"/>
      <c r="IZY10" s="11"/>
      <c r="IZZ10" s="12"/>
      <c r="JAA10" s="12"/>
      <c r="JAB10" s="12"/>
      <c r="JAC10" s="13"/>
      <c r="JAD10" s="9"/>
      <c r="JAE10" s="9"/>
      <c r="JAF10" s="9"/>
      <c r="JAG10" s="9"/>
      <c r="JAH10" s="10"/>
      <c r="JAI10" s="11"/>
      <c r="JAJ10" s="12"/>
      <c r="JAK10" s="12"/>
      <c r="JAL10" s="12"/>
      <c r="JAM10" s="13"/>
      <c r="JAN10" s="9"/>
      <c r="JAO10" s="9"/>
      <c r="JAP10" s="9"/>
      <c r="JAQ10" s="9"/>
      <c r="JAR10" s="10"/>
      <c r="JAS10" s="11"/>
      <c r="JAT10" s="12"/>
      <c r="JAU10" s="12"/>
      <c r="JAV10" s="12"/>
      <c r="JAW10" s="13"/>
      <c r="JAX10" s="9"/>
      <c r="JAY10" s="9"/>
      <c r="JAZ10" s="9"/>
      <c r="JBA10" s="9"/>
      <c r="JBB10" s="10"/>
      <c r="JBC10" s="11"/>
      <c r="JBD10" s="12"/>
      <c r="JBE10" s="12"/>
      <c r="JBF10" s="12"/>
      <c r="JBG10" s="13"/>
      <c r="JBH10" s="9"/>
      <c r="JBI10" s="9"/>
      <c r="JBJ10" s="9"/>
      <c r="JBK10" s="9"/>
      <c r="JBL10" s="10"/>
      <c r="JBM10" s="11"/>
      <c r="JBN10" s="12"/>
      <c r="JBO10" s="12"/>
      <c r="JBP10" s="12"/>
      <c r="JBQ10" s="13"/>
      <c r="JBR10" s="9"/>
      <c r="JBS10" s="9"/>
      <c r="JBT10" s="9"/>
      <c r="JBU10" s="9"/>
      <c r="JBV10" s="10"/>
      <c r="JBW10" s="11"/>
      <c r="JBX10" s="12"/>
      <c r="JBY10" s="12"/>
      <c r="JBZ10" s="12"/>
      <c r="JCA10" s="13"/>
      <c r="JCB10" s="9"/>
      <c r="JCC10" s="9"/>
      <c r="JCD10" s="9"/>
      <c r="JCE10" s="9"/>
      <c r="JCF10" s="10"/>
      <c r="JCG10" s="11"/>
      <c r="JCH10" s="12"/>
      <c r="JCI10" s="12"/>
      <c r="JCJ10" s="12"/>
      <c r="JCK10" s="13"/>
      <c r="JCL10" s="9"/>
      <c r="JCM10" s="9"/>
      <c r="JCN10" s="9"/>
      <c r="JCO10" s="9"/>
      <c r="JCP10" s="10"/>
      <c r="JCQ10" s="11"/>
      <c r="JCR10" s="12"/>
      <c r="JCS10" s="12"/>
      <c r="JCT10" s="12"/>
      <c r="JCU10" s="13"/>
      <c r="JCV10" s="9"/>
      <c r="JCW10" s="9"/>
      <c r="JCX10" s="9"/>
      <c r="JCY10" s="9"/>
      <c r="JCZ10" s="10"/>
      <c r="JDA10" s="11"/>
      <c r="JDB10" s="12"/>
      <c r="JDC10" s="12"/>
      <c r="JDD10" s="12"/>
      <c r="JDE10" s="13"/>
      <c r="JDF10" s="9"/>
      <c r="JDG10" s="9"/>
      <c r="JDH10" s="9"/>
      <c r="JDI10" s="9"/>
      <c r="JDJ10" s="10"/>
      <c r="JDK10" s="11"/>
      <c r="JDL10" s="12"/>
      <c r="JDM10" s="12"/>
      <c r="JDN10" s="12"/>
      <c r="JDO10" s="13"/>
      <c r="JDP10" s="9"/>
      <c r="JDQ10" s="9"/>
      <c r="JDR10" s="9"/>
      <c r="JDS10" s="9"/>
      <c r="JDT10" s="10"/>
      <c r="JDU10" s="11"/>
      <c r="JDV10" s="12"/>
      <c r="JDW10" s="12"/>
      <c r="JDX10" s="12"/>
      <c r="JDY10" s="13"/>
      <c r="JDZ10" s="9"/>
      <c r="JEA10" s="9"/>
      <c r="JEB10" s="9"/>
      <c r="JEC10" s="9"/>
      <c r="JED10" s="10"/>
      <c r="JEE10" s="11"/>
      <c r="JEF10" s="12"/>
      <c r="JEG10" s="12"/>
      <c r="JEH10" s="12"/>
      <c r="JEI10" s="13"/>
      <c r="JEJ10" s="9"/>
      <c r="JEK10" s="9"/>
      <c r="JEL10" s="9"/>
      <c r="JEM10" s="9"/>
      <c r="JEN10" s="10"/>
      <c r="JEO10" s="11"/>
      <c r="JEP10" s="12"/>
      <c r="JEQ10" s="12"/>
      <c r="JER10" s="12"/>
      <c r="JES10" s="13"/>
      <c r="JET10" s="9"/>
      <c r="JEU10" s="9"/>
      <c r="JEV10" s="9"/>
      <c r="JEW10" s="9"/>
      <c r="JEX10" s="10"/>
      <c r="JEY10" s="11"/>
      <c r="JEZ10" s="12"/>
      <c r="JFA10" s="12"/>
      <c r="JFB10" s="12"/>
      <c r="JFC10" s="13"/>
      <c r="JFD10" s="9"/>
      <c r="JFE10" s="9"/>
      <c r="JFF10" s="9"/>
      <c r="JFG10" s="9"/>
      <c r="JFH10" s="10"/>
      <c r="JFI10" s="11"/>
      <c r="JFJ10" s="12"/>
      <c r="JFK10" s="12"/>
      <c r="JFL10" s="12"/>
      <c r="JFM10" s="13"/>
      <c r="JFN10" s="9"/>
      <c r="JFO10" s="9"/>
      <c r="JFP10" s="9"/>
      <c r="JFQ10" s="9"/>
      <c r="JFR10" s="10"/>
      <c r="JFS10" s="11"/>
      <c r="JFT10" s="12"/>
      <c r="JFU10" s="12"/>
      <c r="JFV10" s="12"/>
      <c r="JFW10" s="13"/>
      <c r="JFX10" s="9"/>
      <c r="JFY10" s="9"/>
      <c r="JFZ10" s="9"/>
      <c r="JGA10" s="9"/>
      <c r="JGB10" s="10"/>
      <c r="JGC10" s="11"/>
      <c r="JGD10" s="12"/>
      <c r="JGE10" s="12"/>
      <c r="JGF10" s="12"/>
      <c r="JGG10" s="13"/>
      <c r="JGH10" s="9"/>
      <c r="JGI10" s="9"/>
      <c r="JGJ10" s="9"/>
      <c r="JGK10" s="9"/>
      <c r="JGL10" s="10"/>
      <c r="JGM10" s="11"/>
      <c r="JGN10" s="12"/>
      <c r="JGO10" s="12"/>
      <c r="JGP10" s="12"/>
      <c r="JGQ10" s="13"/>
      <c r="JGR10" s="9"/>
      <c r="JGS10" s="9"/>
      <c r="JGT10" s="9"/>
      <c r="JGU10" s="9"/>
      <c r="JGV10" s="10"/>
      <c r="JGW10" s="11"/>
      <c r="JGX10" s="12"/>
      <c r="JGY10" s="12"/>
      <c r="JGZ10" s="12"/>
      <c r="JHA10" s="13"/>
      <c r="JHB10" s="9"/>
      <c r="JHC10" s="9"/>
      <c r="JHD10" s="9"/>
      <c r="JHE10" s="9"/>
      <c r="JHF10" s="10"/>
      <c r="JHG10" s="11"/>
      <c r="JHH10" s="12"/>
      <c r="JHI10" s="12"/>
      <c r="JHJ10" s="12"/>
      <c r="JHK10" s="13"/>
      <c r="JHL10" s="9"/>
      <c r="JHM10" s="9"/>
      <c r="JHN10" s="9"/>
      <c r="JHO10" s="9"/>
      <c r="JHP10" s="10"/>
      <c r="JHQ10" s="11"/>
      <c r="JHR10" s="12"/>
      <c r="JHS10" s="12"/>
      <c r="JHT10" s="12"/>
      <c r="JHU10" s="13"/>
      <c r="JHV10" s="9"/>
      <c r="JHW10" s="9"/>
      <c r="JHX10" s="9"/>
      <c r="JHY10" s="9"/>
      <c r="JHZ10" s="10"/>
      <c r="JIA10" s="11"/>
      <c r="JIB10" s="12"/>
      <c r="JIC10" s="12"/>
      <c r="JID10" s="12"/>
      <c r="JIE10" s="13"/>
      <c r="JIF10" s="9"/>
      <c r="JIG10" s="9"/>
      <c r="JIH10" s="9"/>
      <c r="JII10" s="9"/>
      <c r="JIJ10" s="10"/>
      <c r="JIK10" s="11"/>
      <c r="JIL10" s="12"/>
      <c r="JIM10" s="12"/>
      <c r="JIN10" s="12"/>
      <c r="JIO10" s="13"/>
      <c r="JIP10" s="9"/>
      <c r="JIQ10" s="9"/>
      <c r="JIR10" s="9"/>
      <c r="JIS10" s="9"/>
      <c r="JIT10" s="10"/>
      <c r="JIU10" s="11"/>
      <c r="JIV10" s="12"/>
      <c r="JIW10" s="12"/>
      <c r="JIX10" s="12"/>
      <c r="JIY10" s="13"/>
      <c r="JIZ10" s="9"/>
      <c r="JJA10" s="9"/>
      <c r="JJB10" s="9"/>
      <c r="JJC10" s="9"/>
      <c r="JJD10" s="10"/>
      <c r="JJE10" s="11"/>
      <c r="JJF10" s="12"/>
      <c r="JJG10" s="12"/>
      <c r="JJH10" s="12"/>
      <c r="JJI10" s="13"/>
      <c r="JJJ10" s="9"/>
      <c r="JJK10" s="9"/>
      <c r="JJL10" s="9"/>
      <c r="JJM10" s="9"/>
      <c r="JJN10" s="10"/>
      <c r="JJO10" s="11"/>
      <c r="JJP10" s="12"/>
      <c r="JJQ10" s="12"/>
      <c r="JJR10" s="12"/>
      <c r="JJS10" s="13"/>
      <c r="JJT10" s="9"/>
      <c r="JJU10" s="9"/>
      <c r="JJV10" s="9"/>
      <c r="JJW10" s="9"/>
      <c r="JJX10" s="10"/>
      <c r="JJY10" s="11"/>
      <c r="JJZ10" s="12"/>
      <c r="JKA10" s="12"/>
      <c r="JKB10" s="12"/>
      <c r="JKC10" s="13"/>
      <c r="JKD10" s="9"/>
      <c r="JKE10" s="9"/>
      <c r="JKF10" s="9"/>
      <c r="JKG10" s="9"/>
      <c r="JKH10" s="10"/>
      <c r="JKI10" s="11"/>
      <c r="JKJ10" s="12"/>
      <c r="JKK10" s="12"/>
      <c r="JKL10" s="12"/>
      <c r="JKM10" s="13"/>
      <c r="JKN10" s="9"/>
      <c r="JKO10" s="9"/>
      <c r="JKP10" s="9"/>
      <c r="JKQ10" s="9"/>
      <c r="JKR10" s="10"/>
      <c r="JKS10" s="11"/>
      <c r="JKT10" s="12"/>
      <c r="JKU10" s="12"/>
      <c r="JKV10" s="12"/>
      <c r="JKW10" s="13"/>
      <c r="JKX10" s="9"/>
      <c r="JKY10" s="9"/>
      <c r="JKZ10" s="9"/>
      <c r="JLA10" s="9"/>
      <c r="JLB10" s="10"/>
      <c r="JLC10" s="11"/>
      <c r="JLD10" s="12"/>
      <c r="JLE10" s="12"/>
      <c r="JLF10" s="12"/>
      <c r="JLG10" s="13"/>
      <c r="JLH10" s="9"/>
      <c r="JLI10" s="9"/>
      <c r="JLJ10" s="9"/>
      <c r="JLK10" s="9"/>
      <c r="JLL10" s="10"/>
      <c r="JLM10" s="11"/>
      <c r="JLN10" s="12"/>
      <c r="JLO10" s="12"/>
      <c r="JLP10" s="12"/>
      <c r="JLQ10" s="13"/>
      <c r="JLR10" s="9"/>
      <c r="JLS10" s="9"/>
      <c r="JLT10" s="9"/>
      <c r="JLU10" s="9"/>
      <c r="JLV10" s="10"/>
      <c r="JLW10" s="11"/>
      <c r="JLX10" s="12"/>
      <c r="JLY10" s="12"/>
      <c r="JLZ10" s="12"/>
      <c r="JMA10" s="13"/>
      <c r="JMB10" s="9"/>
      <c r="JMC10" s="9"/>
      <c r="JMD10" s="9"/>
      <c r="JME10" s="9"/>
      <c r="JMF10" s="10"/>
      <c r="JMG10" s="11"/>
      <c r="JMH10" s="12"/>
      <c r="JMI10" s="12"/>
      <c r="JMJ10" s="12"/>
      <c r="JMK10" s="13"/>
      <c r="JML10" s="9"/>
      <c r="JMM10" s="9"/>
      <c r="JMN10" s="9"/>
      <c r="JMO10" s="9"/>
      <c r="JMP10" s="10"/>
      <c r="JMQ10" s="11"/>
      <c r="JMR10" s="12"/>
      <c r="JMS10" s="12"/>
      <c r="JMT10" s="12"/>
      <c r="JMU10" s="13"/>
      <c r="JMV10" s="9"/>
      <c r="JMW10" s="9"/>
      <c r="JMX10" s="9"/>
      <c r="JMY10" s="9"/>
      <c r="JMZ10" s="10"/>
      <c r="JNA10" s="11"/>
      <c r="JNB10" s="12"/>
      <c r="JNC10" s="12"/>
      <c r="JND10" s="12"/>
      <c r="JNE10" s="13"/>
      <c r="JNF10" s="9"/>
      <c r="JNG10" s="9"/>
      <c r="JNH10" s="9"/>
      <c r="JNI10" s="9"/>
      <c r="JNJ10" s="10"/>
      <c r="JNK10" s="11"/>
      <c r="JNL10" s="12"/>
      <c r="JNM10" s="12"/>
      <c r="JNN10" s="12"/>
      <c r="JNO10" s="13"/>
      <c r="JNP10" s="9"/>
      <c r="JNQ10" s="9"/>
      <c r="JNR10" s="9"/>
      <c r="JNS10" s="9"/>
      <c r="JNT10" s="10"/>
      <c r="JNU10" s="11"/>
      <c r="JNV10" s="12"/>
      <c r="JNW10" s="12"/>
      <c r="JNX10" s="12"/>
      <c r="JNY10" s="13"/>
      <c r="JNZ10" s="9"/>
      <c r="JOA10" s="9"/>
      <c r="JOB10" s="9"/>
      <c r="JOC10" s="9"/>
      <c r="JOD10" s="10"/>
      <c r="JOE10" s="11"/>
      <c r="JOF10" s="12"/>
      <c r="JOG10" s="12"/>
      <c r="JOH10" s="12"/>
      <c r="JOI10" s="13"/>
      <c r="JOJ10" s="9"/>
      <c r="JOK10" s="9"/>
      <c r="JOL10" s="9"/>
      <c r="JOM10" s="9"/>
      <c r="JON10" s="10"/>
      <c r="JOO10" s="11"/>
      <c r="JOP10" s="12"/>
      <c r="JOQ10" s="12"/>
      <c r="JOR10" s="12"/>
      <c r="JOS10" s="13"/>
      <c r="JOT10" s="9"/>
      <c r="JOU10" s="9"/>
      <c r="JOV10" s="9"/>
      <c r="JOW10" s="9"/>
      <c r="JOX10" s="10"/>
      <c r="JOY10" s="11"/>
      <c r="JOZ10" s="12"/>
      <c r="JPA10" s="12"/>
      <c r="JPB10" s="12"/>
      <c r="JPC10" s="13"/>
      <c r="JPD10" s="9"/>
      <c r="JPE10" s="9"/>
      <c r="JPF10" s="9"/>
      <c r="JPG10" s="9"/>
      <c r="JPH10" s="10"/>
      <c r="JPI10" s="11"/>
      <c r="JPJ10" s="12"/>
      <c r="JPK10" s="12"/>
      <c r="JPL10" s="12"/>
      <c r="JPM10" s="13"/>
      <c r="JPN10" s="9"/>
      <c r="JPO10" s="9"/>
      <c r="JPP10" s="9"/>
      <c r="JPQ10" s="9"/>
      <c r="JPR10" s="10"/>
      <c r="JPS10" s="11"/>
      <c r="JPT10" s="12"/>
      <c r="JPU10" s="12"/>
      <c r="JPV10" s="12"/>
      <c r="JPW10" s="13"/>
      <c r="JPX10" s="9"/>
      <c r="JPY10" s="9"/>
      <c r="JPZ10" s="9"/>
      <c r="JQA10" s="9"/>
      <c r="JQB10" s="10"/>
      <c r="JQC10" s="11"/>
      <c r="JQD10" s="12"/>
      <c r="JQE10" s="12"/>
      <c r="JQF10" s="12"/>
      <c r="JQG10" s="13"/>
      <c r="JQH10" s="9"/>
      <c r="JQI10" s="9"/>
      <c r="JQJ10" s="9"/>
      <c r="JQK10" s="9"/>
      <c r="JQL10" s="10"/>
      <c r="JQM10" s="11"/>
      <c r="JQN10" s="12"/>
      <c r="JQO10" s="12"/>
      <c r="JQP10" s="12"/>
      <c r="JQQ10" s="13"/>
      <c r="JQR10" s="9"/>
      <c r="JQS10" s="9"/>
      <c r="JQT10" s="9"/>
      <c r="JQU10" s="9"/>
      <c r="JQV10" s="10"/>
      <c r="JQW10" s="11"/>
      <c r="JQX10" s="12"/>
      <c r="JQY10" s="12"/>
      <c r="JQZ10" s="12"/>
      <c r="JRA10" s="13"/>
      <c r="JRB10" s="9"/>
      <c r="JRC10" s="9"/>
      <c r="JRD10" s="9"/>
      <c r="JRE10" s="9"/>
      <c r="JRF10" s="10"/>
      <c r="JRG10" s="11"/>
      <c r="JRH10" s="12"/>
      <c r="JRI10" s="12"/>
      <c r="JRJ10" s="12"/>
      <c r="JRK10" s="13"/>
      <c r="JRL10" s="9"/>
      <c r="JRM10" s="9"/>
      <c r="JRN10" s="9"/>
      <c r="JRO10" s="9"/>
      <c r="JRP10" s="10"/>
      <c r="JRQ10" s="11"/>
      <c r="JRR10" s="12"/>
      <c r="JRS10" s="12"/>
      <c r="JRT10" s="12"/>
      <c r="JRU10" s="13"/>
      <c r="JRV10" s="9"/>
      <c r="JRW10" s="9"/>
      <c r="JRX10" s="9"/>
      <c r="JRY10" s="9"/>
      <c r="JRZ10" s="10"/>
      <c r="JSA10" s="11"/>
      <c r="JSB10" s="12"/>
      <c r="JSC10" s="12"/>
      <c r="JSD10" s="12"/>
      <c r="JSE10" s="13"/>
      <c r="JSF10" s="9"/>
      <c r="JSG10" s="9"/>
      <c r="JSH10" s="9"/>
      <c r="JSI10" s="9"/>
      <c r="JSJ10" s="10"/>
      <c r="JSK10" s="11"/>
      <c r="JSL10" s="12"/>
      <c r="JSM10" s="12"/>
      <c r="JSN10" s="12"/>
      <c r="JSO10" s="13"/>
      <c r="JSP10" s="9"/>
      <c r="JSQ10" s="9"/>
      <c r="JSR10" s="9"/>
      <c r="JSS10" s="9"/>
      <c r="JST10" s="10"/>
      <c r="JSU10" s="11"/>
      <c r="JSV10" s="12"/>
      <c r="JSW10" s="12"/>
      <c r="JSX10" s="12"/>
      <c r="JSY10" s="13"/>
      <c r="JSZ10" s="9"/>
      <c r="JTA10" s="9"/>
      <c r="JTB10" s="9"/>
      <c r="JTC10" s="9"/>
      <c r="JTD10" s="10"/>
      <c r="JTE10" s="11"/>
      <c r="JTF10" s="12"/>
      <c r="JTG10" s="12"/>
      <c r="JTH10" s="12"/>
      <c r="JTI10" s="13"/>
      <c r="JTJ10" s="9"/>
      <c r="JTK10" s="9"/>
      <c r="JTL10" s="9"/>
      <c r="JTM10" s="9"/>
      <c r="JTN10" s="10"/>
      <c r="JTO10" s="11"/>
      <c r="JTP10" s="12"/>
      <c r="JTQ10" s="12"/>
      <c r="JTR10" s="12"/>
      <c r="JTS10" s="13"/>
      <c r="JTT10" s="9"/>
      <c r="JTU10" s="9"/>
      <c r="JTV10" s="9"/>
      <c r="JTW10" s="9"/>
      <c r="JTX10" s="10"/>
      <c r="JTY10" s="11"/>
      <c r="JTZ10" s="12"/>
      <c r="JUA10" s="12"/>
      <c r="JUB10" s="12"/>
      <c r="JUC10" s="13"/>
      <c r="JUD10" s="9"/>
      <c r="JUE10" s="9"/>
      <c r="JUF10" s="9"/>
      <c r="JUG10" s="9"/>
      <c r="JUH10" s="10"/>
      <c r="JUI10" s="11"/>
      <c r="JUJ10" s="12"/>
      <c r="JUK10" s="12"/>
      <c r="JUL10" s="12"/>
      <c r="JUM10" s="13"/>
      <c r="JUN10" s="9"/>
      <c r="JUO10" s="9"/>
      <c r="JUP10" s="9"/>
      <c r="JUQ10" s="9"/>
      <c r="JUR10" s="10"/>
      <c r="JUS10" s="11"/>
      <c r="JUT10" s="12"/>
      <c r="JUU10" s="12"/>
      <c r="JUV10" s="12"/>
      <c r="JUW10" s="13"/>
      <c r="JUX10" s="9"/>
      <c r="JUY10" s="9"/>
      <c r="JUZ10" s="9"/>
      <c r="JVA10" s="9"/>
      <c r="JVB10" s="10"/>
      <c r="JVC10" s="11"/>
      <c r="JVD10" s="12"/>
      <c r="JVE10" s="12"/>
      <c r="JVF10" s="12"/>
      <c r="JVG10" s="13"/>
      <c r="JVH10" s="9"/>
      <c r="JVI10" s="9"/>
      <c r="JVJ10" s="9"/>
      <c r="JVK10" s="9"/>
      <c r="JVL10" s="10"/>
      <c r="JVM10" s="11"/>
      <c r="JVN10" s="12"/>
      <c r="JVO10" s="12"/>
      <c r="JVP10" s="12"/>
      <c r="JVQ10" s="13"/>
      <c r="JVR10" s="9"/>
      <c r="JVS10" s="9"/>
      <c r="JVT10" s="9"/>
      <c r="JVU10" s="9"/>
      <c r="JVV10" s="10"/>
      <c r="JVW10" s="11"/>
      <c r="JVX10" s="12"/>
      <c r="JVY10" s="12"/>
      <c r="JVZ10" s="12"/>
      <c r="JWA10" s="13"/>
      <c r="JWB10" s="9"/>
      <c r="JWC10" s="9"/>
      <c r="JWD10" s="9"/>
      <c r="JWE10" s="9"/>
      <c r="JWF10" s="10"/>
      <c r="JWG10" s="11"/>
      <c r="JWH10" s="12"/>
      <c r="JWI10" s="12"/>
      <c r="JWJ10" s="12"/>
      <c r="JWK10" s="13"/>
      <c r="JWL10" s="9"/>
      <c r="JWM10" s="9"/>
      <c r="JWN10" s="9"/>
      <c r="JWO10" s="9"/>
      <c r="JWP10" s="10"/>
      <c r="JWQ10" s="11"/>
      <c r="JWR10" s="12"/>
      <c r="JWS10" s="12"/>
      <c r="JWT10" s="12"/>
      <c r="JWU10" s="13"/>
      <c r="JWV10" s="9"/>
      <c r="JWW10" s="9"/>
      <c r="JWX10" s="9"/>
      <c r="JWY10" s="9"/>
      <c r="JWZ10" s="10"/>
      <c r="JXA10" s="11"/>
      <c r="JXB10" s="12"/>
      <c r="JXC10" s="12"/>
      <c r="JXD10" s="12"/>
      <c r="JXE10" s="13"/>
      <c r="JXF10" s="9"/>
      <c r="JXG10" s="9"/>
      <c r="JXH10" s="9"/>
      <c r="JXI10" s="9"/>
      <c r="JXJ10" s="10"/>
      <c r="JXK10" s="11"/>
      <c r="JXL10" s="12"/>
      <c r="JXM10" s="12"/>
      <c r="JXN10" s="12"/>
      <c r="JXO10" s="13"/>
      <c r="JXP10" s="9"/>
      <c r="JXQ10" s="9"/>
      <c r="JXR10" s="9"/>
      <c r="JXS10" s="9"/>
      <c r="JXT10" s="10"/>
      <c r="JXU10" s="11"/>
      <c r="JXV10" s="12"/>
      <c r="JXW10" s="12"/>
      <c r="JXX10" s="12"/>
      <c r="JXY10" s="13"/>
      <c r="JXZ10" s="9"/>
      <c r="JYA10" s="9"/>
      <c r="JYB10" s="9"/>
      <c r="JYC10" s="9"/>
      <c r="JYD10" s="10"/>
      <c r="JYE10" s="11"/>
      <c r="JYF10" s="12"/>
      <c r="JYG10" s="12"/>
      <c r="JYH10" s="12"/>
      <c r="JYI10" s="13"/>
      <c r="JYJ10" s="9"/>
      <c r="JYK10" s="9"/>
      <c r="JYL10" s="9"/>
      <c r="JYM10" s="9"/>
      <c r="JYN10" s="10"/>
      <c r="JYO10" s="11"/>
      <c r="JYP10" s="12"/>
      <c r="JYQ10" s="12"/>
      <c r="JYR10" s="12"/>
      <c r="JYS10" s="13"/>
      <c r="JYT10" s="9"/>
      <c r="JYU10" s="9"/>
      <c r="JYV10" s="9"/>
      <c r="JYW10" s="9"/>
      <c r="JYX10" s="10"/>
      <c r="JYY10" s="11"/>
      <c r="JYZ10" s="12"/>
      <c r="JZA10" s="12"/>
      <c r="JZB10" s="12"/>
      <c r="JZC10" s="13"/>
      <c r="JZD10" s="9"/>
      <c r="JZE10" s="9"/>
      <c r="JZF10" s="9"/>
      <c r="JZG10" s="9"/>
      <c r="JZH10" s="10"/>
      <c r="JZI10" s="11"/>
      <c r="JZJ10" s="12"/>
      <c r="JZK10" s="12"/>
      <c r="JZL10" s="12"/>
      <c r="JZM10" s="13"/>
      <c r="JZN10" s="9"/>
      <c r="JZO10" s="9"/>
      <c r="JZP10" s="9"/>
      <c r="JZQ10" s="9"/>
      <c r="JZR10" s="10"/>
      <c r="JZS10" s="11"/>
      <c r="JZT10" s="12"/>
      <c r="JZU10" s="12"/>
      <c r="JZV10" s="12"/>
      <c r="JZW10" s="13"/>
      <c r="JZX10" s="9"/>
      <c r="JZY10" s="9"/>
      <c r="JZZ10" s="9"/>
      <c r="KAA10" s="9"/>
      <c r="KAB10" s="10"/>
      <c r="KAC10" s="11"/>
      <c r="KAD10" s="12"/>
      <c r="KAE10" s="12"/>
      <c r="KAF10" s="12"/>
      <c r="KAG10" s="13"/>
      <c r="KAH10" s="9"/>
      <c r="KAI10" s="9"/>
      <c r="KAJ10" s="9"/>
      <c r="KAK10" s="9"/>
      <c r="KAL10" s="10"/>
      <c r="KAM10" s="11"/>
      <c r="KAN10" s="12"/>
      <c r="KAO10" s="12"/>
      <c r="KAP10" s="12"/>
      <c r="KAQ10" s="13"/>
      <c r="KAR10" s="9"/>
      <c r="KAS10" s="9"/>
      <c r="KAT10" s="9"/>
      <c r="KAU10" s="9"/>
      <c r="KAV10" s="10"/>
      <c r="KAW10" s="11"/>
      <c r="KAX10" s="12"/>
      <c r="KAY10" s="12"/>
      <c r="KAZ10" s="12"/>
      <c r="KBA10" s="13"/>
      <c r="KBB10" s="9"/>
      <c r="KBC10" s="9"/>
      <c r="KBD10" s="9"/>
      <c r="KBE10" s="9"/>
      <c r="KBF10" s="10"/>
      <c r="KBG10" s="11"/>
      <c r="KBH10" s="12"/>
      <c r="KBI10" s="12"/>
      <c r="KBJ10" s="12"/>
      <c r="KBK10" s="13"/>
      <c r="KBL10" s="9"/>
      <c r="KBM10" s="9"/>
      <c r="KBN10" s="9"/>
      <c r="KBO10" s="9"/>
      <c r="KBP10" s="10"/>
      <c r="KBQ10" s="11"/>
      <c r="KBR10" s="12"/>
      <c r="KBS10" s="12"/>
      <c r="KBT10" s="12"/>
      <c r="KBU10" s="13"/>
      <c r="KBV10" s="9"/>
      <c r="KBW10" s="9"/>
      <c r="KBX10" s="9"/>
      <c r="KBY10" s="9"/>
      <c r="KBZ10" s="10"/>
      <c r="KCA10" s="11"/>
      <c r="KCB10" s="12"/>
      <c r="KCC10" s="12"/>
      <c r="KCD10" s="12"/>
      <c r="KCE10" s="13"/>
      <c r="KCF10" s="9"/>
      <c r="KCG10" s="9"/>
      <c r="KCH10" s="9"/>
      <c r="KCI10" s="9"/>
      <c r="KCJ10" s="10"/>
      <c r="KCK10" s="11"/>
      <c r="KCL10" s="12"/>
      <c r="KCM10" s="12"/>
      <c r="KCN10" s="12"/>
      <c r="KCO10" s="13"/>
      <c r="KCP10" s="9"/>
      <c r="KCQ10" s="9"/>
      <c r="KCR10" s="9"/>
      <c r="KCS10" s="9"/>
      <c r="KCT10" s="10"/>
      <c r="KCU10" s="11"/>
      <c r="KCV10" s="12"/>
      <c r="KCW10" s="12"/>
      <c r="KCX10" s="12"/>
      <c r="KCY10" s="13"/>
      <c r="KCZ10" s="9"/>
      <c r="KDA10" s="9"/>
      <c r="KDB10" s="9"/>
      <c r="KDC10" s="9"/>
      <c r="KDD10" s="10"/>
      <c r="KDE10" s="11"/>
      <c r="KDF10" s="12"/>
      <c r="KDG10" s="12"/>
      <c r="KDH10" s="12"/>
      <c r="KDI10" s="13"/>
      <c r="KDJ10" s="9"/>
      <c r="KDK10" s="9"/>
      <c r="KDL10" s="9"/>
      <c r="KDM10" s="9"/>
      <c r="KDN10" s="10"/>
      <c r="KDO10" s="11"/>
      <c r="KDP10" s="12"/>
      <c r="KDQ10" s="12"/>
      <c r="KDR10" s="12"/>
      <c r="KDS10" s="13"/>
      <c r="KDT10" s="9"/>
      <c r="KDU10" s="9"/>
      <c r="KDV10" s="9"/>
      <c r="KDW10" s="9"/>
      <c r="KDX10" s="10"/>
      <c r="KDY10" s="11"/>
      <c r="KDZ10" s="12"/>
      <c r="KEA10" s="12"/>
      <c r="KEB10" s="12"/>
      <c r="KEC10" s="13"/>
      <c r="KED10" s="9"/>
      <c r="KEE10" s="9"/>
      <c r="KEF10" s="9"/>
      <c r="KEG10" s="9"/>
      <c r="KEH10" s="10"/>
      <c r="KEI10" s="11"/>
      <c r="KEJ10" s="12"/>
      <c r="KEK10" s="12"/>
      <c r="KEL10" s="12"/>
      <c r="KEM10" s="13"/>
      <c r="KEN10" s="9"/>
      <c r="KEO10" s="9"/>
      <c r="KEP10" s="9"/>
      <c r="KEQ10" s="9"/>
      <c r="KER10" s="10"/>
      <c r="KES10" s="11"/>
      <c r="KET10" s="12"/>
      <c r="KEU10" s="12"/>
      <c r="KEV10" s="12"/>
      <c r="KEW10" s="13"/>
      <c r="KEX10" s="9"/>
      <c r="KEY10" s="9"/>
      <c r="KEZ10" s="9"/>
      <c r="KFA10" s="9"/>
      <c r="KFB10" s="10"/>
      <c r="KFC10" s="11"/>
      <c r="KFD10" s="12"/>
      <c r="KFE10" s="12"/>
      <c r="KFF10" s="12"/>
      <c r="KFG10" s="13"/>
      <c r="KFH10" s="9"/>
      <c r="KFI10" s="9"/>
      <c r="KFJ10" s="9"/>
      <c r="KFK10" s="9"/>
      <c r="KFL10" s="10"/>
      <c r="KFM10" s="11"/>
      <c r="KFN10" s="12"/>
      <c r="KFO10" s="12"/>
      <c r="KFP10" s="12"/>
      <c r="KFQ10" s="13"/>
      <c r="KFR10" s="9"/>
      <c r="KFS10" s="9"/>
      <c r="KFT10" s="9"/>
      <c r="KFU10" s="9"/>
      <c r="KFV10" s="10"/>
      <c r="KFW10" s="11"/>
      <c r="KFX10" s="12"/>
      <c r="KFY10" s="12"/>
      <c r="KFZ10" s="12"/>
      <c r="KGA10" s="13"/>
      <c r="KGB10" s="9"/>
      <c r="KGC10" s="9"/>
      <c r="KGD10" s="9"/>
      <c r="KGE10" s="9"/>
      <c r="KGF10" s="10"/>
      <c r="KGG10" s="11"/>
      <c r="KGH10" s="12"/>
      <c r="KGI10" s="12"/>
      <c r="KGJ10" s="12"/>
      <c r="KGK10" s="13"/>
      <c r="KGL10" s="9"/>
      <c r="KGM10" s="9"/>
      <c r="KGN10" s="9"/>
      <c r="KGO10" s="9"/>
      <c r="KGP10" s="10"/>
      <c r="KGQ10" s="11"/>
      <c r="KGR10" s="12"/>
      <c r="KGS10" s="12"/>
      <c r="KGT10" s="12"/>
      <c r="KGU10" s="13"/>
      <c r="KGV10" s="9"/>
      <c r="KGW10" s="9"/>
      <c r="KGX10" s="9"/>
      <c r="KGY10" s="9"/>
      <c r="KGZ10" s="10"/>
      <c r="KHA10" s="11"/>
      <c r="KHB10" s="12"/>
      <c r="KHC10" s="12"/>
      <c r="KHD10" s="12"/>
      <c r="KHE10" s="13"/>
      <c r="KHF10" s="9"/>
      <c r="KHG10" s="9"/>
      <c r="KHH10" s="9"/>
      <c r="KHI10" s="9"/>
      <c r="KHJ10" s="10"/>
      <c r="KHK10" s="11"/>
      <c r="KHL10" s="12"/>
      <c r="KHM10" s="12"/>
      <c r="KHN10" s="12"/>
      <c r="KHO10" s="13"/>
      <c r="KHP10" s="9"/>
      <c r="KHQ10" s="9"/>
      <c r="KHR10" s="9"/>
      <c r="KHS10" s="9"/>
      <c r="KHT10" s="10"/>
      <c r="KHU10" s="11"/>
      <c r="KHV10" s="12"/>
      <c r="KHW10" s="12"/>
      <c r="KHX10" s="12"/>
      <c r="KHY10" s="13"/>
      <c r="KHZ10" s="9"/>
      <c r="KIA10" s="9"/>
      <c r="KIB10" s="9"/>
      <c r="KIC10" s="9"/>
      <c r="KID10" s="10"/>
      <c r="KIE10" s="11"/>
      <c r="KIF10" s="12"/>
      <c r="KIG10" s="12"/>
      <c r="KIH10" s="12"/>
      <c r="KII10" s="13"/>
      <c r="KIJ10" s="9"/>
      <c r="KIK10" s="9"/>
      <c r="KIL10" s="9"/>
      <c r="KIM10" s="9"/>
      <c r="KIN10" s="10"/>
      <c r="KIO10" s="11"/>
      <c r="KIP10" s="12"/>
      <c r="KIQ10" s="12"/>
      <c r="KIR10" s="12"/>
      <c r="KIS10" s="13"/>
      <c r="KIT10" s="9"/>
      <c r="KIU10" s="9"/>
      <c r="KIV10" s="9"/>
      <c r="KIW10" s="9"/>
      <c r="KIX10" s="10"/>
      <c r="KIY10" s="11"/>
      <c r="KIZ10" s="12"/>
      <c r="KJA10" s="12"/>
      <c r="KJB10" s="12"/>
      <c r="KJC10" s="13"/>
      <c r="KJD10" s="9"/>
      <c r="KJE10" s="9"/>
      <c r="KJF10" s="9"/>
      <c r="KJG10" s="9"/>
      <c r="KJH10" s="10"/>
      <c r="KJI10" s="11"/>
      <c r="KJJ10" s="12"/>
      <c r="KJK10" s="12"/>
      <c r="KJL10" s="12"/>
      <c r="KJM10" s="13"/>
      <c r="KJN10" s="9"/>
      <c r="KJO10" s="9"/>
      <c r="KJP10" s="9"/>
      <c r="KJQ10" s="9"/>
      <c r="KJR10" s="10"/>
      <c r="KJS10" s="11"/>
      <c r="KJT10" s="12"/>
      <c r="KJU10" s="12"/>
      <c r="KJV10" s="12"/>
      <c r="KJW10" s="13"/>
      <c r="KJX10" s="9"/>
      <c r="KJY10" s="9"/>
      <c r="KJZ10" s="9"/>
      <c r="KKA10" s="9"/>
      <c r="KKB10" s="10"/>
      <c r="KKC10" s="11"/>
      <c r="KKD10" s="12"/>
      <c r="KKE10" s="12"/>
      <c r="KKF10" s="12"/>
      <c r="KKG10" s="13"/>
      <c r="KKH10" s="9"/>
      <c r="KKI10" s="9"/>
      <c r="KKJ10" s="9"/>
      <c r="KKK10" s="9"/>
      <c r="KKL10" s="10"/>
      <c r="KKM10" s="11"/>
      <c r="KKN10" s="12"/>
      <c r="KKO10" s="12"/>
      <c r="KKP10" s="12"/>
      <c r="KKQ10" s="13"/>
      <c r="KKR10" s="9"/>
      <c r="KKS10" s="9"/>
      <c r="KKT10" s="9"/>
      <c r="KKU10" s="9"/>
      <c r="KKV10" s="10"/>
      <c r="KKW10" s="11"/>
      <c r="KKX10" s="12"/>
      <c r="KKY10" s="12"/>
      <c r="KKZ10" s="12"/>
      <c r="KLA10" s="13"/>
      <c r="KLB10" s="9"/>
      <c r="KLC10" s="9"/>
      <c r="KLD10" s="9"/>
      <c r="KLE10" s="9"/>
      <c r="KLF10" s="10"/>
      <c r="KLG10" s="11"/>
      <c r="KLH10" s="12"/>
      <c r="KLI10" s="12"/>
      <c r="KLJ10" s="12"/>
      <c r="KLK10" s="13"/>
      <c r="KLL10" s="9"/>
      <c r="KLM10" s="9"/>
      <c r="KLN10" s="9"/>
      <c r="KLO10" s="9"/>
      <c r="KLP10" s="10"/>
      <c r="KLQ10" s="11"/>
      <c r="KLR10" s="12"/>
      <c r="KLS10" s="12"/>
      <c r="KLT10" s="12"/>
      <c r="KLU10" s="13"/>
      <c r="KLV10" s="9"/>
      <c r="KLW10" s="9"/>
      <c r="KLX10" s="9"/>
      <c r="KLY10" s="9"/>
      <c r="KLZ10" s="10"/>
      <c r="KMA10" s="11"/>
      <c r="KMB10" s="12"/>
      <c r="KMC10" s="12"/>
      <c r="KMD10" s="12"/>
      <c r="KME10" s="13"/>
      <c r="KMF10" s="9"/>
      <c r="KMG10" s="9"/>
      <c r="KMH10" s="9"/>
      <c r="KMI10" s="9"/>
      <c r="KMJ10" s="10"/>
      <c r="KMK10" s="11"/>
      <c r="KML10" s="12"/>
      <c r="KMM10" s="12"/>
      <c r="KMN10" s="12"/>
      <c r="KMO10" s="13"/>
      <c r="KMP10" s="9"/>
      <c r="KMQ10" s="9"/>
      <c r="KMR10" s="9"/>
      <c r="KMS10" s="9"/>
      <c r="KMT10" s="10"/>
      <c r="KMU10" s="11"/>
      <c r="KMV10" s="12"/>
      <c r="KMW10" s="12"/>
      <c r="KMX10" s="12"/>
      <c r="KMY10" s="13"/>
      <c r="KMZ10" s="9"/>
      <c r="KNA10" s="9"/>
      <c r="KNB10" s="9"/>
      <c r="KNC10" s="9"/>
      <c r="KND10" s="10"/>
      <c r="KNE10" s="11"/>
      <c r="KNF10" s="12"/>
      <c r="KNG10" s="12"/>
      <c r="KNH10" s="12"/>
      <c r="KNI10" s="13"/>
      <c r="KNJ10" s="9"/>
      <c r="KNK10" s="9"/>
      <c r="KNL10" s="9"/>
      <c r="KNM10" s="9"/>
      <c r="KNN10" s="10"/>
      <c r="KNO10" s="11"/>
      <c r="KNP10" s="12"/>
      <c r="KNQ10" s="12"/>
      <c r="KNR10" s="12"/>
      <c r="KNS10" s="13"/>
      <c r="KNT10" s="9"/>
      <c r="KNU10" s="9"/>
      <c r="KNV10" s="9"/>
      <c r="KNW10" s="9"/>
      <c r="KNX10" s="10"/>
      <c r="KNY10" s="11"/>
      <c r="KNZ10" s="12"/>
      <c r="KOA10" s="12"/>
      <c r="KOB10" s="12"/>
      <c r="KOC10" s="13"/>
      <c r="KOD10" s="9"/>
      <c r="KOE10" s="9"/>
      <c r="KOF10" s="9"/>
      <c r="KOG10" s="9"/>
      <c r="KOH10" s="10"/>
      <c r="KOI10" s="11"/>
      <c r="KOJ10" s="12"/>
      <c r="KOK10" s="12"/>
      <c r="KOL10" s="12"/>
      <c r="KOM10" s="13"/>
      <c r="KON10" s="9"/>
      <c r="KOO10" s="9"/>
      <c r="KOP10" s="9"/>
      <c r="KOQ10" s="9"/>
      <c r="KOR10" s="10"/>
      <c r="KOS10" s="11"/>
      <c r="KOT10" s="12"/>
      <c r="KOU10" s="12"/>
      <c r="KOV10" s="12"/>
      <c r="KOW10" s="13"/>
      <c r="KOX10" s="9"/>
      <c r="KOY10" s="9"/>
      <c r="KOZ10" s="9"/>
      <c r="KPA10" s="9"/>
      <c r="KPB10" s="10"/>
      <c r="KPC10" s="11"/>
      <c r="KPD10" s="12"/>
      <c r="KPE10" s="12"/>
      <c r="KPF10" s="12"/>
      <c r="KPG10" s="13"/>
      <c r="KPH10" s="9"/>
      <c r="KPI10" s="9"/>
      <c r="KPJ10" s="9"/>
      <c r="KPK10" s="9"/>
      <c r="KPL10" s="10"/>
      <c r="KPM10" s="11"/>
      <c r="KPN10" s="12"/>
      <c r="KPO10" s="12"/>
      <c r="KPP10" s="12"/>
      <c r="KPQ10" s="13"/>
      <c r="KPR10" s="9"/>
      <c r="KPS10" s="9"/>
      <c r="KPT10" s="9"/>
      <c r="KPU10" s="9"/>
      <c r="KPV10" s="10"/>
      <c r="KPW10" s="11"/>
      <c r="KPX10" s="12"/>
      <c r="KPY10" s="12"/>
      <c r="KPZ10" s="12"/>
      <c r="KQA10" s="13"/>
      <c r="KQB10" s="9"/>
      <c r="KQC10" s="9"/>
      <c r="KQD10" s="9"/>
      <c r="KQE10" s="9"/>
      <c r="KQF10" s="10"/>
      <c r="KQG10" s="11"/>
      <c r="KQH10" s="12"/>
      <c r="KQI10" s="12"/>
      <c r="KQJ10" s="12"/>
      <c r="KQK10" s="13"/>
      <c r="KQL10" s="9"/>
      <c r="KQM10" s="9"/>
      <c r="KQN10" s="9"/>
      <c r="KQO10" s="9"/>
      <c r="KQP10" s="10"/>
      <c r="KQQ10" s="11"/>
      <c r="KQR10" s="12"/>
      <c r="KQS10" s="12"/>
      <c r="KQT10" s="12"/>
      <c r="KQU10" s="13"/>
      <c r="KQV10" s="9"/>
      <c r="KQW10" s="9"/>
      <c r="KQX10" s="9"/>
      <c r="KQY10" s="9"/>
      <c r="KQZ10" s="10"/>
      <c r="KRA10" s="11"/>
      <c r="KRB10" s="12"/>
      <c r="KRC10" s="12"/>
      <c r="KRD10" s="12"/>
      <c r="KRE10" s="13"/>
      <c r="KRF10" s="9"/>
      <c r="KRG10" s="9"/>
      <c r="KRH10" s="9"/>
      <c r="KRI10" s="9"/>
      <c r="KRJ10" s="10"/>
      <c r="KRK10" s="11"/>
      <c r="KRL10" s="12"/>
      <c r="KRM10" s="12"/>
      <c r="KRN10" s="12"/>
      <c r="KRO10" s="13"/>
      <c r="KRP10" s="9"/>
      <c r="KRQ10" s="9"/>
      <c r="KRR10" s="9"/>
      <c r="KRS10" s="9"/>
      <c r="KRT10" s="10"/>
      <c r="KRU10" s="11"/>
      <c r="KRV10" s="12"/>
      <c r="KRW10" s="12"/>
      <c r="KRX10" s="12"/>
      <c r="KRY10" s="13"/>
      <c r="KRZ10" s="9"/>
      <c r="KSA10" s="9"/>
      <c r="KSB10" s="9"/>
      <c r="KSC10" s="9"/>
      <c r="KSD10" s="10"/>
      <c r="KSE10" s="11"/>
      <c r="KSF10" s="12"/>
      <c r="KSG10" s="12"/>
      <c r="KSH10" s="12"/>
      <c r="KSI10" s="13"/>
      <c r="KSJ10" s="9"/>
      <c r="KSK10" s="9"/>
      <c r="KSL10" s="9"/>
      <c r="KSM10" s="9"/>
      <c r="KSN10" s="10"/>
      <c r="KSO10" s="11"/>
      <c r="KSP10" s="12"/>
      <c r="KSQ10" s="12"/>
      <c r="KSR10" s="12"/>
      <c r="KSS10" s="13"/>
      <c r="KST10" s="9"/>
      <c r="KSU10" s="9"/>
      <c r="KSV10" s="9"/>
      <c r="KSW10" s="9"/>
      <c r="KSX10" s="10"/>
      <c r="KSY10" s="11"/>
      <c r="KSZ10" s="12"/>
      <c r="KTA10" s="12"/>
      <c r="KTB10" s="12"/>
      <c r="KTC10" s="13"/>
      <c r="KTD10" s="9"/>
      <c r="KTE10" s="9"/>
      <c r="KTF10" s="9"/>
      <c r="KTG10" s="9"/>
      <c r="KTH10" s="10"/>
      <c r="KTI10" s="11"/>
      <c r="KTJ10" s="12"/>
      <c r="KTK10" s="12"/>
      <c r="KTL10" s="12"/>
      <c r="KTM10" s="13"/>
      <c r="KTN10" s="9"/>
      <c r="KTO10" s="9"/>
      <c r="KTP10" s="9"/>
      <c r="KTQ10" s="9"/>
      <c r="KTR10" s="10"/>
      <c r="KTS10" s="11"/>
      <c r="KTT10" s="12"/>
      <c r="KTU10" s="12"/>
      <c r="KTV10" s="12"/>
      <c r="KTW10" s="13"/>
      <c r="KTX10" s="9"/>
      <c r="KTY10" s="9"/>
      <c r="KTZ10" s="9"/>
      <c r="KUA10" s="9"/>
      <c r="KUB10" s="10"/>
      <c r="KUC10" s="11"/>
      <c r="KUD10" s="12"/>
      <c r="KUE10" s="12"/>
      <c r="KUF10" s="12"/>
      <c r="KUG10" s="13"/>
      <c r="KUH10" s="9"/>
      <c r="KUI10" s="9"/>
      <c r="KUJ10" s="9"/>
      <c r="KUK10" s="9"/>
      <c r="KUL10" s="10"/>
      <c r="KUM10" s="11"/>
      <c r="KUN10" s="12"/>
      <c r="KUO10" s="12"/>
      <c r="KUP10" s="12"/>
      <c r="KUQ10" s="13"/>
      <c r="KUR10" s="9"/>
      <c r="KUS10" s="9"/>
      <c r="KUT10" s="9"/>
      <c r="KUU10" s="9"/>
      <c r="KUV10" s="10"/>
      <c r="KUW10" s="11"/>
      <c r="KUX10" s="12"/>
      <c r="KUY10" s="12"/>
      <c r="KUZ10" s="12"/>
      <c r="KVA10" s="13"/>
      <c r="KVB10" s="9"/>
      <c r="KVC10" s="9"/>
      <c r="KVD10" s="9"/>
      <c r="KVE10" s="9"/>
      <c r="KVF10" s="10"/>
      <c r="KVG10" s="11"/>
      <c r="KVH10" s="12"/>
      <c r="KVI10" s="12"/>
      <c r="KVJ10" s="12"/>
      <c r="KVK10" s="13"/>
      <c r="KVL10" s="9"/>
      <c r="KVM10" s="9"/>
      <c r="KVN10" s="9"/>
      <c r="KVO10" s="9"/>
      <c r="KVP10" s="10"/>
      <c r="KVQ10" s="11"/>
      <c r="KVR10" s="12"/>
      <c r="KVS10" s="12"/>
      <c r="KVT10" s="12"/>
      <c r="KVU10" s="13"/>
      <c r="KVV10" s="9"/>
      <c r="KVW10" s="9"/>
      <c r="KVX10" s="9"/>
      <c r="KVY10" s="9"/>
      <c r="KVZ10" s="10"/>
      <c r="KWA10" s="11"/>
      <c r="KWB10" s="12"/>
      <c r="KWC10" s="12"/>
      <c r="KWD10" s="12"/>
      <c r="KWE10" s="13"/>
      <c r="KWF10" s="9"/>
      <c r="KWG10" s="9"/>
      <c r="KWH10" s="9"/>
      <c r="KWI10" s="9"/>
      <c r="KWJ10" s="10"/>
      <c r="KWK10" s="11"/>
      <c r="KWL10" s="12"/>
      <c r="KWM10" s="12"/>
      <c r="KWN10" s="12"/>
      <c r="KWO10" s="13"/>
      <c r="KWP10" s="9"/>
      <c r="KWQ10" s="9"/>
      <c r="KWR10" s="9"/>
      <c r="KWS10" s="9"/>
      <c r="KWT10" s="10"/>
      <c r="KWU10" s="11"/>
      <c r="KWV10" s="12"/>
      <c r="KWW10" s="12"/>
      <c r="KWX10" s="12"/>
      <c r="KWY10" s="13"/>
      <c r="KWZ10" s="9"/>
      <c r="KXA10" s="9"/>
      <c r="KXB10" s="9"/>
      <c r="KXC10" s="9"/>
      <c r="KXD10" s="10"/>
      <c r="KXE10" s="11"/>
      <c r="KXF10" s="12"/>
      <c r="KXG10" s="12"/>
      <c r="KXH10" s="12"/>
      <c r="KXI10" s="13"/>
      <c r="KXJ10" s="9"/>
      <c r="KXK10" s="9"/>
      <c r="KXL10" s="9"/>
      <c r="KXM10" s="9"/>
      <c r="KXN10" s="10"/>
      <c r="KXO10" s="11"/>
      <c r="KXP10" s="12"/>
      <c r="KXQ10" s="12"/>
      <c r="KXR10" s="12"/>
      <c r="KXS10" s="13"/>
      <c r="KXT10" s="9"/>
      <c r="KXU10" s="9"/>
      <c r="KXV10" s="9"/>
      <c r="KXW10" s="9"/>
      <c r="KXX10" s="10"/>
      <c r="KXY10" s="11"/>
      <c r="KXZ10" s="12"/>
      <c r="KYA10" s="12"/>
      <c r="KYB10" s="12"/>
      <c r="KYC10" s="13"/>
      <c r="KYD10" s="9"/>
      <c r="KYE10" s="9"/>
      <c r="KYF10" s="9"/>
      <c r="KYG10" s="9"/>
      <c r="KYH10" s="10"/>
      <c r="KYI10" s="11"/>
      <c r="KYJ10" s="12"/>
      <c r="KYK10" s="12"/>
      <c r="KYL10" s="12"/>
      <c r="KYM10" s="13"/>
      <c r="KYN10" s="9"/>
      <c r="KYO10" s="9"/>
      <c r="KYP10" s="9"/>
      <c r="KYQ10" s="9"/>
      <c r="KYR10" s="10"/>
      <c r="KYS10" s="11"/>
      <c r="KYT10" s="12"/>
      <c r="KYU10" s="12"/>
      <c r="KYV10" s="12"/>
      <c r="KYW10" s="13"/>
      <c r="KYX10" s="9"/>
      <c r="KYY10" s="9"/>
      <c r="KYZ10" s="9"/>
      <c r="KZA10" s="9"/>
      <c r="KZB10" s="10"/>
      <c r="KZC10" s="11"/>
      <c r="KZD10" s="12"/>
      <c r="KZE10" s="12"/>
      <c r="KZF10" s="12"/>
      <c r="KZG10" s="13"/>
      <c r="KZH10" s="9"/>
      <c r="KZI10" s="9"/>
      <c r="KZJ10" s="9"/>
      <c r="KZK10" s="9"/>
      <c r="KZL10" s="10"/>
      <c r="KZM10" s="11"/>
      <c r="KZN10" s="12"/>
      <c r="KZO10" s="12"/>
      <c r="KZP10" s="12"/>
      <c r="KZQ10" s="13"/>
      <c r="KZR10" s="9"/>
      <c r="KZS10" s="9"/>
      <c r="KZT10" s="9"/>
      <c r="KZU10" s="9"/>
      <c r="KZV10" s="10"/>
      <c r="KZW10" s="11"/>
      <c r="KZX10" s="12"/>
      <c r="KZY10" s="12"/>
      <c r="KZZ10" s="12"/>
      <c r="LAA10" s="13"/>
      <c r="LAB10" s="9"/>
      <c r="LAC10" s="9"/>
      <c r="LAD10" s="9"/>
      <c r="LAE10" s="9"/>
      <c r="LAF10" s="10"/>
      <c r="LAG10" s="11"/>
      <c r="LAH10" s="12"/>
      <c r="LAI10" s="12"/>
      <c r="LAJ10" s="12"/>
      <c r="LAK10" s="13"/>
      <c r="LAL10" s="9"/>
      <c r="LAM10" s="9"/>
      <c r="LAN10" s="9"/>
      <c r="LAO10" s="9"/>
      <c r="LAP10" s="10"/>
      <c r="LAQ10" s="11"/>
      <c r="LAR10" s="12"/>
      <c r="LAS10" s="12"/>
      <c r="LAT10" s="12"/>
      <c r="LAU10" s="13"/>
      <c r="LAV10" s="9"/>
      <c r="LAW10" s="9"/>
      <c r="LAX10" s="9"/>
      <c r="LAY10" s="9"/>
      <c r="LAZ10" s="10"/>
      <c r="LBA10" s="11"/>
      <c r="LBB10" s="12"/>
      <c r="LBC10" s="12"/>
      <c r="LBD10" s="12"/>
      <c r="LBE10" s="13"/>
      <c r="LBF10" s="9"/>
      <c r="LBG10" s="9"/>
      <c r="LBH10" s="9"/>
      <c r="LBI10" s="9"/>
      <c r="LBJ10" s="10"/>
      <c r="LBK10" s="11"/>
      <c r="LBL10" s="12"/>
      <c r="LBM10" s="12"/>
      <c r="LBN10" s="12"/>
      <c r="LBO10" s="13"/>
      <c r="LBP10" s="9"/>
      <c r="LBQ10" s="9"/>
      <c r="LBR10" s="9"/>
      <c r="LBS10" s="9"/>
      <c r="LBT10" s="10"/>
      <c r="LBU10" s="11"/>
      <c r="LBV10" s="12"/>
      <c r="LBW10" s="12"/>
      <c r="LBX10" s="12"/>
      <c r="LBY10" s="13"/>
      <c r="LBZ10" s="9"/>
      <c r="LCA10" s="9"/>
      <c r="LCB10" s="9"/>
      <c r="LCC10" s="9"/>
      <c r="LCD10" s="10"/>
      <c r="LCE10" s="11"/>
      <c r="LCF10" s="12"/>
      <c r="LCG10" s="12"/>
      <c r="LCH10" s="12"/>
      <c r="LCI10" s="13"/>
      <c r="LCJ10" s="9"/>
      <c r="LCK10" s="9"/>
      <c r="LCL10" s="9"/>
      <c r="LCM10" s="9"/>
      <c r="LCN10" s="10"/>
      <c r="LCO10" s="11"/>
      <c r="LCP10" s="12"/>
      <c r="LCQ10" s="12"/>
      <c r="LCR10" s="12"/>
      <c r="LCS10" s="13"/>
      <c r="LCT10" s="9"/>
      <c r="LCU10" s="9"/>
      <c r="LCV10" s="9"/>
      <c r="LCW10" s="9"/>
      <c r="LCX10" s="10"/>
      <c r="LCY10" s="11"/>
      <c r="LCZ10" s="12"/>
      <c r="LDA10" s="12"/>
      <c r="LDB10" s="12"/>
      <c r="LDC10" s="13"/>
      <c r="LDD10" s="9"/>
      <c r="LDE10" s="9"/>
      <c r="LDF10" s="9"/>
      <c r="LDG10" s="9"/>
      <c r="LDH10" s="10"/>
      <c r="LDI10" s="11"/>
      <c r="LDJ10" s="12"/>
      <c r="LDK10" s="12"/>
      <c r="LDL10" s="12"/>
      <c r="LDM10" s="13"/>
      <c r="LDN10" s="9"/>
      <c r="LDO10" s="9"/>
      <c r="LDP10" s="9"/>
      <c r="LDQ10" s="9"/>
      <c r="LDR10" s="10"/>
      <c r="LDS10" s="11"/>
      <c r="LDT10" s="12"/>
      <c r="LDU10" s="12"/>
      <c r="LDV10" s="12"/>
      <c r="LDW10" s="13"/>
      <c r="LDX10" s="9"/>
      <c r="LDY10" s="9"/>
      <c r="LDZ10" s="9"/>
      <c r="LEA10" s="9"/>
      <c r="LEB10" s="10"/>
      <c r="LEC10" s="11"/>
      <c r="LED10" s="12"/>
      <c r="LEE10" s="12"/>
      <c r="LEF10" s="12"/>
      <c r="LEG10" s="13"/>
      <c r="LEH10" s="9"/>
      <c r="LEI10" s="9"/>
      <c r="LEJ10" s="9"/>
      <c r="LEK10" s="9"/>
      <c r="LEL10" s="10"/>
      <c r="LEM10" s="11"/>
      <c r="LEN10" s="12"/>
      <c r="LEO10" s="12"/>
      <c r="LEP10" s="12"/>
      <c r="LEQ10" s="13"/>
      <c r="LER10" s="9"/>
      <c r="LES10" s="9"/>
      <c r="LET10" s="9"/>
      <c r="LEU10" s="9"/>
      <c r="LEV10" s="10"/>
      <c r="LEW10" s="11"/>
      <c r="LEX10" s="12"/>
      <c r="LEY10" s="12"/>
      <c r="LEZ10" s="12"/>
      <c r="LFA10" s="13"/>
      <c r="LFB10" s="9"/>
      <c r="LFC10" s="9"/>
      <c r="LFD10" s="9"/>
      <c r="LFE10" s="9"/>
      <c r="LFF10" s="10"/>
      <c r="LFG10" s="11"/>
      <c r="LFH10" s="12"/>
      <c r="LFI10" s="12"/>
      <c r="LFJ10" s="12"/>
      <c r="LFK10" s="13"/>
      <c r="LFL10" s="9"/>
      <c r="LFM10" s="9"/>
      <c r="LFN10" s="9"/>
      <c r="LFO10" s="9"/>
      <c r="LFP10" s="10"/>
      <c r="LFQ10" s="11"/>
      <c r="LFR10" s="12"/>
      <c r="LFS10" s="12"/>
      <c r="LFT10" s="12"/>
      <c r="LFU10" s="13"/>
      <c r="LFV10" s="9"/>
      <c r="LFW10" s="9"/>
      <c r="LFX10" s="9"/>
      <c r="LFY10" s="9"/>
      <c r="LFZ10" s="10"/>
      <c r="LGA10" s="11"/>
      <c r="LGB10" s="12"/>
      <c r="LGC10" s="12"/>
      <c r="LGD10" s="12"/>
      <c r="LGE10" s="13"/>
      <c r="LGF10" s="9"/>
      <c r="LGG10" s="9"/>
      <c r="LGH10" s="9"/>
      <c r="LGI10" s="9"/>
      <c r="LGJ10" s="10"/>
      <c r="LGK10" s="11"/>
      <c r="LGL10" s="12"/>
      <c r="LGM10" s="12"/>
      <c r="LGN10" s="12"/>
      <c r="LGO10" s="13"/>
      <c r="LGP10" s="9"/>
      <c r="LGQ10" s="9"/>
      <c r="LGR10" s="9"/>
      <c r="LGS10" s="9"/>
      <c r="LGT10" s="10"/>
      <c r="LGU10" s="11"/>
      <c r="LGV10" s="12"/>
      <c r="LGW10" s="12"/>
      <c r="LGX10" s="12"/>
      <c r="LGY10" s="13"/>
      <c r="LGZ10" s="9"/>
      <c r="LHA10" s="9"/>
      <c r="LHB10" s="9"/>
      <c r="LHC10" s="9"/>
      <c r="LHD10" s="10"/>
      <c r="LHE10" s="11"/>
      <c r="LHF10" s="12"/>
      <c r="LHG10" s="12"/>
      <c r="LHH10" s="12"/>
      <c r="LHI10" s="13"/>
      <c r="LHJ10" s="9"/>
      <c r="LHK10" s="9"/>
      <c r="LHL10" s="9"/>
      <c r="LHM10" s="9"/>
      <c r="LHN10" s="10"/>
      <c r="LHO10" s="11"/>
      <c r="LHP10" s="12"/>
      <c r="LHQ10" s="12"/>
      <c r="LHR10" s="12"/>
      <c r="LHS10" s="13"/>
      <c r="LHT10" s="9"/>
      <c r="LHU10" s="9"/>
      <c r="LHV10" s="9"/>
      <c r="LHW10" s="9"/>
      <c r="LHX10" s="10"/>
      <c r="LHY10" s="11"/>
      <c r="LHZ10" s="12"/>
      <c r="LIA10" s="12"/>
      <c r="LIB10" s="12"/>
      <c r="LIC10" s="13"/>
      <c r="LID10" s="9"/>
      <c r="LIE10" s="9"/>
      <c r="LIF10" s="9"/>
      <c r="LIG10" s="9"/>
      <c r="LIH10" s="10"/>
      <c r="LII10" s="11"/>
      <c r="LIJ10" s="12"/>
      <c r="LIK10" s="12"/>
      <c r="LIL10" s="12"/>
      <c r="LIM10" s="13"/>
      <c r="LIN10" s="9"/>
      <c r="LIO10" s="9"/>
      <c r="LIP10" s="9"/>
      <c r="LIQ10" s="9"/>
      <c r="LIR10" s="10"/>
      <c r="LIS10" s="11"/>
      <c r="LIT10" s="12"/>
      <c r="LIU10" s="12"/>
      <c r="LIV10" s="12"/>
      <c r="LIW10" s="13"/>
      <c r="LIX10" s="9"/>
      <c r="LIY10" s="9"/>
      <c r="LIZ10" s="9"/>
      <c r="LJA10" s="9"/>
      <c r="LJB10" s="10"/>
      <c r="LJC10" s="11"/>
      <c r="LJD10" s="12"/>
      <c r="LJE10" s="12"/>
      <c r="LJF10" s="12"/>
      <c r="LJG10" s="13"/>
      <c r="LJH10" s="9"/>
      <c r="LJI10" s="9"/>
      <c r="LJJ10" s="9"/>
      <c r="LJK10" s="9"/>
      <c r="LJL10" s="10"/>
      <c r="LJM10" s="11"/>
      <c r="LJN10" s="12"/>
      <c r="LJO10" s="12"/>
      <c r="LJP10" s="12"/>
      <c r="LJQ10" s="13"/>
      <c r="LJR10" s="9"/>
      <c r="LJS10" s="9"/>
      <c r="LJT10" s="9"/>
      <c r="LJU10" s="9"/>
      <c r="LJV10" s="10"/>
      <c r="LJW10" s="11"/>
      <c r="LJX10" s="12"/>
      <c r="LJY10" s="12"/>
      <c r="LJZ10" s="12"/>
      <c r="LKA10" s="13"/>
      <c r="LKB10" s="9"/>
      <c r="LKC10" s="9"/>
      <c r="LKD10" s="9"/>
      <c r="LKE10" s="9"/>
      <c r="LKF10" s="10"/>
      <c r="LKG10" s="11"/>
      <c r="LKH10" s="12"/>
      <c r="LKI10" s="12"/>
      <c r="LKJ10" s="12"/>
      <c r="LKK10" s="13"/>
      <c r="LKL10" s="9"/>
      <c r="LKM10" s="9"/>
      <c r="LKN10" s="9"/>
      <c r="LKO10" s="9"/>
      <c r="LKP10" s="10"/>
      <c r="LKQ10" s="11"/>
      <c r="LKR10" s="12"/>
      <c r="LKS10" s="12"/>
      <c r="LKT10" s="12"/>
      <c r="LKU10" s="13"/>
      <c r="LKV10" s="9"/>
      <c r="LKW10" s="9"/>
      <c r="LKX10" s="9"/>
      <c r="LKY10" s="9"/>
      <c r="LKZ10" s="10"/>
      <c r="LLA10" s="11"/>
      <c r="LLB10" s="12"/>
      <c r="LLC10" s="12"/>
      <c r="LLD10" s="12"/>
      <c r="LLE10" s="13"/>
      <c r="LLF10" s="9"/>
      <c r="LLG10" s="9"/>
      <c r="LLH10" s="9"/>
      <c r="LLI10" s="9"/>
      <c r="LLJ10" s="10"/>
      <c r="LLK10" s="11"/>
      <c r="LLL10" s="12"/>
      <c r="LLM10" s="12"/>
      <c r="LLN10" s="12"/>
      <c r="LLO10" s="13"/>
      <c r="LLP10" s="9"/>
      <c r="LLQ10" s="9"/>
      <c r="LLR10" s="9"/>
      <c r="LLS10" s="9"/>
      <c r="LLT10" s="10"/>
      <c r="LLU10" s="11"/>
      <c r="LLV10" s="12"/>
      <c r="LLW10" s="12"/>
      <c r="LLX10" s="12"/>
      <c r="LLY10" s="13"/>
      <c r="LLZ10" s="9"/>
      <c r="LMA10" s="9"/>
      <c r="LMB10" s="9"/>
      <c r="LMC10" s="9"/>
      <c r="LMD10" s="10"/>
      <c r="LME10" s="11"/>
      <c r="LMF10" s="12"/>
      <c r="LMG10" s="12"/>
      <c r="LMH10" s="12"/>
      <c r="LMI10" s="13"/>
      <c r="LMJ10" s="9"/>
      <c r="LMK10" s="9"/>
      <c r="LML10" s="9"/>
      <c r="LMM10" s="9"/>
      <c r="LMN10" s="10"/>
      <c r="LMO10" s="11"/>
      <c r="LMP10" s="12"/>
      <c r="LMQ10" s="12"/>
      <c r="LMR10" s="12"/>
      <c r="LMS10" s="13"/>
      <c r="LMT10" s="9"/>
      <c r="LMU10" s="9"/>
      <c r="LMV10" s="9"/>
      <c r="LMW10" s="9"/>
      <c r="LMX10" s="10"/>
      <c r="LMY10" s="11"/>
      <c r="LMZ10" s="12"/>
      <c r="LNA10" s="12"/>
      <c r="LNB10" s="12"/>
      <c r="LNC10" s="13"/>
      <c r="LND10" s="9"/>
      <c r="LNE10" s="9"/>
      <c r="LNF10" s="9"/>
      <c r="LNG10" s="9"/>
      <c r="LNH10" s="10"/>
      <c r="LNI10" s="11"/>
      <c r="LNJ10" s="12"/>
      <c r="LNK10" s="12"/>
      <c r="LNL10" s="12"/>
      <c r="LNM10" s="13"/>
      <c r="LNN10" s="9"/>
      <c r="LNO10" s="9"/>
      <c r="LNP10" s="9"/>
      <c r="LNQ10" s="9"/>
      <c r="LNR10" s="10"/>
      <c r="LNS10" s="11"/>
      <c r="LNT10" s="12"/>
      <c r="LNU10" s="12"/>
      <c r="LNV10" s="12"/>
      <c r="LNW10" s="13"/>
      <c r="LNX10" s="9"/>
      <c r="LNY10" s="9"/>
      <c r="LNZ10" s="9"/>
      <c r="LOA10" s="9"/>
      <c r="LOB10" s="10"/>
      <c r="LOC10" s="11"/>
      <c r="LOD10" s="12"/>
      <c r="LOE10" s="12"/>
      <c r="LOF10" s="12"/>
      <c r="LOG10" s="13"/>
      <c r="LOH10" s="9"/>
      <c r="LOI10" s="9"/>
      <c r="LOJ10" s="9"/>
      <c r="LOK10" s="9"/>
      <c r="LOL10" s="10"/>
      <c r="LOM10" s="11"/>
      <c r="LON10" s="12"/>
      <c r="LOO10" s="12"/>
      <c r="LOP10" s="12"/>
      <c r="LOQ10" s="13"/>
      <c r="LOR10" s="9"/>
      <c r="LOS10" s="9"/>
      <c r="LOT10" s="9"/>
      <c r="LOU10" s="9"/>
      <c r="LOV10" s="10"/>
      <c r="LOW10" s="11"/>
      <c r="LOX10" s="12"/>
      <c r="LOY10" s="12"/>
      <c r="LOZ10" s="12"/>
      <c r="LPA10" s="13"/>
      <c r="LPB10" s="9"/>
      <c r="LPC10" s="9"/>
      <c r="LPD10" s="9"/>
      <c r="LPE10" s="9"/>
      <c r="LPF10" s="10"/>
      <c r="LPG10" s="11"/>
      <c r="LPH10" s="12"/>
      <c r="LPI10" s="12"/>
      <c r="LPJ10" s="12"/>
      <c r="LPK10" s="13"/>
      <c r="LPL10" s="9"/>
      <c r="LPM10" s="9"/>
      <c r="LPN10" s="9"/>
      <c r="LPO10" s="9"/>
      <c r="LPP10" s="10"/>
      <c r="LPQ10" s="11"/>
      <c r="LPR10" s="12"/>
      <c r="LPS10" s="12"/>
      <c r="LPT10" s="12"/>
      <c r="LPU10" s="13"/>
      <c r="LPV10" s="9"/>
      <c r="LPW10" s="9"/>
      <c r="LPX10" s="9"/>
      <c r="LPY10" s="9"/>
      <c r="LPZ10" s="10"/>
      <c r="LQA10" s="11"/>
      <c r="LQB10" s="12"/>
      <c r="LQC10" s="12"/>
      <c r="LQD10" s="12"/>
      <c r="LQE10" s="13"/>
      <c r="LQF10" s="9"/>
      <c r="LQG10" s="9"/>
      <c r="LQH10" s="9"/>
      <c r="LQI10" s="9"/>
      <c r="LQJ10" s="10"/>
      <c r="LQK10" s="11"/>
      <c r="LQL10" s="12"/>
      <c r="LQM10" s="12"/>
      <c r="LQN10" s="12"/>
      <c r="LQO10" s="13"/>
      <c r="LQP10" s="9"/>
      <c r="LQQ10" s="9"/>
      <c r="LQR10" s="9"/>
      <c r="LQS10" s="9"/>
      <c r="LQT10" s="10"/>
      <c r="LQU10" s="11"/>
      <c r="LQV10" s="12"/>
      <c r="LQW10" s="12"/>
      <c r="LQX10" s="12"/>
      <c r="LQY10" s="13"/>
      <c r="LQZ10" s="9"/>
      <c r="LRA10" s="9"/>
      <c r="LRB10" s="9"/>
      <c r="LRC10" s="9"/>
      <c r="LRD10" s="10"/>
      <c r="LRE10" s="11"/>
      <c r="LRF10" s="12"/>
      <c r="LRG10" s="12"/>
      <c r="LRH10" s="12"/>
      <c r="LRI10" s="13"/>
      <c r="LRJ10" s="9"/>
      <c r="LRK10" s="9"/>
      <c r="LRL10" s="9"/>
      <c r="LRM10" s="9"/>
      <c r="LRN10" s="10"/>
      <c r="LRO10" s="11"/>
      <c r="LRP10" s="12"/>
      <c r="LRQ10" s="12"/>
      <c r="LRR10" s="12"/>
      <c r="LRS10" s="13"/>
      <c r="LRT10" s="9"/>
      <c r="LRU10" s="9"/>
      <c r="LRV10" s="9"/>
      <c r="LRW10" s="9"/>
      <c r="LRX10" s="10"/>
      <c r="LRY10" s="11"/>
      <c r="LRZ10" s="12"/>
      <c r="LSA10" s="12"/>
      <c r="LSB10" s="12"/>
      <c r="LSC10" s="13"/>
      <c r="LSD10" s="9"/>
      <c r="LSE10" s="9"/>
      <c r="LSF10" s="9"/>
      <c r="LSG10" s="9"/>
      <c r="LSH10" s="10"/>
      <c r="LSI10" s="11"/>
      <c r="LSJ10" s="12"/>
      <c r="LSK10" s="12"/>
      <c r="LSL10" s="12"/>
      <c r="LSM10" s="13"/>
      <c r="LSN10" s="9"/>
      <c r="LSO10" s="9"/>
      <c r="LSP10" s="9"/>
      <c r="LSQ10" s="9"/>
      <c r="LSR10" s="10"/>
      <c r="LSS10" s="11"/>
      <c r="LST10" s="12"/>
      <c r="LSU10" s="12"/>
      <c r="LSV10" s="12"/>
      <c r="LSW10" s="13"/>
      <c r="LSX10" s="9"/>
      <c r="LSY10" s="9"/>
      <c r="LSZ10" s="9"/>
      <c r="LTA10" s="9"/>
      <c r="LTB10" s="10"/>
      <c r="LTC10" s="11"/>
      <c r="LTD10" s="12"/>
      <c r="LTE10" s="12"/>
      <c r="LTF10" s="12"/>
      <c r="LTG10" s="13"/>
      <c r="LTH10" s="9"/>
      <c r="LTI10" s="9"/>
      <c r="LTJ10" s="9"/>
      <c r="LTK10" s="9"/>
      <c r="LTL10" s="10"/>
      <c r="LTM10" s="11"/>
      <c r="LTN10" s="12"/>
      <c r="LTO10" s="12"/>
      <c r="LTP10" s="12"/>
      <c r="LTQ10" s="13"/>
      <c r="LTR10" s="9"/>
      <c r="LTS10" s="9"/>
      <c r="LTT10" s="9"/>
      <c r="LTU10" s="9"/>
      <c r="LTV10" s="10"/>
      <c r="LTW10" s="11"/>
      <c r="LTX10" s="12"/>
      <c r="LTY10" s="12"/>
      <c r="LTZ10" s="12"/>
      <c r="LUA10" s="13"/>
      <c r="LUB10" s="9"/>
      <c r="LUC10" s="9"/>
      <c r="LUD10" s="9"/>
      <c r="LUE10" s="9"/>
      <c r="LUF10" s="10"/>
      <c r="LUG10" s="11"/>
      <c r="LUH10" s="12"/>
      <c r="LUI10" s="12"/>
      <c r="LUJ10" s="12"/>
      <c r="LUK10" s="13"/>
      <c r="LUL10" s="9"/>
      <c r="LUM10" s="9"/>
      <c r="LUN10" s="9"/>
      <c r="LUO10" s="9"/>
      <c r="LUP10" s="10"/>
      <c r="LUQ10" s="11"/>
      <c r="LUR10" s="12"/>
      <c r="LUS10" s="12"/>
      <c r="LUT10" s="12"/>
      <c r="LUU10" s="13"/>
      <c r="LUV10" s="9"/>
      <c r="LUW10" s="9"/>
      <c r="LUX10" s="9"/>
      <c r="LUY10" s="9"/>
      <c r="LUZ10" s="10"/>
      <c r="LVA10" s="11"/>
      <c r="LVB10" s="12"/>
      <c r="LVC10" s="12"/>
      <c r="LVD10" s="12"/>
      <c r="LVE10" s="13"/>
      <c r="LVF10" s="9"/>
      <c r="LVG10" s="9"/>
      <c r="LVH10" s="9"/>
      <c r="LVI10" s="9"/>
      <c r="LVJ10" s="10"/>
      <c r="LVK10" s="11"/>
      <c r="LVL10" s="12"/>
      <c r="LVM10" s="12"/>
      <c r="LVN10" s="12"/>
      <c r="LVO10" s="13"/>
      <c r="LVP10" s="9"/>
      <c r="LVQ10" s="9"/>
      <c r="LVR10" s="9"/>
      <c r="LVS10" s="9"/>
      <c r="LVT10" s="10"/>
      <c r="LVU10" s="11"/>
      <c r="LVV10" s="12"/>
      <c r="LVW10" s="12"/>
      <c r="LVX10" s="12"/>
      <c r="LVY10" s="13"/>
      <c r="LVZ10" s="9"/>
      <c r="LWA10" s="9"/>
      <c r="LWB10" s="9"/>
      <c r="LWC10" s="9"/>
      <c r="LWD10" s="10"/>
      <c r="LWE10" s="11"/>
      <c r="LWF10" s="12"/>
      <c r="LWG10" s="12"/>
      <c r="LWH10" s="12"/>
      <c r="LWI10" s="13"/>
      <c r="LWJ10" s="9"/>
      <c r="LWK10" s="9"/>
      <c r="LWL10" s="9"/>
      <c r="LWM10" s="9"/>
      <c r="LWN10" s="10"/>
      <c r="LWO10" s="11"/>
      <c r="LWP10" s="12"/>
      <c r="LWQ10" s="12"/>
      <c r="LWR10" s="12"/>
      <c r="LWS10" s="13"/>
      <c r="LWT10" s="9"/>
      <c r="LWU10" s="9"/>
      <c r="LWV10" s="9"/>
      <c r="LWW10" s="9"/>
      <c r="LWX10" s="10"/>
      <c r="LWY10" s="11"/>
      <c r="LWZ10" s="12"/>
      <c r="LXA10" s="12"/>
      <c r="LXB10" s="12"/>
      <c r="LXC10" s="13"/>
      <c r="LXD10" s="9"/>
      <c r="LXE10" s="9"/>
      <c r="LXF10" s="9"/>
      <c r="LXG10" s="9"/>
      <c r="LXH10" s="10"/>
      <c r="LXI10" s="11"/>
      <c r="LXJ10" s="12"/>
      <c r="LXK10" s="12"/>
      <c r="LXL10" s="12"/>
      <c r="LXM10" s="13"/>
      <c r="LXN10" s="9"/>
      <c r="LXO10" s="9"/>
      <c r="LXP10" s="9"/>
      <c r="LXQ10" s="9"/>
      <c r="LXR10" s="10"/>
      <c r="LXS10" s="11"/>
      <c r="LXT10" s="12"/>
      <c r="LXU10" s="12"/>
      <c r="LXV10" s="12"/>
      <c r="LXW10" s="13"/>
      <c r="LXX10" s="9"/>
      <c r="LXY10" s="9"/>
      <c r="LXZ10" s="9"/>
      <c r="LYA10" s="9"/>
      <c r="LYB10" s="10"/>
      <c r="LYC10" s="11"/>
      <c r="LYD10" s="12"/>
      <c r="LYE10" s="12"/>
      <c r="LYF10" s="12"/>
      <c r="LYG10" s="13"/>
      <c r="LYH10" s="9"/>
      <c r="LYI10" s="9"/>
      <c r="LYJ10" s="9"/>
      <c r="LYK10" s="9"/>
      <c r="LYL10" s="10"/>
      <c r="LYM10" s="11"/>
      <c r="LYN10" s="12"/>
      <c r="LYO10" s="12"/>
      <c r="LYP10" s="12"/>
      <c r="LYQ10" s="13"/>
      <c r="LYR10" s="9"/>
      <c r="LYS10" s="9"/>
      <c r="LYT10" s="9"/>
      <c r="LYU10" s="9"/>
      <c r="LYV10" s="10"/>
      <c r="LYW10" s="11"/>
      <c r="LYX10" s="12"/>
      <c r="LYY10" s="12"/>
      <c r="LYZ10" s="12"/>
      <c r="LZA10" s="13"/>
      <c r="LZB10" s="9"/>
      <c r="LZC10" s="9"/>
      <c r="LZD10" s="9"/>
      <c r="LZE10" s="9"/>
      <c r="LZF10" s="10"/>
      <c r="LZG10" s="11"/>
      <c r="LZH10" s="12"/>
      <c r="LZI10" s="12"/>
      <c r="LZJ10" s="12"/>
      <c r="LZK10" s="13"/>
      <c r="LZL10" s="9"/>
      <c r="LZM10" s="9"/>
      <c r="LZN10" s="9"/>
      <c r="LZO10" s="9"/>
      <c r="LZP10" s="10"/>
      <c r="LZQ10" s="11"/>
      <c r="LZR10" s="12"/>
      <c r="LZS10" s="12"/>
      <c r="LZT10" s="12"/>
      <c r="LZU10" s="13"/>
      <c r="LZV10" s="9"/>
      <c r="LZW10" s="9"/>
      <c r="LZX10" s="9"/>
      <c r="LZY10" s="9"/>
      <c r="LZZ10" s="10"/>
      <c r="MAA10" s="11"/>
      <c r="MAB10" s="12"/>
      <c r="MAC10" s="12"/>
      <c r="MAD10" s="12"/>
      <c r="MAE10" s="13"/>
      <c r="MAF10" s="9"/>
      <c r="MAG10" s="9"/>
      <c r="MAH10" s="9"/>
      <c r="MAI10" s="9"/>
      <c r="MAJ10" s="10"/>
      <c r="MAK10" s="11"/>
      <c r="MAL10" s="12"/>
      <c r="MAM10" s="12"/>
      <c r="MAN10" s="12"/>
      <c r="MAO10" s="13"/>
      <c r="MAP10" s="9"/>
      <c r="MAQ10" s="9"/>
      <c r="MAR10" s="9"/>
      <c r="MAS10" s="9"/>
      <c r="MAT10" s="10"/>
      <c r="MAU10" s="11"/>
      <c r="MAV10" s="12"/>
      <c r="MAW10" s="12"/>
      <c r="MAX10" s="12"/>
      <c r="MAY10" s="13"/>
      <c r="MAZ10" s="9"/>
      <c r="MBA10" s="9"/>
      <c r="MBB10" s="9"/>
      <c r="MBC10" s="9"/>
      <c r="MBD10" s="10"/>
      <c r="MBE10" s="11"/>
      <c r="MBF10" s="12"/>
      <c r="MBG10" s="12"/>
      <c r="MBH10" s="12"/>
      <c r="MBI10" s="13"/>
      <c r="MBJ10" s="9"/>
      <c r="MBK10" s="9"/>
      <c r="MBL10" s="9"/>
      <c r="MBM10" s="9"/>
      <c r="MBN10" s="10"/>
      <c r="MBO10" s="11"/>
      <c r="MBP10" s="12"/>
      <c r="MBQ10" s="12"/>
      <c r="MBR10" s="12"/>
      <c r="MBS10" s="13"/>
      <c r="MBT10" s="9"/>
      <c r="MBU10" s="9"/>
      <c r="MBV10" s="9"/>
      <c r="MBW10" s="9"/>
      <c r="MBX10" s="10"/>
      <c r="MBY10" s="11"/>
      <c r="MBZ10" s="12"/>
      <c r="MCA10" s="12"/>
      <c r="MCB10" s="12"/>
      <c r="MCC10" s="13"/>
      <c r="MCD10" s="9"/>
      <c r="MCE10" s="9"/>
      <c r="MCF10" s="9"/>
      <c r="MCG10" s="9"/>
      <c r="MCH10" s="10"/>
      <c r="MCI10" s="11"/>
      <c r="MCJ10" s="12"/>
      <c r="MCK10" s="12"/>
      <c r="MCL10" s="12"/>
      <c r="MCM10" s="13"/>
      <c r="MCN10" s="9"/>
      <c r="MCO10" s="9"/>
      <c r="MCP10" s="9"/>
      <c r="MCQ10" s="9"/>
      <c r="MCR10" s="10"/>
      <c r="MCS10" s="11"/>
      <c r="MCT10" s="12"/>
      <c r="MCU10" s="12"/>
      <c r="MCV10" s="12"/>
      <c r="MCW10" s="13"/>
      <c r="MCX10" s="9"/>
      <c r="MCY10" s="9"/>
      <c r="MCZ10" s="9"/>
      <c r="MDA10" s="9"/>
      <c r="MDB10" s="10"/>
      <c r="MDC10" s="11"/>
      <c r="MDD10" s="12"/>
      <c r="MDE10" s="12"/>
      <c r="MDF10" s="12"/>
      <c r="MDG10" s="13"/>
      <c r="MDH10" s="9"/>
      <c r="MDI10" s="9"/>
      <c r="MDJ10" s="9"/>
      <c r="MDK10" s="9"/>
      <c r="MDL10" s="10"/>
      <c r="MDM10" s="11"/>
      <c r="MDN10" s="12"/>
      <c r="MDO10" s="12"/>
      <c r="MDP10" s="12"/>
      <c r="MDQ10" s="13"/>
      <c r="MDR10" s="9"/>
      <c r="MDS10" s="9"/>
      <c r="MDT10" s="9"/>
      <c r="MDU10" s="9"/>
      <c r="MDV10" s="10"/>
      <c r="MDW10" s="11"/>
      <c r="MDX10" s="12"/>
      <c r="MDY10" s="12"/>
      <c r="MDZ10" s="12"/>
      <c r="MEA10" s="13"/>
      <c r="MEB10" s="9"/>
      <c r="MEC10" s="9"/>
      <c r="MED10" s="9"/>
      <c r="MEE10" s="9"/>
      <c r="MEF10" s="10"/>
      <c r="MEG10" s="11"/>
      <c r="MEH10" s="12"/>
      <c r="MEI10" s="12"/>
      <c r="MEJ10" s="12"/>
      <c r="MEK10" s="13"/>
      <c r="MEL10" s="9"/>
      <c r="MEM10" s="9"/>
      <c r="MEN10" s="9"/>
      <c r="MEO10" s="9"/>
      <c r="MEP10" s="10"/>
      <c r="MEQ10" s="11"/>
      <c r="MER10" s="12"/>
      <c r="MES10" s="12"/>
      <c r="MET10" s="12"/>
      <c r="MEU10" s="13"/>
      <c r="MEV10" s="9"/>
      <c r="MEW10" s="9"/>
      <c r="MEX10" s="9"/>
      <c r="MEY10" s="9"/>
      <c r="MEZ10" s="10"/>
      <c r="MFA10" s="11"/>
      <c r="MFB10" s="12"/>
      <c r="MFC10" s="12"/>
      <c r="MFD10" s="12"/>
      <c r="MFE10" s="13"/>
      <c r="MFF10" s="9"/>
      <c r="MFG10" s="9"/>
      <c r="MFH10" s="9"/>
      <c r="MFI10" s="9"/>
      <c r="MFJ10" s="10"/>
      <c r="MFK10" s="11"/>
      <c r="MFL10" s="12"/>
      <c r="MFM10" s="12"/>
      <c r="MFN10" s="12"/>
      <c r="MFO10" s="13"/>
      <c r="MFP10" s="9"/>
      <c r="MFQ10" s="9"/>
      <c r="MFR10" s="9"/>
      <c r="MFS10" s="9"/>
      <c r="MFT10" s="10"/>
      <c r="MFU10" s="11"/>
      <c r="MFV10" s="12"/>
      <c r="MFW10" s="12"/>
      <c r="MFX10" s="12"/>
      <c r="MFY10" s="13"/>
      <c r="MFZ10" s="9"/>
      <c r="MGA10" s="9"/>
      <c r="MGB10" s="9"/>
      <c r="MGC10" s="9"/>
      <c r="MGD10" s="10"/>
      <c r="MGE10" s="11"/>
      <c r="MGF10" s="12"/>
      <c r="MGG10" s="12"/>
      <c r="MGH10" s="12"/>
      <c r="MGI10" s="13"/>
      <c r="MGJ10" s="9"/>
      <c r="MGK10" s="9"/>
      <c r="MGL10" s="9"/>
      <c r="MGM10" s="9"/>
      <c r="MGN10" s="10"/>
      <c r="MGO10" s="11"/>
      <c r="MGP10" s="12"/>
      <c r="MGQ10" s="12"/>
      <c r="MGR10" s="12"/>
      <c r="MGS10" s="13"/>
      <c r="MGT10" s="9"/>
      <c r="MGU10" s="9"/>
      <c r="MGV10" s="9"/>
      <c r="MGW10" s="9"/>
      <c r="MGX10" s="10"/>
      <c r="MGY10" s="11"/>
      <c r="MGZ10" s="12"/>
      <c r="MHA10" s="12"/>
      <c r="MHB10" s="12"/>
      <c r="MHC10" s="13"/>
      <c r="MHD10" s="9"/>
      <c r="MHE10" s="9"/>
      <c r="MHF10" s="9"/>
      <c r="MHG10" s="9"/>
      <c r="MHH10" s="10"/>
      <c r="MHI10" s="11"/>
      <c r="MHJ10" s="12"/>
      <c r="MHK10" s="12"/>
      <c r="MHL10" s="12"/>
      <c r="MHM10" s="13"/>
      <c r="MHN10" s="9"/>
      <c r="MHO10" s="9"/>
      <c r="MHP10" s="9"/>
      <c r="MHQ10" s="9"/>
      <c r="MHR10" s="10"/>
      <c r="MHS10" s="11"/>
      <c r="MHT10" s="12"/>
      <c r="MHU10" s="12"/>
      <c r="MHV10" s="12"/>
      <c r="MHW10" s="13"/>
      <c r="MHX10" s="9"/>
      <c r="MHY10" s="9"/>
      <c r="MHZ10" s="9"/>
      <c r="MIA10" s="9"/>
      <c r="MIB10" s="10"/>
      <c r="MIC10" s="11"/>
      <c r="MID10" s="12"/>
      <c r="MIE10" s="12"/>
      <c r="MIF10" s="12"/>
      <c r="MIG10" s="13"/>
      <c r="MIH10" s="9"/>
      <c r="MII10" s="9"/>
      <c r="MIJ10" s="9"/>
      <c r="MIK10" s="9"/>
      <c r="MIL10" s="10"/>
      <c r="MIM10" s="11"/>
      <c r="MIN10" s="12"/>
      <c r="MIO10" s="12"/>
      <c r="MIP10" s="12"/>
      <c r="MIQ10" s="13"/>
      <c r="MIR10" s="9"/>
      <c r="MIS10" s="9"/>
      <c r="MIT10" s="9"/>
      <c r="MIU10" s="9"/>
      <c r="MIV10" s="10"/>
      <c r="MIW10" s="11"/>
      <c r="MIX10" s="12"/>
      <c r="MIY10" s="12"/>
      <c r="MIZ10" s="12"/>
      <c r="MJA10" s="13"/>
      <c r="MJB10" s="9"/>
      <c r="MJC10" s="9"/>
      <c r="MJD10" s="9"/>
      <c r="MJE10" s="9"/>
      <c r="MJF10" s="10"/>
      <c r="MJG10" s="11"/>
      <c r="MJH10" s="12"/>
      <c r="MJI10" s="12"/>
      <c r="MJJ10" s="12"/>
      <c r="MJK10" s="13"/>
      <c r="MJL10" s="9"/>
      <c r="MJM10" s="9"/>
      <c r="MJN10" s="9"/>
      <c r="MJO10" s="9"/>
      <c r="MJP10" s="10"/>
      <c r="MJQ10" s="11"/>
      <c r="MJR10" s="12"/>
      <c r="MJS10" s="12"/>
      <c r="MJT10" s="12"/>
      <c r="MJU10" s="13"/>
      <c r="MJV10" s="9"/>
      <c r="MJW10" s="9"/>
      <c r="MJX10" s="9"/>
      <c r="MJY10" s="9"/>
      <c r="MJZ10" s="10"/>
      <c r="MKA10" s="11"/>
      <c r="MKB10" s="12"/>
      <c r="MKC10" s="12"/>
      <c r="MKD10" s="12"/>
      <c r="MKE10" s="13"/>
      <c r="MKF10" s="9"/>
      <c r="MKG10" s="9"/>
      <c r="MKH10" s="9"/>
      <c r="MKI10" s="9"/>
      <c r="MKJ10" s="10"/>
      <c r="MKK10" s="11"/>
      <c r="MKL10" s="12"/>
      <c r="MKM10" s="12"/>
      <c r="MKN10" s="12"/>
      <c r="MKO10" s="13"/>
      <c r="MKP10" s="9"/>
      <c r="MKQ10" s="9"/>
      <c r="MKR10" s="9"/>
      <c r="MKS10" s="9"/>
      <c r="MKT10" s="10"/>
      <c r="MKU10" s="11"/>
      <c r="MKV10" s="12"/>
      <c r="MKW10" s="12"/>
      <c r="MKX10" s="12"/>
      <c r="MKY10" s="13"/>
      <c r="MKZ10" s="9"/>
      <c r="MLA10" s="9"/>
      <c r="MLB10" s="9"/>
      <c r="MLC10" s="9"/>
      <c r="MLD10" s="10"/>
      <c r="MLE10" s="11"/>
      <c r="MLF10" s="12"/>
      <c r="MLG10" s="12"/>
      <c r="MLH10" s="12"/>
      <c r="MLI10" s="13"/>
      <c r="MLJ10" s="9"/>
      <c r="MLK10" s="9"/>
      <c r="MLL10" s="9"/>
      <c r="MLM10" s="9"/>
      <c r="MLN10" s="10"/>
      <c r="MLO10" s="11"/>
      <c r="MLP10" s="12"/>
      <c r="MLQ10" s="12"/>
      <c r="MLR10" s="12"/>
      <c r="MLS10" s="13"/>
      <c r="MLT10" s="9"/>
      <c r="MLU10" s="9"/>
      <c r="MLV10" s="9"/>
      <c r="MLW10" s="9"/>
      <c r="MLX10" s="10"/>
      <c r="MLY10" s="11"/>
      <c r="MLZ10" s="12"/>
      <c r="MMA10" s="12"/>
      <c r="MMB10" s="12"/>
      <c r="MMC10" s="13"/>
      <c r="MMD10" s="9"/>
      <c r="MME10" s="9"/>
      <c r="MMF10" s="9"/>
      <c r="MMG10" s="9"/>
      <c r="MMH10" s="10"/>
      <c r="MMI10" s="11"/>
      <c r="MMJ10" s="12"/>
      <c r="MMK10" s="12"/>
      <c r="MML10" s="12"/>
      <c r="MMM10" s="13"/>
      <c r="MMN10" s="9"/>
      <c r="MMO10" s="9"/>
      <c r="MMP10" s="9"/>
      <c r="MMQ10" s="9"/>
      <c r="MMR10" s="10"/>
      <c r="MMS10" s="11"/>
      <c r="MMT10" s="12"/>
      <c r="MMU10" s="12"/>
      <c r="MMV10" s="12"/>
      <c r="MMW10" s="13"/>
      <c r="MMX10" s="9"/>
      <c r="MMY10" s="9"/>
      <c r="MMZ10" s="9"/>
      <c r="MNA10" s="9"/>
      <c r="MNB10" s="10"/>
      <c r="MNC10" s="11"/>
      <c r="MND10" s="12"/>
      <c r="MNE10" s="12"/>
      <c r="MNF10" s="12"/>
      <c r="MNG10" s="13"/>
      <c r="MNH10" s="9"/>
      <c r="MNI10" s="9"/>
      <c r="MNJ10" s="9"/>
      <c r="MNK10" s="9"/>
      <c r="MNL10" s="10"/>
      <c r="MNM10" s="11"/>
      <c r="MNN10" s="12"/>
      <c r="MNO10" s="12"/>
      <c r="MNP10" s="12"/>
      <c r="MNQ10" s="13"/>
      <c r="MNR10" s="9"/>
      <c r="MNS10" s="9"/>
      <c r="MNT10" s="9"/>
      <c r="MNU10" s="9"/>
      <c r="MNV10" s="10"/>
      <c r="MNW10" s="11"/>
      <c r="MNX10" s="12"/>
      <c r="MNY10" s="12"/>
      <c r="MNZ10" s="12"/>
      <c r="MOA10" s="13"/>
      <c r="MOB10" s="9"/>
      <c r="MOC10" s="9"/>
      <c r="MOD10" s="9"/>
      <c r="MOE10" s="9"/>
      <c r="MOF10" s="10"/>
      <c r="MOG10" s="11"/>
      <c r="MOH10" s="12"/>
      <c r="MOI10" s="12"/>
      <c r="MOJ10" s="12"/>
      <c r="MOK10" s="13"/>
      <c r="MOL10" s="9"/>
      <c r="MOM10" s="9"/>
      <c r="MON10" s="9"/>
      <c r="MOO10" s="9"/>
      <c r="MOP10" s="10"/>
      <c r="MOQ10" s="11"/>
      <c r="MOR10" s="12"/>
      <c r="MOS10" s="12"/>
      <c r="MOT10" s="12"/>
      <c r="MOU10" s="13"/>
      <c r="MOV10" s="9"/>
      <c r="MOW10" s="9"/>
      <c r="MOX10" s="9"/>
      <c r="MOY10" s="9"/>
      <c r="MOZ10" s="10"/>
      <c r="MPA10" s="11"/>
      <c r="MPB10" s="12"/>
      <c r="MPC10" s="12"/>
      <c r="MPD10" s="12"/>
      <c r="MPE10" s="13"/>
      <c r="MPF10" s="9"/>
      <c r="MPG10" s="9"/>
      <c r="MPH10" s="9"/>
      <c r="MPI10" s="9"/>
      <c r="MPJ10" s="10"/>
      <c r="MPK10" s="11"/>
      <c r="MPL10" s="12"/>
      <c r="MPM10" s="12"/>
      <c r="MPN10" s="12"/>
      <c r="MPO10" s="13"/>
      <c r="MPP10" s="9"/>
      <c r="MPQ10" s="9"/>
      <c r="MPR10" s="9"/>
      <c r="MPS10" s="9"/>
      <c r="MPT10" s="10"/>
      <c r="MPU10" s="11"/>
      <c r="MPV10" s="12"/>
      <c r="MPW10" s="12"/>
      <c r="MPX10" s="12"/>
      <c r="MPY10" s="13"/>
      <c r="MPZ10" s="9"/>
      <c r="MQA10" s="9"/>
      <c r="MQB10" s="9"/>
      <c r="MQC10" s="9"/>
      <c r="MQD10" s="10"/>
      <c r="MQE10" s="11"/>
      <c r="MQF10" s="12"/>
      <c r="MQG10" s="12"/>
      <c r="MQH10" s="12"/>
      <c r="MQI10" s="13"/>
      <c r="MQJ10" s="9"/>
      <c r="MQK10" s="9"/>
      <c r="MQL10" s="9"/>
      <c r="MQM10" s="9"/>
      <c r="MQN10" s="10"/>
      <c r="MQO10" s="11"/>
      <c r="MQP10" s="12"/>
      <c r="MQQ10" s="12"/>
      <c r="MQR10" s="12"/>
      <c r="MQS10" s="13"/>
      <c r="MQT10" s="9"/>
      <c r="MQU10" s="9"/>
      <c r="MQV10" s="9"/>
      <c r="MQW10" s="9"/>
      <c r="MQX10" s="10"/>
      <c r="MQY10" s="11"/>
      <c r="MQZ10" s="12"/>
      <c r="MRA10" s="12"/>
      <c r="MRB10" s="12"/>
      <c r="MRC10" s="13"/>
      <c r="MRD10" s="9"/>
      <c r="MRE10" s="9"/>
      <c r="MRF10" s="9"/>
      <c r="MRG10" s="9"/>
      <c r="MRH10" s="10"/>
      <c r="MRI10" s="11"/>
      <c r="MRJ10" s="12"/>
      <c r="MRK10" s="12"/>
      <c r="MRL10" s="12"/>
      <c r="MRM10" s="13"/>
      <c r="MRN10" s="9"/>
      <c r="MRO10" s="9"/>
      <c r="MRP10" s="9"/>
      <c r="MRQ10" s="9"/>
      <c r="MRR10" s="10"/>
      <c r="MRS10" s="11"/>
      <c r="MRT10" s="12"/>
      <c r="MRU10" s="12"/>
      <c r="MRV10" s="12"/>
      <c r="MRW10" s="13"/>
      <c r="MRX10" s="9"/>
      <c r="MRY10" s="9"/>
      <c r="MRZ10" s="9"/>
      <c r="MSA10" s="9"/>
      <c r="MSB10" s="10"/>
      <c r="MSC10" s="11"/>
      <c r="MSD10" s="12"/>
      <c r="MSE10" s="12"/>
      <c r="MSF10" s="12"/>
      <c r="MSG10" s="13"/>
      <c r="MSH10" s="9"/>
      <c r="MSI10" s="9"/>
      <c r="MSJ10" s="9"/>
      <c r="MSK10" s="9"/>
      <c r="MSL10" s="10"/>
      <c r="MSM10" s="11"/>
      <c r="MSN10" s="12"/>
      <c r="MSO10" s="12"/>
      <c r="MSP10" s="12"/>
      <c r="MSQ10" s="13"/>
      <c r="MSR10" s="9"/>
      <c r="MSS10" s="9"/>
      <c r="MST10" s="9"/>
      <c r="MSU10" s="9"/>
      <c r="MSV10" s="10"/>
      <c r="MSW10" s="11"/>
      <c r="MSX10" s="12"/>
      <c r="MSY10" s="12"/>
      <c r="MSZ10" s="12"/>
      <c r="MTA10" s="13"/>
      <c r="MTB10" s="9"/>
      <c r="MTC10" s="9"/>
      <c r="MTD10" s="9"/>
      <c r="MTE10" s="9"/>
      <c r="MTF10" s="10"/>
      <c r="MTG10" s="11"/>
      <c r="MTH10" s="12"/>
      <c r="MTI10" s="12"/>
      <c r="MTJ10" s="12"/>
      <c r="MTK10" s="13"/>
      <c r="MTL10" s="9"/>
      <c r="MTM10" s="9"/>
      <c r="MTN10" s="9"/>
      <c r="MTO10" s="9"/>
      <c r="MTP10" s="10"/>
      <c r="MTQ10" s="11"/>
      <c r="MTR10" s="12"/>
      <c r="MTS10" s="12"/>
      <c r="MTT10" s="12"/>
      <c r="MTU10" s="13"/>
      <c r="MTV10" s="9"/>
      <c r="MTW10" s="9"/>
      <c r="MTX10" s="9"/>
      <c r="MTY10" s="9"/>
      <c r="MTZ10" s="10"/>
      <c r="MUA10" s="11"/>
      <c r="MUB10" s="12"/>
      <c r="MUC10" s="12"/>
      <c r="MUD10" s="12"/>
      <c r="MUE10" s="13"/>
      <c r="MUF10" s="9"/>
      <c r="MUG10" s="9"/>
      <c r="MUH10" s="9"/>
      <c r="MUI10" s="9"/>
      <c r="MUJ10" s="10"/>
      <c r="MUK10" s="11"/>
      <c r="MUL10" s="12"/>
      <c r="MUM10" s="12"/>
      <c r="MUN10" s="12"/>
      <c r="MUO10" s="13"/>
      <c r="MUP10" s="9"/>
      <c r="MUQ10" s="9"/>
      <c r="MUR10" s="9"/>
      <c r="MUS10" s="9"/>
      <c r="MUT10" s="10"/>
      <c r="MUU10" s="11"/>
      <c r="MUV10" s="12"/>
      <c r="MUW10" s="12"/>
      <c r="MUX10" s="12"/>
      <c r="MUY10" s="13"/>
      <c r="MUZ10" s="9"/>
      <c r="MVA10" s="9"/>
      <c r="MVB10" s="9"/>
      <c r="MVC10" s="9"/>
      <c r="MVD10" s="10"/>
      <c r="MVE10" s="11"/>
      <c r="MVF10" s="12"/>
      <c r="MVG10" s="12"/>
      <c r="MVH10" s="12"/>
      <c r="MVI10" s="13"/>
      <c r="MVJ10" s="9"/>
      <c r="MVK10" s="9"/>
      <c r="MVL10" s="9"/>
      <c r="MVM10" s="9"/>
      <c r="MVN10" s="10"/>
      <c r="MVO10" s="11"/>
      <c r="MVP10" s="12"/>
      <c r="MVQ10" s="12"/>
      <c r="MVR10" s="12"/>
      <c r="MVS10" s="13"/>
      <c r="MVT10" s="9"/>
      <c r="MVU10" s="9"/>
      <c r="MVV10" s="9"/>
      <c r="MVW10" s="9"/>
      <c r="MVX10" s="10"/>
      <c r="MVY10" s="11"/>
      <c r="MVZ10" s="12"/>
      <c r="MWA10" s="12"/>
      <c r="MWB10" s="12"/>
      <c r="MWC10" s="13"/>
      <c r="MWD10" s="9"/>
      <c r="MWE10" s="9"/>
      <c r="MWF10" s="9"/>
      <c r="MWG10" s="9"/>
      <c r="MWH10" s="10"/>
      <c r="MWI10" s="11"/>
      <c r="MWJ10" s="12"/>
      <c r="MWK10" s="12"/>
      <c r="MWL10" s="12"/>
      <c r="MWM10" s="13"/>
      <c r="MWN10" s="9"/>
      <c r="MWO10" s="9"/>
      <c r="MWP10" s="9"/>
      <c r="MWQ10" s="9"/>
      <c r="MWR10" s="10"/>
      <c r="MWS10" s="11"/>
      <c r="MWT10" s="12"/>
      <c r="MWU10" s="12"/>
      <c r="MWV10" s="12"/>
      <c r="MWW10" s="13"/>
      <c r="MWX10" s="9"/>
      <c r="MWY10" s="9"/>
      <c r="MWZ10" s="9"/>
      <c r="MXA10" s="9"/>
      <c r="MXB10" s="10"/>
      <c r="MXC10" s="11"/>
      <c r="MXD10" s="12"/>
      <c r="MXE10" s="12"/>
      <c r="MXF10" s="12"/>
      <c r="MXG10" s="13"/>
      <c r="MXH10" s="9"/>
      <c r="MXI10" s="9"/>
      <c r="MXJ10" s="9"/>
      <c r="MXK10" s="9"/>
      <c r="MXL10" s="10"/>
      <c r="MXM10" s="11"/>
      <c r="MXN10" s="12"/>
      <c r="MXO10" s="12"/>
      <c r="MXP10" s="12"/>
      <c r="MXQ10" s="13"/>
      <c r="MXR10" s="9"/>
      <c r="MXS10" s="9"/>
      <c r="MXT10" s="9"/>
      <c r="MXU10" s="9"/>
      <c r="MXV10" s="10"/>
      <c r="MXW10" s="11"/>
      <c r="MXX10" s="12"/>
      <c r="MXY10" s="12"/>
      <c r="MXZ10" s="12"/>
      <c r="MYA10" s="13"/>
      <c r="MYB10" s="9"/>
      <c r="MYC10" s="9"/>
      <c r="MYD10" s="9"/>
      <c r="MYE10" s="9"/>
      <c r="MYF10" s="10"/>
      <c r="MYG10" s="11"/>
      <c r="MYH10" s="12"/>
      <c r="MYI10" s="12"/>
      <c r="MYJ10" s="12"/>
      <c r="MYK10" s="13"/>
      <c r="MYL10" s="9"/>
      <c r="MYM10" s="9"/>
      <c r="MYN10" s="9"/>
      <c r="MYO10" s="9"/>
      <c r="MYP10" s="10"/>
      <c r="MYQ10" s="11"/>
      <c r="MYR10" s="12"/>
      <c r="MYS10" s="12"/>
      <c r="MYT10" s="12"/>
      <c r="MYU10" s="13"/>
      <c r="MYV10" s="9"/>
      <c r="MYW10" s="9"/>
      <c r="MYX10" s="9"/>
      <c r="MYY10" s="9"/>
      <c r="MYZ10" s="10"/>
      <c r="MZA10" s="11"/>
      <c r="MZB10" s="12"/>
      <c r="MZC10" s="12"/>
      <c r="MZD10" s="12"/>
      <c r="MZE10" s="13"/>
      <c r="MZF10" s="9"/>
      <c r="MZG10" s="9"/>
      <c r="MZH10" s="9"/>
      <c r="MZI10" s="9"/>
      <c r="MZJ10" s="10"/>
      <c r="MZK10" s="11"/>
      <c r="MZL10" s="12"/>
      <c r="MZM10" s="12"/>
      <c r="MZN10" s="12"/>
      <c r="MZO10" s="13"/>
      <c r="MZP10" s="9"/>
      <c r="MZQ10" s="9"/>
      <c r="MZR10" s="9"/>
      <c r="MZS10" s="9"/>
      <c r="MZT10" s="10"/>
      <c r="MZU10" s="11"/>
      <c r="MZV10" s="12"/>
      <c r="MZW10" s="12"/>
      <c r="MZX10" s="12"/>
      <c r="MZY10" s="13"/>
      <c r="MZZ10" s="9"/>
      <c r="NAA10" s="9"/>
      <c r="NAB10" s="9"/>
      <c r="NAC10" s="9"/>
      <c r="NAD10" s="10"/>
      <c r="NAE10" s="11"/>
      <c r="NAF10" s="12"/>
      <c r="NAG10" s="12"/>
      <c r="NAH10" s="12"/>
      <c r="NAI10" s="13"/>
      <c r="NAJ10" s="9"/>
      <c r="NAK10" s="9"/>
      <c r="NAL10" s="9"/>
      <c r="NAM10" s="9"/>
      <c r="NAN10" s="10"/>
      <c r="NAO10" s="11"/>
      <c r="NAP10" s="12"/>
      <c r="NAQ10" s="12"/>
      <c r="NAR10" s="12"/>
      <c r="NAS10" s="13"/>
      <c r="NAT10" s="9"/>
      <c r="NAU10" s="9"/>
      <c r="NAV10" s="9"/>
      <c r="NAW10" s="9"/>
      <c r="NAX10" s="10"/>
      <c r="NAY10" s="11"/>
      <c r="NAZ10" s="12"/>
      <c r="NBA10" s="12"/>
      <c r="NBB10" s="12"/>
      <c r="NBC10" s="13"/>
      <c r="NBD10" s="9"/>
      <c r="NBE10" s="9"/>
      <c r="NBF10" s="9"/>
      <c r="NBG10" s="9"/>
      <c r="NBH10" s="10"/>
      <c r="NBI10" s="11"/>
      <c r="NBJ10" s="12"/>
      <c r="NBK10" s="12"/>
      <c r="NBL10" s="12"/>
      <c r="NBM10" s="13"/>
      <c r="NBN10" s="9"/>
      <c r="NBO10" s="9"/>
      <c r="NBP10" s="9"/>
      <c r="NBQ10" s="9"/>
      <c r="NBR10" s="10"/>
      <c r="NBS10" s="11"/>
      <c r="NBT10" s="12"/>
      <c r="NBU10" s="12"/>
      <c r="NBV10" s="12"/>
      <c r="NBW10" s="13"/>
      <c r="NBX10" s="9"/>
      <c r="NBY10" s="9"/>
      <c r="NBZ10" s="9"/>
      <c r="NCA10" s="9"/>
      <c r="NCB10" s="10"/>
      <c r="NCC10" s="11"/>
      <c r="NCD10" s="12"/>
      <c r="NCE10" s="12"/>
      <c r="NCF10" s="12"/>
      <c r="NCG10" s="13"/>
      <c r="NCH10" s="9"/>
      <c r="NCI10" s="9"/>
      <c r="NCJ10" s="9"/>
      <c r="NCK10" s="9"/>
      <c r="NCL10" s="10"/>
      <c r="NCM10" s="11"/>
      <c r="NCN10" s="12"/>
      <c r="NCO10" s="12"/>
      <c r="NCP10" s="12"/>
      <c r="NCQ10" s="13"/>
      <c r="NCR10" s="9"/>
      <c r="NCS10" s="9"/>
      <c r="NCT10" s="9"/>
      <c r="NCU10" s="9"/>
      <c r="NCV10" s="10"/>
      <c r="NCW10" s="11"/>
      <c r="NCX10" s="12"/>
      <c r="NCY10" s="12"/>
      <c r="NCZ10" s="12"/>
      <c r="NDA10" s="13"/>
      <c r="NDB10" s="9"/>
      <c r="NDC10" s="9"/>
      <c r="NDD10" s="9"/>
      <c r="NDE10" s="9"/>
      <c r="NDF10" s="10"/>
      <c r="NDG10" s="11"/>
      <c r="NDH10" s="12"/>
      <c r="NDI10" s="12"/>
      <c r="NDJ10" s="12"/>
      <c r="NDK10" s="13"/>
      <c r="NDL10" s="9"/>
      <c r="NDM10" s="9"/>
      <c r="NDN10" s="9"/>
      <c r="NDO10" s="9"/>
      <c r="NDP10" s="10"/>
      <c r="NDQ10" s="11"/>
      <c r="NDR10" s="12"/>
      <c r="NDS10" s="12"/>
      <c r="NDT10" s="12"/>
      <c r="NDU10" s="13"/>
      <c r="NDV10" s="9"/>
      <c r="NDW10" s="9"/>
      <c r="NDX10" s="9"/>
      <c r="NDY10" s="9"/>
      <c r="NDZ10" s="10"/>
      <c r="NEA10" s="11"/>
      <c r="NEB10" s="12"/>
      <c r="NEC10" s="12"/>
      <c r="NED10" s="12"/>
      <c r="NEE10" s="13"/>
      <c r="NEF10" s="9"/>
      <c r="NEG10" s="9"/>
      <c r="NEH10" s="9"/>
      <c r="NEI10" s="9"/>
      <c r="NEJ10" s="10"/>
      <c r="NEK10" s="11"/>
      <c r="NEL10" s="12"/>
      <c r="NEM10" s="12"/>
      <c r="NEN10" s="12"/>
      <c r="NEO10" s="13"/>
      <c r="NEP10" s="9"/>
      <c r="NEQ10" s="9"/>
      <c r="NER10" s="9"/>
      <c r="NES10" s="9"/>
      <c r="NET10" s="10"/>
      <c r="NEU10" s="11"/>
      <c r="NEV10" s="12"/>
      <c r="NEW10" s="12"/>
      <c r="NEX10" s="12"/>
      <c r="NEY10" s="13"/>
      <c r="NEZ10" s="9"/>
      <c r="NFA10" s="9"/>
      <c r="NFB10" s="9"/>
      <c r="NFC10" s="9"/>
      <c r="NFD10" s="10"/>
      <c r="NFE10" s="11"/>
      <c r="NFF10" s="12"/>
      <c r="NFG10" s="12"/>
      <c r="NFH10" s="12"/>
      <c r="NFI10" s="13"/>
      <c r="NFJ10" s="9"/>
      <c r="NFK10" s="9"/>
      <c r="NFL10" s="9"/>
      <c r="NFM10" s="9"/>
      <c r="NFN10" s="10"/>
      <c r="NFO10" s="11"/>
      <c r="NFP10" s="12"/>
      <c r="NFQ10" s="12"/>
      <c r="NFR10" s="12"/>
      <c r="NFS10" s="13"/>
      <c r="NFT10" s="9"/>
      <c r="NFU10" s="9"/>
      <c r="NFV10" s="9"/>
      <c r="NFW10" s="9"/>
      <c r="NFX10" s="10"/>
      <c r="NFY10" s="11"/>
      <c r="NFZ10" s="12"/>
      <c r="NGA10" s="12"/>
      <c r="NGB10" s="12"/>
      <c r="NGC10" s="13"/>
      <c r="NGD10" s="9"/>
      <c r="NGE10" s="9"/>
      <c r="NGF10" s="9"/>
      <c r="NGG10" s="9"/>
      <c r="NGH10" s="10"/>
      <c r="NGI10" s="11"/>
      <c r="NGJ10" s="12"/>
      <c r="NGK10" s="12"/>
      <c r="NGL10" s="12"/>
      <c r="NGM10" s="13"/>
      <c r="NGN10" s="9"/>
      <c r="NGO10" s="9"/>
      <c r="NGP10" s="9"/>
      <c r="NGQ10" s="9"/>
      <c r="NGR10" s="10"/>
      <c r="NGS10" s="11"/>
      <c r="NGT10" s="12"/>
      <c r="NGU10" s="12"/>
      <c r="NGV10" s="12"/>
      <c r="NGW10" s="13"/>
      <c r="NGX10" s="9"/>
      <c r="NGY10" s="9"/>
      <c r="NGZ10" s="9"/>
      <c r="NHA10" s="9"/>
      <c r="NHB10" s="10"/>
      <c r="NHC10" s="11"/>
      <c r="NHD10" s="12"/>
      <c r="NHE10" s="12"/>
      <c r="NHF10" s="12"/>
      <c r="NHG10" s="13"/>
      <c r="NHH10" s="9"/>
      <c r="NHI10" s="9"/>
      <c r="NHJ10" s="9"/>
      <c r="NHK10" s="9"/>
      <c r="NHL10" s="10"/>
      <c r="NHM10" s="11"/>
      <c r="NHN10" s="12"/>
      <c r="NHO10" s="12"/>
      <c r="NHP10" s="12"/>
      <c r="NHQ10" s="13"/>
      <c r="NHR10" s="9"/>
      <c r="NHS10" s="9"/>
      <c r="NHT10" s="9"/>
      <c r="NHU10" s="9"/>
      <c r="NHV10" s="10"/>
      <c r="NHW10" s="11"/>
      <c r="NHX10" s="12"/>
      <c r="NHY10" s="12"/>
      <c r="NHZ10" s="12"/>
      <c r="NIA10" s="13"/>
      <c r="NIB10" s="9"/>
      <c r="NIC10" s="9"/>
      <c r="NID10" s="9"/>
      <c r="NIE10" s="9"/>
      <c r="NIF10" s="10"/>
      <c r="NIG10" s="11"/>
      <c r="NIH10" s="12"/>
      <c r="NII10" s="12"/>
      <c r="NIJ10" s="12"/>
      <c r="NIK10" s="13"/>
      <c r="NIL10" s="9"/>
      <c r="NIM10" s="9"/>
      <c r="NIN10" s="9"/>
      <c r="NIO10" s="9"/>
      <c r="NIP10" s="10"/>
      <c r="NIQ10" s="11"/>
      <c r="NIR10" s="12"/>
      <c r="NIS10" s="12"/>
      <c r="NIT10" s="12"/>
      <c r="NIU10" s="13"/>
      <c r="NIV10" s="9"/>
      <c r="NIW10" s="9"/>
      <c r="NIX10" s="9"/>
      <c r="NIY10" s="9"/>
      <c r="NIZ10" s="10"/>
      <c r="NJA10" s="11"/>
      <c r="NJB10" s="12"/>
      <c r="NJC10" s="12"/>
      <c r="NJD10" s="12"/>
      <c r="NJE10" s="13"/>
      <c r="NJF10" s="9"/>
      <c r="NJG10" s="9"/>
      <c r="NJH10" s="9"/>
      <c r="NJI10" s="9"/>
      <c r="NJJ10" s="10"/>
      <c r="NJK10" s="11"/>
      <c r="NJL10" s="12"/>
      <c r="NJM10" s="12"/>
      <c r="NJN10" s="12"/>
      <c r="NJO10" s="13"/>
      <c r="NJP10" s="9"/>
      <c r="NJQ10" s="9"/>
      <c r="NJR10" s="9"/>
      <c r="NJS10" s="9"/>
      <c r="NJT10" s="10"/>
      <c r="NJU10" s="11"/>
      <c r="NJV10" s="12"/>
      <c r="NJW10" s="12"/>
      <c r="NJX10" s="12"/>
      <c r="NJY10" s="13"/>
      <c r="NJZ10" s="9"/>
      <c r="NKA10" s="9"/>
      <c r="NKB10" s="9"/>
      <c r="NKC10" s="9"/>
      <c r="NKD10" s="10"/>
      <c r="NKE10" s="11"/>
      <c r="NKF10" s="12"/>
      <c r="NKG10" s="12"/>
      <c r="NKH10" s="12"/>
      <c r="NKI10" s="13"/>
      <c r="NKJ10" s="9"/>
      <c r="NKK10" s="9"/>
      <c r="NKL10" s="9"/>
      <c r="NKM10" s="9"/>
      <c r="NKN10" s="10"/>
      <c r="NKO10" s="11"/>
      <c r="NKP10" s="12"/>
      <c r="NKQ10" s="12"/>
      <c r="NKR10" s="12"/>
      <c r="NKS10" s="13"/>
      <c r="NKT10" s="9"/>
      <c r="NKU10" s="9"/>
      <c r="NKV10" s="9"/>
      <c r="NKW10" s="9"/>
      <c r="NKX10" s="10"/>
      <c r="NKY10" s="11"/>
      <c r="NKZ10" s="12"/>
      <c r="NLA10" s="12"/>
      <c r="NLB10" s="12"/>
      <c r="NLC10" s="13"/>
      <c r="NLD10" s="9"/>
      <c r="NLE10" s="9"/>
      <c r="NLF10" s="9"/>
      <c r="NLG10" s="9"/>
      <c r="NLH10" s="10"/>
      <c r="NLI10" s="11"/>
      <c r="NLJ10" s="12"/>
      <c r="NLK10" s="12"/>
      <c r="NLL10" s="12"/>
      <c r="NLM10" s="13"/>
      <c r="NLN10" s="9"/>
      <c r="NLO10" s="9"/>
      <c r="NLP10" s="9"/>
      <c r="NLQ10" s="9"/>
      <c r="NLR10" s="10"/>
      <c r="NLS10" s="11"/>
      <c r="NLT10" s="12"/>
      <c r="NLU10" s="12"/>
      <c r="NLV10" s="12"/>
      <c r="NLW10" s="13"/>
      <c r="NLX10" s="9"/>
      <c r="NLY10" s="9"/>
      <c r="NLZ10" s="9"/>
      <c r="NMA10" s="9"/>
      <c r="NMB10" s="10"/>
      <c r="NMC10" s="11"/>
      <c r="NMD10" s="12"/>
      <c r="NME10" s="12"/>
      <c r="NMF10" s="12"/>
      <c r="NMG10" s="13"/>
      <c r="NMH10" s="9"/>
      <c r="NMI10" s="9"/>
      <c r="NMJ10" s="9"/>
      <c r="NMK10" s="9"/>
      <c r="NML10" s="10"/>
      <c r="NMM10" s="11"/>
      <c r="NMN10" s="12"/>
      <c r="NMO10" s="12"/>
      <c r="NMP10" s="12"/>
      <c r="NMQ10" s="13"/>
      <c r="NMR10" s="9"/>
      <c r="NMS10" s="9"/>
      <c r="NMT10" s="9"/>
      <c r="NMU10" s="9"/>
      <c r="NMV10" s="10"/>
      <c r="NMW10" s="11"/>
      <c r="NMX10" s="12"/>
      <c r="NMY10" s="12"/>
      <c r="NMZ10" s="12"/>
      <c r="NNA10" s="13"/>
      <c r="NNB10" s="9"/>
      <c r="NNC10" s="9"/>
      <c r="NND10" s="9"/>
      <c r="NNE10" s="9"/>
      <c r="NNF10" s="10"/>
      <c r="NNG10" s="11"/>
      <c r="NNH10" s="12"/>
      <c r="NNI10" s="12"/>
      <c r="NNJ10" s="12"/>
      <c r="NNK10" s="13"/>
      <c r="NNL10" s="9"/>
      <c r="NNM10" s="9"/>
      <c r="NNN10" s="9"/>
      <c r="NNO10" s="9"/>
      <c r="NNP10" s="10"/>
      <c r="NNQ10" s="11"/>
      <c r="NNR10" s="12"/>
      <c r="NNS10" s="12"/>
      <c r="NNT10" s="12"/>
      <c r="NNU10" s="13"/>
      <c r="NNV10" s="9"/>
      <c r="NNW10" s="9"/>
      <c r="NNX10" s="9"/>
      <c r="NNY10" s="9"/>
      <c r="NNZ10" s="10"/>
      <c r="NOA10" s="11"/>
      <c r="NOB10" s="12"/>
      <c r="NOC10" s="12"/>
      <c r="NOD10" s="12"/>
      <c r="NOE10" s="13"/>
      <c r="NOF10" s="9"/>
      <c r="NOG10" s="9"/>
      <c r="NOH10" s="9"/>
      <c r="NOI10" s="9"/>
      <c r="NOJ10" s="10"/>
      <c r="NOK10" s="11"/>
      <c r="NOL10" s="12"/>
      <c r="NOM10" s="12"/>
      <c r="NON10" s="12"/>
      <c r="NOO10" s="13"/>
      <c r="NOP10" s="9"/>
      <c r="NOQ10" s="9"/>
      <c r="NOR10" s="9"/>
      <c r="NOS10" s="9"/>
      <c r="NOT10" s="10"/>
      <c r="NOU10" s="11"/>
      <c r="NOV10" s="12"/>
      <c r="NOW10" s="12"/>
      <c r="NOX10" s="12"/>
      <c r="NOY10" s="13"/>
      <c r="NOZ10" s="9"/>
      <c r="NPA10" s="9"/>
      <c r="NPB10" s="9"/>
      <c r="NPC10" s="9"/>
      <c r="NPD10" s="10"/>
      <c r="NPE10" s="11"/>
      <c r="NPF10" s="12"/>
      <c r="NPG10" s="12"/>
      <c r="NPH10" s="12"/>
      <c r="NPI10" s="13"/>
      <c r="NPJ10" s="9"/>
      <c r="NPK10" s="9"/>
      <c r="NPL10" s="9"/>
      <c r="NPM10" s="9"/>
      <c r="NPN10" s="10"/>
      <c r="NPO10" s="11"/>
      <c r="NPP10" s="12"/>
      <c r="NPQ10" s="12"/>
      <c r="NPR10" s="12"/>
      <c r="NPS10" s="13"/>
      <c r="NPT10" s="9"/>
      <c r="NPU10" s="9"/>
      <c r="NPV10" s="9"/>
      <c r="NPW10" s="9"/>
      <c r="NPX10" s="10"/>
      <c r="NPY10" s="11"/>
      <c r="NPZ10" s="12"/>
      <c r="NQA10" s="12"/>
      <c r="NQB10" s="12"/>
      <c r="NQC10" s="13"/>
      <c r="NQD10" s="9"/>
      <c r="NQE10" s="9"/>
      <c r="NQF10" s="9"/>
      <c r="NQG10" s="9"/>
      <c r="NQH10" s="10"/>
      <c r="NQI10" s="11"/>
      <c r="NQJ10" s="12"/>
      <c r="NQK10" s="12"/>
      <c r="NQL10" s="12"/>
      <c r="NQM10" s="13"/>
      <c r="NQN10" s="9"/>
      <c r="NQO10" s="9"/>
      <c r="NQP10" s="9"/>
      <c r="NQQ10" s="9"/>
      <c r="NQR10" s="10"/>
      <c r="NQS10" s="11"/>
      <c r="NQT10" s="12"/>
      <c r="NQU10" s="12"/>
      <c r="NQV10" s="12"/>
      <c r="NQW10" s="13"/>
      <c r="NQX10" s="9"/>
      <c r="NQY10" s="9"/>
      <c r="NQZ10" s="9"/>
      <c r="NRA10" s="9"/>
      <c r="NRB10" s="10"/>
      <c r="NRC10" s="11"/>
      <c r="NRD10" s="12"/>
      <c r="NRE10" s="12"/>
      <c r="NRF10" s="12"/>
      <c r="NRG10" s="13"/>
      <c r="NRH10" s="9"/>
      <c r="NRI10" s="9"/>
      <c r="NRJ10" s="9"/>
      <c r="NRK10" s="9"/>
      <c r="NRL10" s="10"/>
      <c r="NRM10" s="11"/>
      <c r="NRN10" s="12"/>
      <c r="NRO10" s="12"/>
      <c r="NRP10" s="12"/>
      <c r="NRQ10" s="13"/>
      <c r="NRR10" s="9"/>
      <c r="NRS10" s="9"/>
      <c r="NRT10" s="9"/>
      <c r="NRU10" s="9"/>
      <c r="NRV10" s="10"/>
      <c r="NRW10" s="11"/>
      <c r="NRX10" s="12"/>
      <c r="NRY10" s="12"/>
      <c r="NRZ10" s="12"/>
      <c r="NSA10" s="13"/>
      <c r="NSB10" s="9"/>
      <c r="NSC10" s="9"/>
      <c r="NSD10" s="9"/>
      <c r="NSE10" s="9"/>
      <c r="NSF10" s="10"/>
      <c r="NSG10" s="11"/>
      <c r="NSH10" s="12"/>
      <c r="NSI10" s="12"/>
      <c r="NSJ10" s="12"/>
      <c r="NSK10" s="13"/>
      <c r="NSL10" s="9"/>
      <c r="NSM10" s="9"/>
      <c r="NSN10" s="9"/>
      <c r="NSO10" s="9"/>
      <c r="NSP10" s="10"/>
      <c r="NSQ10" s="11"/>
      <c r="NSR10" s="12"/>
      <c r="NSS10" s="12"/>
      <c r="NST10" s="12"/>
      <c r="NSU10" s="13"/>
      <c r="NSV10" s="9"/>
      <c r="NSW10" s="9"/>
      <c r="NSX10" s="9"/>
      <c r="NSY10" s="9"/>
      <c r="NSZ10" s="10"/>
      <c r="NTA10" s="11"/>
      <c r="NTB10" s="12"/>
      <c r="NTC10" s="12"/>
      <c r="NTD10" s="12"/>
      <c r="NTE10" s="13"/>
      <c r="NTF10" s="9"/>
      <c r="NTG10" s="9"/>
      <c r="NTH10" s="9"/>
      <c r="NTI10" s="9"/>
      <c r="NTJ10" s="10"/>
      <c r="NTK10" s="11"/>
      <c r="NTL10" s="12"/>
      <c r="NTM10" s="12"/>
      <c r="NTN10" s="12"/>
      <c r="NTO10" s="13"/>
      <c r="NTP10" s="9"/>
      <c r="NTQ10" s="9"/>
      <c r="NTR10" s="9"/>
      <c r="NTS10" s="9"/>
      <c r="NTT10" s="10"/>
      <c r="NTU10" s="11"/>
      <c r="NTV10" s="12"/>
      <c r="NTW10" s="12"/>
      <c r="NTX10" s="12"/>
      <c r="NTY10" s="13"/>
      <c r="NTZ10" s="9"/>
      <c r="NUA10" s="9"/>
      <c r="NUB10" s="9"/>
      <c r="NUC10" s="9"/>
      <c r="NUD10" s="10"/>
      <c r="NUE10" s="11"/>
      <c r="NUF10" s="12"/>
      <c r="NUG10" s="12"/>
      <c r="NUH10" s="12"/>
      <c r="NUI10" s="13"/>
      <c r="NUJ10" s="9"/>
      <c r="NUK10" s="9"/>
      <c r="NUL10" s="9"/>
      <c r="NUM10" s="9"/>
      <c r="NUN10" s="10"/>
      <c r="NUO10" s="11"/>
      <c r="NUP10" s="12"/>
      <c r="NUQ10" s="12"/>
      <c r="NUR10" s="12"/>
      <c r="NUS10" s="13"/>
      <c r="NUT10" s="9"/>
      <c r="NUU10" s="9"/>
      <c r="NUV10" s="9"/>
      <c r="NUW10" s="9"/>
      <c r="NUX10" s="10"/>
      <c r="NUY10" s="11"/>
      <c r="NUZ10" s="12"/>
      <c r="NVA10" s="12"/>
      <c r="NVB10" s="12"/>
      <c r="NVC10" s="13"/>
      <c r="NVD10" s="9"/>
      <c r="NVE10" s="9"/>
      <c r="NVF10" s="9"/>
      <c r="NVG10" s="9"/>
      <c r="NVH10" s="10"/>
      <c r="NVI10" s="11"/>
      <c r="NVJ10" s="12"/>
      <c r="NVK10" s="12"/>
      <c r="NVL10" s="12"/>
      <c r="NVM10" s="13"/>
      <c r="NVN10" s="9"/>
      <c r="NVO10" s="9"/>
      <c r="NVP10" s="9"/>
      <c r="NVQ10" s="9"/>
      <c r="NVR10" s="10"/>
      <c r="NVS10" s="11"/>
      <c r="NVT10" s="12"/>
      <c r="NVU10" s="12"/>
      <c r="NVV10" s="12"/>
      <c r="NVW10" s="13"/>
      <c r="NVX10" s="9"/>
      <c r="NVY10" s="9"/>
      <c r="NVZ10" s="9"/>
      <c r="NWA10" s="9"/>
      <c r="NWB10" s="10"/>
      <c r="NWC10" s="11"/>
      <c r="NWD10" s="12"/>
      <c r="NWE10" s="12"/>
      <c r="NWF10" s="12"/>
      <c r="NWG10" s="13"/>
      <c r="NWH10" s="9"/>
      <c r="NWI10" s="9"/>
      <c r="NWJ10" s="9"/>
      <c r="NWK10" s="9"/>
      <c r="NWL10" s="10"/>
      <c r="NWM10" s="11"/>
      <c r="NWN10" s="12"/>
      <c r="NWO10" s="12"/>
      <c r="NWP10" s="12"/>
      <c r="NWQ10" s="13"/>
      <c r="NWR10" s="9"/>
      <c r="NWS10" s="9"/>
      <c r="NWT10" s="9"/>
      <c r="NWU10" s="9"/>
      <c r="NWV10" s="10"/>
      <c r="NWW10" s="11"/>
      <c r="NWX10" s="12"/>
      <c r="NWY10" s="12"/>
      <c r="NWZ10" s="12"/>
      <c r="NXA10" s="13"/>
      <c r="NXB10" s="9"/>
      <c r="NXC10" s="9"/>
      <c r="NXD10" s="9"/>
      <c r="NXE10" s="9"/>
      <c r="NXF10" s="10"/>
      <c r="NXG10" s="11"/>
      <c r="NXH10" s="12"/>
      <c r="NXI10" s="12"/>
      <c r="NXJ10" s="12"/>
      <c r="NXK10" s="13"/>
      <c r="NXL10" s="9"/>
      <c r="NXM10" s="9"/>
      <c r="NXN10" s="9"/>
      <c r="NXO10" s="9"/>
      <c r="NXP10" s="10"/>
      <c r="NXQ10" s="11"/>
      <c r="NXR10" s="12"/>
      <c r="NXS10" s="12"/>
      <c r="NXT10" s="12"/>
      <c r="NXU10" s="13"/>
      <c r="NXV10" s="9"/>
      <c r="NXW10" s="9"/>
      <c r="NXX10" s="9"/>
      <c r="NXY10" s="9"/>
      <c r="NXZ10" s="10"/>
      <c r="NYA10" s="11"/>
      <c r="NYB10" s="12"/>
      <c r="NYC10" s="12"/>
      <c r="NYD10" s="12"/>
      <c r="NYE10" s="13"/>
      <c r="NYF10" s="9"/>
      <c r="NYG10" s="9"/>
      <c r="NYH10" s="9"/>
      <c r="NYI10" s="9"/>
      <c r="NYJ10" s="10"/>
      <c r="NYK10" s="11"/>
      <c r="NYL10" s="12"/>
      <c r="NYM10" s="12"/>
      <c r="NYN10" s="12"/>
      <c r="NYO10" s="13"/>
      <c r="NYP10" s="9"/>
      <c r="NYQ10" s="9"/>
      <c r="NYR10" s="9"/>
      <c r="NYS10" s="9"/>
      <c r="NYT10" s="10"/>
      <c r="NYU10" s="11"/>
      <c r="NYV10" s="12"/>
      <c r="NYW10" s="12"/>
      <c r="NYX10" s="12"/>
      <c r="NYY10" s="13"/>
      <c r="NYZ10" s="9"/>
      <c r="NZA10" s="9"/>
      <c r="NZB10" s="9"/>
      <c r="NZC10" s="9"/>
      <c r="NZD10" s="10"/>
      <c r="NZE10" s="11"/>
      <c r="NZF10" s="12"/>
      <c r="NZG10" s="12"/>
      <c r="NZH10" s="12"/>
      <c r="NZI10" s="13"/>
      <c r="NZJ10" s="9"/>
      <c r="NZK10" s="9"/>
      <c r="NZL10" s="9"/>
      <c r="NZM10" s="9"/>
      <c r="NZN10" s="10"/>
      <c r="NZO10" s="11"/>
      <c r="NZP10" s="12"/>
      <c r="NZQ10" s="12"/>
      <c r="NZR10" s="12"/>
      <c r="NZS10" s="13"/>
      <c r="NZT10" s="9"/>
      <c r="NZU10" s="9"/>
      <c r="NZV10" s="9"/>
      <c r="NZW10" s="9"/>
      <c r="NZX10" s="10"/>
      <c r="NZY10" s="11"/>
      <c r="NZZ10" s="12"/>
      <c r="OAA10" s="12"/>
      <c r="OAB10" s="12"/>
      <c r="OAC10" s="13"/>
      <c r="OAD10" s="9"/>
      <c r="OAE10" s="9"/>
      <c r="OAF10" s="9"/>
      <c r="OAG10" s="9"/>
      <c r="OAH10" s="10"/>
      <c r="OAI10" s="11"/>
      <c r="OAJ10" s="12"/>
      <c r="OAK10" s="12"/>
      <c r="OAL10" s="12"/>
      <c r="OAM10" s="13"/>
      <c r="OAN10" s="9"/>
      <c r="OAO10" s="9"/>
      <c r="OAP10" s="9"/>
      <c r="OAQ10" s="9"/>
      <c r="OAR10" s="10"/>
      <c r="OAS10" s="11"/>
      <c r="OAT10" s="12"/>
      <c r="OAU10" s="12"/>
      <c r="OAV10" s="12"/>
      <c r="OAW10" s="13"/>
      <c r="OAX10" s="9"/>
      <c r="OAY10" s="9"/>
      <c r="OAZ10" s="9"/>
      <c r="OBA10" s="9"/>
      <c r="OBB10" s="10"/>
      <c r="OBC10" s="11"/>
      <c r="OBD10" s="12"/>
      <c r="OBE10" s="12"/>
      <c r="OBF10" s="12"/>
      <c r="OBG10" s="13"/>
      <c r="OBH10" s="9"/>
      <c r="OBI10" s="9"/>
      <c r="OBJ10" s="9"/>
      <c r="OBK10" s="9"/>
      <c r="OBL10" s="10"/>
      <c r="OBM10" s="11"/>
      <c r="OBN10" s="12"/>
      <c r="OBO10" s="12"/>
      <c r="OBP10" s="12"/>
      <c r="OBQ10" s="13"/>
      <c r="OBR10" s="9"/>
      <c r="OBS10" s="9"/>
      <c r="OBT10" s="9"/>
      <c r="OBU10" s="9"/>
      <c r="OBV10" s="10"/>
      <c r="OBW10" s="11"/>
      <c r="OBX10" s="12"/>
      <c r="OBY10" s="12"/>
      <c r="OBZ10" s="12"/>
      <c r="OCA10" s="13"/>
      <c r="OCB10" s="9"/>
      <c r="OCC10" s="9"/>
      <c r="OCD10" s="9"/>
      <c r="OCE10" s="9"/>
      <c r="OCF10" s="10"/>
      <c r="OCG10" s="11"/>
      <c r="OCH10" s="12"/>
      <c r="OCI10" s="12"/>
      <c r="OCJ10" s="12"/>
      <c r="OCK10" s="13"/>
      <c r="OCL10" s="9"/>
      <c r="OCM10" s="9"/>
      <c r="OCN10" s="9"/>
      <c r="OCO10" s="9"/>
      <c r="OCP10" s="10"/>
      <c r="OCQ10" s="11"/>
      <c r="OCR10" s="12"/>
      <c r="OCS10" s="12"/>
      <c r="OCT10" s="12"/>
      <c r="OCU10" s="13"/>
      <c r="OCV10" s="9"/>
      <c r="OCW10" s="9"/>
      <c r="OCX10" s="9"/>
      <c r="OCY10" s="9"/>
      <c r="OCZ10" s="10"/>
      <c r="ODA10" s="11"/>
      <c r="ODB10" s="12"/>
      <c r="ODC10" s="12"/>
      <c r="ODD10" s="12"/>
      <c r="ODE10" s="13"/>
      <c r="ODF10" s="9"/>
      <c r="ODG10" s="9"/>
      <c r="ODH10" s="9"/>
      <c r="ODI10" s="9"/>
      <c r="ODJ10" s="10"/>
      <c r="ODK10" s="11"/>
      <c r="ODL10" s="12"/>
      <c r="ODM10" s="12"/>
      <c r="ODN10" s="12"/>
      <c r="ODO10" s="13"/>
      <c r="ODP10" s="9"/>
      <c r="ODQ10" s="9"/>
      <c r="ODR10" s="9"/>
      <c r="ODS10" s="9"/>
      <c r="ODT10" s="10"/>
      <c r="ODU10" s="11"/>
      <c r="ODV10" s="12"/>
      <c r="ODW10" s="12"/>
      <c r="ODX10" s="12"/>
      <c r="ODY10" s="13"/>
      <c r="ODZ10" s="9"/>
      <c r="OEA10" s="9"/>
      <c r="OEB10" s="9"/>
      <c r="OEC10" s="9"/>
      <c r="OED10" s="10"/>
      <c r="OEE10" s="11"/>
      <c r="OEF10" s="12"/>
      <c r="OEG10" s="12"/>
      <c r="OEH10" s="12"/>
      <c r="OEI10" s="13"/>
      <c r="OEJ10" s="9"/>
      <c r="OEK10" s="9"/>
      <c r="OEL10" s="9"/>
      <c r="OEM10" s="9"/>
      <c r="OEN10" s="10"/>
      <c r="OEO10" s="11"/>
      <c r="OEP10" s="12"/>
      <c r="OEQ10" s="12"/>
      <c r="OER10" s="12"/>
      <c r="OES10" s="13"/>
      <c r="OET10" s="9"/>
      <c r="OEU10" s="9"/>
      <c r="OEV10" s="9"/>
      <c r="OEW10" s="9"/>
      <c r="OEX10" s="10"/>
      <c r="OEY10" s="11"/>
      <c r="OEZ10" s="12"/>
      <c r="OFA10" s="12"/>
      <c r="OFB10" s="12"/>
      <c r="OFC10" s="13"/>
      <c r="OFD10" s="9"/>
      <c r="OFE10" s="9"/>
      <c r="OFF10" s="9"/>
      <c r="OFG10" s="9"/>
      <c r="OFH10" s="10"/>
      <c r="OFI10" s="11"/>
      <c r="OFJ10" s="12"/>
      <c r="OFK10" s="12"/>
      <c r="OFL10" s="12"/>
      <c r="OFM10" s="13"/>
      <c r="OFN10" s="9"/>
      <c r="OFO10" s="9"/>
      <c r="OFP10" s="9"/>
      <c r="OFQ10" s="9"/>
      <c r="OFR10" s="10"/>
      <c r="OFS10" s="11"/>
      <c r="OFT10" s="12"/>
      <c r="OFU10" s="12"/>
      <c r="OFV10" s="12"/>
      <c r="OFW10" s="13"/>
      <c r="OFX10" s="9"/>
      <c r="OFY10" s="9"/>
      <c r="OFZ10" s="9"/>
      <c r="OGA10" s="9"/>
      <c r="OGB10" s="10"/>
      <c r="OGC10" s="11"/>
      <c r="OGD10" s="12"/>
      <c r="OGE10" s="12"/>
      <c r="OGF10" s="12"/>
      <c r="OGG10" s="13"/>
      <c r="OGH10" s="9"/>
      <c r="OGI10" s="9"/>
      <c r="OGJ10" s="9"/>
      <c r="OGK10" s="9"/>
      <c r="OGL10" s="10"/>
      <c r="OGM10" s="11"/>
      <c r="OGN10" s="12"/>
      <c r="OGO10" s="12"/>
      <c r="OGP10" s="12"/>
      <c r="OGQ10" s="13"/>
      <c r="OGR10" s="9"/>
      <c r="OGS10" s="9"/>
      <c r="OGT10" s="9"/>
      <c r="OGU10" s="9"/>
      <c r="OGV10" s="10"/>
      <c r="OGW10" s="11"/>
      <c r="OGX10" s="12"/>
      <c r="OGY10" s="12"/>
      <c r="OGZ10" s="12"/>
      <c r="OHA10" s="13"/>
      <c r="OHB10" s="9"/>
      <c r="OHC10" s="9"/>
      <c r="OHD10" s="9"/>
      <c r="OHE10" s="9"/>
      <c r="OHF10" s="10"/>
      <c r="OHG10" s="11"/>
      <c r="OHH10" s="12"/>
      <c r="OHI10" s="12"/>
      <c r="OHJ10" s="12"/>
      <c r="OHK10" s="13"/>
      <c r="OHL10" s="9"/>
      <c r="OHM10" s="9"/>
      <c r="OHN10" s="9"/>
      <c r="OHO10" s="9"/>
      <c r="OHP10" s="10"/>
      <c r="OHQ10" s="11"/>
      <c r="OHR10" s="12"/>
      <c r="OHS10" s="12"/>
      <c r="OHT10" s="12"/>
      <c r="OHU10" s="13"/>
      <c r="OHV10" s="9"/>
      <c r="OHW10" s="9"/>
      <c r="OHX10" s="9"/>
      <c r="OHY10" s="9"/>
      <c r="OHZ10" s="10"/>
      <c r="OIA10" s="11"/>
      <c r="OIB10" s="12"/>
      <c r="OIC10" s="12"/>
      <c r="OID10" s="12"/>
      <c r="OIE10" s="13"/>
      <c r="OIF10" s="9"/>
      <c r="OIG10" s="9"/>
      <c r="OIH10" s="9"/>
      <c r="OII10" s="9"/>
      <c r="OIJ10" s="10"/>
      <c r="OIK10" s="11"/>
      <c r="OIL10" s="12"/>
      <c r="OIM10" s="12"/>
      <c r="OIN10" s="12"/>
      <c r="OIO10" s="13"/>
      <c r="OIP10" s="9"/>
      <c r="OIQ10" s="9"/>
      <c r="OIR10" s="9"/>
      <c r="OIS10" s="9"/>
      <c r="OIT10" s="10"/>
      <c r="OIU10" s="11"/>
      <c r="OIV10" s="12"/>
      <c r="OIW10" s="12"/>
      <c r="OIX10" s="12"/>
      <c r="OIY10" s="13"/>
      <c r="OIZ10" s="9"/>
      <c r="OJA10" s="9"/>
      <c r="OJB10" s="9"/>
      <c r="OJC10" s="9"/>
      <c r="OJD10" s="10"/>
      <c r="OJE10" s="11"/>
      <c r="OJF10" s="12"/>
      <c r="OJG10" s="12"/>
      <c r="OJH10" s="12"/>
      <c r="OJI10" s="13"/>
      <c r="OJJ10" s="9"/>
      <c r="OJK10" s="9"/>
      <c r="OJL10" s="9"/>
      <c r="OJM10" s="9"/>
      <c r="OJN10" s="10"/>
      <c r="OJO10" s="11"/>
      <c r="OJP10" s="12"/>
      <c r="OJQ10" s="12"/>
      <c r="OJR10" s="12"/>
      <c r="OJS10" s="13"/>
      <c r="OJT10" s="9"/>
      <c r="OJU10" s="9"/>
      <c r="OJV10" s="9"/>
      <c r="OJW10" s="9"/>
      <c r="OJX10" s="10"/>
      <c r="OJY10" s="11"/>
      <c r="OJZ10" s="12"/>
      <c r="OKA10" s="12"/>
      <c r="OKB10" s="12"/>
      <c r="OKC10" s="13"/>
      <c r="OKD10" s="9"/>
      <c r="OKE10" s="9"/>
      <c r="OKF10" s="9"/>
      <c r="OKG10" s="9"/>
      <c r="OKH10" s="10"/>
      <c r="OKI10" s="11"/>
      <c r="OKJ10" s="12"/>
      <c r="OKK10" s="12"/>
      <c r="OKL10" s="12"/>
      <c r="OKM10" s="13"/>
      <c r="OKN10" s="9"/>
      <c r="OKO10" s="9"/>
      <c r="OKP10" s="9"/>
      <c r="OKQ10" s="9"/>
      <c r="OKR10" s="10"/>
      <c r="OKS10" s="11"/>
      <c r="OKT10" s="12"/>
      <c r="OKU10" s="12"/>
      <c r="OKV10" s="12"/>
      <c r="OKW10" s="13"/>
      <c r="OKX10" s="9"/>
      <c r="OKY10" s="9"/>
      <c r="OKZ10" s="9"/>
      <c r="OLA10" s="9"/>
      <c r="OLB10" s="10"/>
      <c r="OLC10" s="11"/>
      <c r="OLD10" s="12"/>
      <c r="OLE10" s="12"/>
      <c r="OLF10" s="12"/>
      <c r="OLG10" s="13"/>
      <c r="OLH10" s="9"/>
      <c r="OLI10" s="9"/>
      <c r="OLJ10" s="9"/>
      <c r="OLK10" s="9"/>
      <c r="OLL10" s="10"/>
      <c r="OLM10" s="11"/>
      <c r="OLN10" s="12"/>
      <c r="OLO10" s="12"/>
      <c r="OLP10" s="12"/>
      <c r="OLQ10" s="13"/>
      <c r="OLR10" s="9"/>
      <c r="OLS10" s="9"/>
      <c r="OLT10" s="9"/>
      <c r="OLU10" s="9"/>
      <c r="OLV10" s="10"/>
      <c r="OLW10" s="11"/>
      <c r="OLX10" s="12"/>
      <c r="OLY10" s="12"/>
      <c r="OLZ10" s="12"/>
      <c r="OMA10" s="13"/>
      <c r="OMB10" s="9"/>
      <c r="OMC10" s="9"/>
      <c r="OMD10" s="9"/>
      <c r="OME10" s="9"/>
      <c r="OMF10" s="10"/>
      <c r="OMG10" s="11"/>
      <c r="OMH10" s="12"/>
      <c r="OMI10" s="12"/>
      <c r="OMJ10" s="12"/>
      <c r="OMK10" s="13"/>
      <c r="OML10" s="9"/>
      <c r="OMM10" s="9"/>
      <c r="OMN10" s="9"/>
      <c r="OMO10" s="9"/>
      <c r="OMP10" s="10"/>
      <c r="OMQ10" s="11"/>
      <c r="OMR10" s="12"/>
      <c r="OMS10" s="12"/>
      <c r="OMT10" s="12"/>
      <c r="OMU10" s="13"/>
      <c r="OMV10" s="9"/>
      <c r="OMW10" s="9"/>
      <c r="OMX10" s="9"/>
      <c r="OMY10" s="9"/>
      <c r="OMZ10" s="10"/>
      <c r="ONA10" s="11"/>
      <c r="ONB10" s="12"/>
      <c r="ONC10" s="12"/>
      <c r="OND10" s="12"/>
      <c r="ONE10" s="13"/>
      <c r="ONF10" s="9"/>
      <c r="ONG10" s="9"/>
      <c r="ONH10" s="9"/>
      <c r="ONI10" s="9"/>
      <c r="ONJ10" s="10"/>
      <c r="ONK10" s="11"/>
      <c r="ONL10" s="12"/>
      <c r="ONM10" s="12"/>
      <c r="ONN10" s="12"/>
      <c r="ONO10" s="13"/>
      <c r="ONP10" s="9"/>
      <c r="ONQ10" s="9"/>
      <c r="ONR10" s="9"/>
      <c r="ONS10" s="9"/>
      <c r="ONT10" s="10"/>
      <c r="ONU10" s="11"/>
      <c r="ONV10" s="12"/>
      <c r="ONW10" s="12"/>
      <c r="ONX10" s="12"/>
      <c r="ONY10" s="13"/>
      <c r="ONZ10" s="9"/>
      <c r="OOA10" s="9"/>
      <c r="OOB10" s="9"/>
      <c r="OOC10" s="9"/>
      <c r="OOD10" s="10"/>
      <c r="OOE10" s="11"/>
      <c r="OOF10" s="12"/>
      <c r="OOG10" s="12"/>
      <c r="OOH10" s="12"/>
      <c r="OOI10" s="13"/>
      <c r="OOJ10" s="9"/>
      <c r="OOK10" s="9"/>
      <c r="OOL10" s="9"/>
      <c r="OOM10" s="9"/>
      <c r="OON10" s="10"/>
      <c r="OOO10" s="11"/>
      <c r="OOP10" s="12"/>
      <c r="OOQ10" s="12"/>
      <c r="OOR10" s="12"/>
      <c r="OOS10" s="13"/>
      <c r="OOT10" s="9"/>
      <c r="OOU10" s="9"/>
      <c r="OOV10" s="9"/>
      <c r="OOW10" s="9"/>
      <c r="OOX10" s="10"/>
      <c r="OOY10" s="11"/>
      <c r="OOZ10" s="12"/>
      <c r="OPA10" s="12"/>
      <c r="OPB10" s="12"/>
      <c r="OPC10" s="13"/>
      <c r="OPD10" s="9"/>
      <c r="OPE10" s="9"/>
      <c r="OPF10" s="9"/>
      <c r="OPG10" s="9"/>
      <c r="OPH10" s="10"/>
      <c r="OPI10" s="11"/>
      <c r="OPJ10" s="12"/>
      <c r="OPK10" s="12"/>
      <c r="OPL10" s="12"/>
      <c r="OPM10" s="13"/>
      <c r="OPN10" s="9"/>
      <c r="OPO10" s="9"/>
      <c r="OPP10" s="9"/>
      <c r="OPQ10" s="9"/>
      <c r="OPR10" s="10"/>
      <c r="OPS10" s="11"/>
      <c r="OPT10" s="12"/>
      <c r="OPU10" s="12"/>
      <c r="OPV10" s="12"/>
      <c r="OPW10" s="13"/>
      <c r="OPX10" s="9"/>
      <c r="OPY10" s="9"/>
      <c r="OPZ10" s="9"/>
      <c r="OQA10" s="9"/>
      <c r="OQB10" s="10"/>
      <c r="OQC10" s="11"/>
      <c r="OQD10" s="12"/>
      <c r="OQE10" s="12"/>
      <c r="OQF10" s="12"/>
      <c r="OQG10" s="13"/>
      <c r="OQH10" s="9"/>
      <c r="OQI10" s="9"/>
      <c r="OQJ10" s="9"/>
      <c r="OQK10" s="9"/>
      <c r="OQL10" s="10"/>
      <c r="OQM10" s="11"/>
      <c r="OQN10" s="12"/>
      <c r="OQO10" s="12"/>
      <c r="OQP10" s="12"/>
      <c r="OQQ10" s="13"/>
      <c r="OQR10" s="9"/>
      <c r="OQS10" s="9"/>
      <c r="OQT10" s="9"/>
      <c r="OQU10" s="9"/>
      <c r="OQV10" s="10"/>
      <c r="OQW10" s="11"/>
      <c r="OQX10" s="12"/>
      <c r="OQY10" s="12"/>
      <c r="OQZ10" s="12"/>
      <c r="ORA10" s="13"/>
      <c r="ORB10" s="9"/>
      <c r="ORC10" s="9"/>
      <c r="ORD10" s="9"/>
      <c r="ORE10" s="9"/>
      <c r="ORF10" s="10"/>
      <c r="ORG10" s="11"/>
      <c r="ORH10" s="12"/>
      <c r="ORI10" s="12"/>
      <c r="ORJ10" s="12"/>
      <c r="ORK10" s="13"/>
      <c r="ORL10" s="9"/>
      <c r="ORM10" s="9"/>
      <c r="ORN10" s="9"/>
      <c r="ORO10" s="9"/>
      <c r="ORP10" s="10"/>
      <c r="ORQ10" s="11"/>
      <c r="ORR10" s="12"/>
      <c r="ORS10" s="12"/>
      <c r="ORT10" s="12"/>
      <c r="ORU10" s="13"/>
      <c r="ORV10" s="9"/>
      <c r="ORW10" s="9"/>
      <c r="ORX10" s="9"/>
      <c r="ORY10" s="9"/>
      <c r="ORZ10" s="10"/>
      <c r="OSA10" s="11"/>
      <c r="OSB10" s="12"/>
      <c r="OSC10" s="12"/>
      <c r="OSD10" s="12"/>
      <c r="OSE10" s="13"/>
      <c r="OSF10" s="9"/>
      <c r="OSG10" s="9"/>
      <c r="OSH10" s="9"/>
      <c r="OSI10" s="9"/>
      <c r="OSJ10" s="10"/>
      <c r="OSK10" s="11"/>
      <c r="OSL10" s="12"/>
      <c r="OSM10" s="12"/>
      <c r="OSN10" s="12"/>
      <c r="OSO10" s="13"/>
      <c r="OSP10" s="9"/>
      <c r="OSQ10" s="9"/>
      <c r="OSR10" s="9"/>
      <c r="OSS10" s="9"/>
      <c r="OST10" s="10"/>
      <c r="OSU10" s="11"/>
      <c r="OSV10" s="12"/>
      <c r="OSW10" s="12"/>
      <c r="OSX10" s="12"/>
      <c r="OSY10" s="13"/>
      <c r="OSZ10" s="9"/>
      <c r="OTA10" s="9"/>
      <c r="OTB10" s="9"/>
      <c r="OTC10" s="9"/>
      <c r="OTD10" s="10"/>
      <c r="OTE10" s="11"/>
      <c r="OTF10" s="12"/>
      <c r="OTG10" s="12"/>
      <c r="OTH10" s="12"/>
      <c r="OTI10" s="13"/>
      <c r="OTJ10" s="9"/>
      <c r="OTK10" s="9"/>
      <c r="OTL10" s="9"/>
      <c r="OTM10" s="9"/>
      <c r="OTN10" s="10"/>
      <c r="OTO10" s="11"/>
      <c r="OTP10" s="12"/>
      <c r="OTQ10" s="12"/>
      <c r="OTR10" s="12"/>
      <c r="OTS10" s="13"/>
      <c r="OTT10" s="9"/>
      <c r="OTU10" s="9"/>
      <c r="OTV10" s="9"/>
      <c r="OTW10" s="9"/>
      <c r="OTX10" s="10"/>
      <c r="OTY10" s="11"/>
      <c r="OTZ10" s="12"/>
      <c r="OUA10" s="12"/>
      <c r="OUB10" s="12"/>
      <c r="OUC10" s="13"/>
      <c r="OUD10" s="9"/>
      <c r="OUE10" s="9"/>
      <c r="OUF10" s="9"/>
      <c r="OUG10" s="9"/>
      <c r="OUH10" s="10"/>
      <c r="OUI10" s="11"/>
      <c r="OUJ10" s="12"/>
      <c r="OUK10" s="12"/>
      <c r="OUL10" s="12"/>
      <c r="OUM10" s="13"/>
      <c r="OUN10" s="9"/>
      <c r="OUO10" s="9"/>
      <c r="OUP10" s="9"/>
      <c r="OUQ10" s="9"/>
      <c r="OUR10" s="10"/>
      <c r="OUS10" s="11"/>
      <c r="OUT10" s="12"/>
      <c r="OUU10" s="12"/>
      <c r="OUV10" s="12"/>
      <c r="OUW10" s="13"/>
      <c r="OUX10" s="9"/>
      <c r="OUY10" s="9"/>
      <c r="OUZ10" s="9"/>
      <c r="OVA10" s="9"/>
      <c r="OVB10" s="10"/>
      <c r="OVC10" s="11"/>
      <c r="OVD10" s="12"/>
      <c r="OVE10" s="12"/>
      <c r="OVF10" s="12"/>
      <c r="OVG10" s="13"/>
      <c r="OVH10" s="9"/>
      <c r="OVI10" s="9"/>
      <c r="OVJ10" s="9"/>
      <c r="OVK10" s="9"/>
      <c r="OVL10" s="10"/>
      <c r="OVM10" s="11"/>
      <c r="OVN10" s="12"/>
      <c r="OVO10" s="12"/>
      <c r="OVP10" s="12"/>
      <c r="OVQ10" s="13"/>
      <c r="OVR10" s="9"/>
      <c r="OVS10" s="9"/>
      <c r="OVT10" s="9"/>
      <c r="OVU10" s="9"/>
      <c r="OVV10" s="10"/>
      <c r="OVW10" s="11"/>
      <c r="OVX10" s="12"/>
      <c r="OVY10" s="12"/>
      <c r="OVZ10" s="12"/>
      <c r="OWA10" s="13"/>
      <c r="OWB10" s="9"/>
      <c r="OWC10" s="9"/>
      <c r="OWD10" s="9"/>
      <c r="OWE10" s="9"/>
      <c r="OWF10" s="10"/>
      <c r="OWG10" s="11"/>
      <c r="OWH10" s="12"/>
      <c r="OWI10" s="12"/>
      <c r="OWJ10" s="12"/>
      <c r="OWK10" s="13"/>
      <c r="OWL10" s="9"/>
      <c r="OWM10" s="9"/>
      <c r="OWN10" s="9"/>
      <c r="OWO10" s="9"/>
      <c r="OWP10" s="10"/>
      <c r="OWQ10" s="11"/>
      <c r="OWR10" s="12"/>
      <c r="OWS10" s="12"/>
      <c r="OWT10" s="12"/>
      <c r="OWU10" s="13"/>
      <c r="OWV10" s="9"/>
      <c r="OWW10" s="9"/>
      <c r="OWX10" s="9"/>
      <c r="OWY10" s="9"/>
      <c r="OWZ10" s="10"/>
      <c r="OXA10" s="11"/>
      <c r="OXB10" s="12"/>
      <c r="OXC10" s="12"/>
      <c r="OXD10" s="12"/>
      <c r="OXE10" s="13"/>
      <c r="OXF10" s="9"/>
      <c r="OXG10" s="9"/>
      <c r="OXH10" s="9"/>
      <c r="OXI10" s="9"/>
      <c r="OXJ10" s="10"/>
      <c r="OXK10" s="11"/>
      <c r="OXL10" s="12"/>
      <c r="OXM10" s="12"/>
      <c r="OXN10" s="12"/>
      <c r="OXO10" s="13"/>
      <c r="OXP10" s="9"/>
      <c r="OXQ10" s="9"/>
      <c r="OXR10" s="9"/>
      <c r="OXS10" s="9"/>
      <c r="OXT10" s="10"/>
      <c r="OXU10" s="11"/>
      <c r="OXV10" s="12"/>
      <c r="OXW10" s="12"/>
      <c r="OXX10" s="12"/>
      <c r="OXY10" s="13"/>
      <c r="OXZ10" s="9"/>
      <c r="OYA10" s="9"/>
      <c r="OYB10" s="9"/>
      <c r="OYC10" s="9"/>
      <c r="OYD10" s="10"/>
      <c r="OYE10" s="11"/>
      <c r="OYF10" s="12"/>
      <c r="OYG10" s="12"/>
      <c r="OYH10" s="12"/>
      <c r="OYI10" s="13"/>
      <c r="OYJ10" s="9"/>
      <c r="OYK10" s="9"/>
      <c r="OYL10" s="9"/>
      <c r="OYM10" s="9"/>
      <c r="OYN10" s="10"/>
      <c r="OYO10" s="11"/>
      <c r="OYP10" s="12"/>
      <c r="OYQ10" s="12"/>
      <c r="OYR10" s="12"/>
      <c r="OYS10" s="13"/>
      <c r="OYT10" s="9"/>
      <c r="OYU10" s="9"/>
      <c r="OYV10" s="9"/>
      <c r="OYW10" s="9"/>
      <c r="OYX10" s="10"/>
      <c r="OYY10" s="11"/>
      <c r="OYZ10" s="12"/>
      <c r="OZA10" s="12"/>
      <c r="OZB10" s="12"/>
      <c r="OZC10" s="13"/>
      <c r="OZD10" s="9"/>
      <c r="OZE10" s="9"/>
      <c r="OZF10" s="9"/>
      <c r="OZG10" s="9"/>
      <c r="OZH10" s="10"/>
      <c r="OZI10" s="11"/>
      <c r="OZJ10" s="12"/>
      <c r="OZK10" s="12"/>
      <c r="OZL10" s="12"/>
      <c r="OZM10" s="13"/>
      <c r="OZN10" s="9"/>
      <c r="OZO10" s="9"/>
      <c r="OZP10" s="9"/>
      <c r="OZQ10" s="9"/>
      <c r="OZR10" s="10"/>
      <c r="OZS10" s="11"/>
      <c r="OZT10" s="12"/>
      <c r="OZU10" s="12"/>
      <c r="OZV10" s="12"/>
      <c r="OZW10" s="13"/>
      <c r="OZX10" s="9"/>
      <c r="OZY10" s="9"/>
      <c r="OZZ10" s="9"/>
      <c r="PAA10" s="9"/>
      <c r="PAB10" s="10"/>
      <c r="PAC10" s="11"/>
      <c r="PAD10" s="12"/>
      <c r="PAE10" s="12"/>
      <c r="PAF10" s="12"/>
      <c r="PAG10" s="13"/>
      <c r="PAH10" s="9"/>
      <c r="PAI10" s="9"/>
      <c r="PAJ10" s="9"/>
      <c r="PAK10" s="9"/>
      <c r="PAL10" s="10"/>
      <c r="PAM10" s="11"/>
      <c r="PAN10" s="12"/>
      <c r="PAO10" s="12"/>
      <c r="PAP10" s="12"/>
      <c r="PAQ10" s="13"/>
      <c r="PAR10" s="9"/>
      <c r="PAS10" s="9"/>
      <c r="PAT10" s="9"/>
      <c r="PAU10" s="9"/>
      <c r="PAV10" s="10"/>
      <c r="PAW10" s="11"/>
      <c r="PAX10" s="12"/>
      <c r="PAY10" s="12"/>
      <c r="PAZ10" s="12"/>
      <c r="PBA10" s="13"/>
      <c r="PBB10" s="9"/>
      <c r="PBC10" s="9"/>
      <c r="PBD10" s="9"/>
      <c r="PBE10" s="9"/>
      <c r="PBF10" s="10"/>
      <c r="PBG10" s="11"/>
      <c r="PBH10" s="12"/>
      <c r="PBI10" s="12"/>
      <c r="PBJ10" s="12"/>
      <c r="PBK10" s="13"/>
      <c r="PBL10" s="9"/>
      <c r="PBM10" s="9"/>
      <c r="PBN10" s="9"/>
      <c r="PBO10" s="9"/>
      <c r="PBP10" s="10"/>
      <c r="PBQ10" s="11"/>
      <c r="PBR10" s="12"/>
      <c r="PBS10" s="12"/>
      <c r="PBT10" s="12"/>
      <c r="PBU10" s="13"/>
      <c r="PBV10" s="9"/>
      <c r="PBW10" s="9"/>
      <c r="PBX10" s="9"/>
      <c r="PBY10" s="9"/>
      <c r="PBZ10" s="10"/>
      <c r="PCA10" s="11"/>
      <c r="PCB10" s="12"/>
      <c r="PCC10" s="12"/>
      <c r="PCD10" s="12"/>
      <c r="PCE10" s="13"/>
      <c r="PCF10" s="9"/>
      <c r="PCG10" s="9"/>
      <c r="PCH10" s="9"/>
      <c r="PCI10" s="9"/>
      <c r="PCJ10" s="10"/>
      <c r="PCK10" s="11"/>
      <c r="PCL10" s="12"/>
      <c r="PCM10" s="12"/>
      <c r="PCN10" s="12"/>
      <c r="PCO10" s="13"/>
      <c r="PCP10" s="9"/>
      <c r="PCQ10" s="9"/>
      <c r="PCR10" s="9"/>
      <c r="PCS10" s="9"/>
      <c r="PCT10" s="10"/>
      <c r="PCU10" s="11"/>
      <c r="PCV10" s="12"/>
      <c r="PCW10" s="12"/>
      <c r="PCX10" s="12"/>
      <c r="PCY10" s="13"/>
      <c r="PCZ10" s="9"/>
      <c r="PDA10" s="9"/>
      <c r="PDB10" s="9"/>
      <c r="PDC10" s="9"/>
      <c r="PDD10" s="10"/>
      <c r="PDE10" s="11"/>
      <c r="PDF10" s="12"/>
      <c r="PDG10" s="12"/>
      <c r="PDH10" s="12"/>
      <c r="PDI10" s="13"/>
      <c r="PDJ10" s="9"/>
      <c r="PDK10" s="9"/>
      <c r="PDL10" s="9"/>
      <c r="PDM10" s="9"/>
      <c r="PDN10" s="10"/>
      <c r="PDO10" s="11"/>
      <c r="PDP10" s="12"/>
      <c r="PDQ10" s="12"/>
      <c r="PDR10" s="12"/>
      <c r="PDS10" s="13"/>
      <c r="PDT10" s="9"/>
      <c r="PDU10" s="9"/>
      <c r="PDV10" s="9"/>
      <c r="PDW10" s="9"/>
      <c r="PDX10" s="10"/>
      <c r="PDY10" s="11"/>
      <c r="PDZ10" s="12"/>
      <c r="PEA10" s="12"/>
      <c r="PEB10" s="12"/>
      <c r="PEC10" s="13"/>
      <c r="PED10" s="9"/>
      <c r="PEE10" s="9"/>
      <c r="PEF10" s="9"/>
      <c r="PEG10" s="9"/>
      <c r="PEH10" s="10"/>
      <c r="PEI10" s="11"/>
      <c r="PEJ10" s="12"/>
      <c r="PEK10" s="12"/>
      <c r="PEL10" s="12"/>
      <c r="PEM10" s="13"/>
      <c r="PEN10" s="9"/>
      <c r="PEO10" s="9"/>
      <c r="PEP10" s="9"/>
      <c r="PEQ10" s="9"/>
      <c r="PER10" s="10"/>
      <c r="PES10" s="11"/>
      <c r="PET10" s="12"/>
      <c r="PEU10" s="12"/>
      <c r="PEV10" s="12"/>
      <c r="PEW10" s="13"/>
      <c r="PEX10" s="9"/>
      <c r="PEY10" s="9"/>
      <c r="PEZ10" s="9"/>
      <c r="PFA10" s="9"/>
      <c r="PFB10" s="10"/>
      <c r="PFC10" s="11"/>
      <c r="PFD10" s="12"/>
      <c r="PFE10" s="12"/>
      <c r="PFF10" s="12"/>
      <c r="PFG10" s="13"/>
      <c r="PFH10" s="9"/>
      <c r="PFI10" s="9"/>
      <c r="PFJ10" s="9"/>
      <c r="PFK10" s="9"/>
      <c r="PFL10" s="10"/>
      <c r="PFM10" s="11"/>
      <c r="PFN10" s="12"/>
      <c r="PFO10" s="12"/>
      <c r="PFP10" s="12"/>
      <c r="PFQ10" s="13"/>
      <c r="PFR10" s="9"/>
      <c r="PFS10" s="9"/>
      <c r="PFT10" s="9"/>
      <c r="PFU10" s="9"/>
      <c r="PFV10" s="10"/>
      <c r="PFW10" s="11"/>
      <c r="PFX10" s="12"/>
      <c r="PFY10" s="12"/>
      <c r="PFZ10" s="12"/>
      <c r="PGA10" s="13"/>
      <c r="PGB10" s="9"/>
      <c r="PGC10" s="9"/>
      <c r="PGD10" s="9"/>
      <c r="PGE10" s="9"/>
      <c r="PGF10" s="10"/>
      <c r="PGG10" s="11"/>
      <c r="PGH10" s="12"/>
      <c r="PGI10" s="12"/>
      <c r="PGJ10" s="12"/>
      <c r="PGK10" s="13"/>
      <c r="PGL10" s="9"/>
      <c r="PGM10" s="9"/>
      <c r="PGN10" s="9"/>
      <c r="PGO10" s="9"/>
      <c r="PGP10" s="10"/>
      <c r="PGQ10" s="11"/>
      <c r="PGR10" s="12"/>
      <c r="PGS10" s="12"/>
      <c r="PGT10" s="12"/>
      <c r="PGU10" s="13"/>
      <c r="PGV10" s="9"/>
      <c r="PGW10" s="9"/>
      <c r="PGX10" s="9"/>
      <c r="PGY10" s="9"/>
      <c r="PGZ10" s="10"/>
      <c r="PHA10" s="11"/>
      <c r="PHB10" s="12"/>
      <c r="PHC10" s="12"/>
      <c r="PHD10" s="12"/>
      <c r="PHE10" s="13"/>
      <c r="PHF10" s="9"/>
      <c r="PHG10" s="9"/>
      <c r="PHH10" s="9"/>
      <c r="PHI10" s="9"/>
      <c r="PHJ10" s="10"/>
      <c r="PHK10" s="11"/>
      <c r="PHL10" s="12"/>
      <c r="PHM10" s="12"/>
      <c r="PHN10" s="12"/>
      <c r="PHO10" s="13"/>
      <c r="PHP10" s="9"/>
      <c r="PHQ10" s="9"/>
      <c r="PHR10" s="9"/>
      <c r="PHS10" s="9"/>
      <c r="PHT10" s="10"/>
      <c r="PHU10" s="11"/>
      <c r="PHV10" s="12"/>
      <c r="PHW10" s="12"/>
      <c r="PHX10" s="12"/>
      <c r="PHY10" s="13"/>
      <c r="PHZ10" s="9"/>
      <c r="PIA10" s="9"/>
      <c r="PIB10" s="9"/>
      <c r="PIC10" s="9"/>
      <c r="PID10" s="10"/>
      <c r="PIE10" s="11"/>
      <c r="PIF10" s="12"/>
      <c r="PIG10" s="12"/>
      <c r="PIH10" s="12"/>
      <c r="PII10" s="13"/>
      <c r="PIJ10" s="9"/>
      <c r="PIK10" s="9"/>
      <c r="PIL10" s="9"/>
      <c r="PIM10" s="9"/>
      <c r="PIN10" s="10"/>
      <c r="PIO10" s="11"/>
      <c r="PIP10" s="12"/>
      <c r="PIQ10" s="12"/>
      <c r="PIR10" s="12"/>
      <c r="PIS10" s="13"/>
      <c r="PIT10" s="9"/>
      <c r="PIU10" s="9"/>
      <c r="PIV10" s="9"/>
      <c r="PIW10" s="9"/>
      <c r="PIX10" s="10"/>
      <c r="PIY10" s="11"/>
      <c r="PIZ10" s="12"/>
      <c r="PJA10" s="12"/>
      <c r="PJB10" s="12"/>
      <c r="PJC10" s="13"/>
      <c r="PJD10" s="9"/>
      <c r="PJE10" s="9"/>
      <c r="PJF10" s="9"/>
      <c r="PJG10" s="9"/>
      <c r="PJH10" s="10"/>
      <c r="PJI10" s="11"/>
      <c r="PJJ10" s="12"/>
      <c r="PJK10" s="12"/>
      <c r="PJL10" s="12"/>
      <c r="PJM10" s="13"/>
      <c r="PJN10" s="9"/>
      <c r="PJO10" s="9"/>
      <c r="PJP10" s="9"/>
      <c r="PJQ10" s="9"/>
      <c r="PJR10" s="10"/>
      <c r="PJS10" s="11"/>
      <c r="PJT10" s="12"/>
      <c r="PJU10" s="12"/>
      <c r="PJV10" s="12"/>
      <c r="PJW10" s="13"/>
      <c r="PJX10" s="9"/>
      <c r="PJY10" s="9"/>
      <c r="PJZ10" s="9"/>
      <c r="PKA10" s="9"/>
      <c r="PKB10" s="10"/>
      <c r="PKC10" s="11"/>
      <c r="PKD10" s="12"/>
      <c r="PKE10" s="12"/>
      <c r="PKF10" s="12"/>
      <c r="PKG10" s="13"/>
      <c r="PKH10" s="9"/>
      <c r="PKI10" s="9"/>
      <c r="PKJ10" s="9"/>
      <c r="PKK10" s="9"/>
      <c r="PKL10" s="10"/>
      <c r="PKM10" s="11"/>
      <c r="PKN10" s="12"/>
      <c r="PKO10" s="12"/>
      <c r="PKP10" s="12"/>
      <c r="PKQ10" s="13"/>
      <c r="PKR10" s="9"/>
      <c r="PKS10" s="9"/>
      <c r="PKT10" s="9"/>
      <c r="PKU10" s="9"/>
      <c r="PKV10" s="10"/>
      <c r="PKW10" s="11"/>
      <c r="PKX10" s="12"/>
      <c r="PKY10" s="12"/>
      <c r="PKZ10" s="12"/>
      <c r="PLA10" s="13"/>
      <c r="PLB10" s="9"/>
      <c r="PLC10" s="9"/>
      <c r="PLD10" s="9"/>
      <c r="PLE10" s="9"/>
      <c r="PLF10" s="10"/>
      <c r="PLG10" s="11"/>
      <c r="PLH10" s="12"/>
      <c r="PLI10" s="12"/>
      <c r="PLJ10" s="12"/>
      <c r="PLK10" s="13"/>
      <c r="PLL10" s="9"/>
      <c r="PLM10" s="9"/>
      <c r="PLN10" s="9"/>
      <c r="PLO10" s="9"/>
      <c r="PLP10" s="10"/>
      <c r="PLQ10" s="11"/>
      <c r="PLR10" s="12"/>
      <c r="PLS10" s="12"/>
      <c r="PLT10" s="12"/>
      <c r="PLU10" s="13"/>
      <c r="PLV10" s="9"/>
      <c r="PLW10" s="9"/>
      <c r="PLX10" s="9"/>
      <c r="PLY10" s="9"/>
      <c r="PLZ10" s="10"/>
      <c r="PMA10" s="11"/>
      <c r="PMB10" s="12"/>
      <c r="PMC10" s="12"/>
      <c r="PMD10" s="12"/>
      <c r="PME10" s="13"/>
      <c r="PMF10" s="9"/>
      <c r="PMG10" s="9"/>
      <c r="PMH10" s="9"/>
      <c r="PMI10" s="9"/>
      <c r="PMJ10" s="10"/>
      <c r="PMK10" s="11"/>
      <c r="PML10" s="12"/>
      <c r="PMM10" s="12"/>
      <c r="PMN10" s="12"/>
      <c r="PMO10" s="13"/>
      <c r="PMP10" s="9"/>
      <c r="PMQ10" s="9"/>
      <c r="PMR10" s="9"/>
      <c r="PMS10" s="9"/>
      <c r="PMT10" s="10"/>
      <c r="PMU10" s="11"/>
      <c r="PMV10" s="12"/>
      <c r="PMW10" s="12"/>
      <c r="PMX10" s="12"/>
      <c r="PMY10" s="13"/>
      <c r="PMZ10" s="9"/>
      <c r="PNA10" s="9"/>
      <c r="PNB10" s="9"/>
      <c r="PNC10" s="9"/>
      <c r="PND10" s="10"/>
      <c r="PNE10" s="11"/>
      <c r="PNF10" s="12"/>
      <c r="PNG10" s="12"/>
      <c r="PNH10" s="12"/>
      <c r="PNI10" s="13"/>
      <c r="PNJ10" s="9"/>
      <c r="PNK10" s="9"/>
      <c r="PNL10" s="9"/>
      <c r="PNM10" s="9"/>
      <c r="PNN10" s="10"/>
      <c r="PNO10" s="11"/>
      <c r="PNP10" s="12"/>
      <c r="PNQ10" s="12"/>
      <c r="PNR10" s="12"/>
      <c r="PNS10" s="13"/>
      <c r="PNT10" s="9"/>
      <c r="PNU10" s="9"/>
      <c r="PNV10" s="9"/>
      <c r="PNW10" s="9"/>
      <c r="PNX10" s="10"/>
      <c r="PNY10" s="11"/>
      <c r="PNZ10" s="12"/>
      <c r="POA10" s="12"/>
      <c r="POB10" s="12"/>
      <c r="POC10" s="13"/>
      <c r="POD10" s="9"/>
      <c r="POE10" s="9"/>
      <c r="POF10" s="9"/>
      <c r="POG10" s="9"/>
      <c r="POH10" s="10"/>
      <c r="POI10" s="11"/>
      <c r="POJ10" s="12"/>
      <c r="POK10" s="12"/>
      <c r="POL10" s="12"/>
      <c r="POM10" s="13"/>
      <c r="PON10" s="9"/>
      <c r="POO10" s="9"/>
      <c r="POP10" s="9"/>
      <c r="POQ10" s="9"/>
      <c r="POR10" s="10"/>
      <c r="POS10" s="11"/>
      <c r="POT10" s="12"/>
      <c r="POU10" s="12"/>
      <c r="POV10" s="12"/>
      <c r="POW10" s="13"/>
      <c r="POX10" s="9"/>
      <c r="POY10" s="9"/>
      <c r="POZ10" s="9"/>
      <c r="PPA10" s="9"/>
      <c r="PPB10" s="10"/>
      <c r="PPC10" s="11"/>
      <c r="PPD10" s="12"/>
      <c r="PPE10" s="12"/>
      <c r="PPF10" s="12"/>
      <c r="PPG10" s="13"/>
      <c r="PPH10" s="9"/>
      <c r="PPI10" s="9"/>
      <c r="PPJ10" s="9"/>
      <c r="PPK10" s="9"/>
      <c r="PPL10" s="10"/>
      <c r="PPM10" s="11"/>
      <c r="PPN10" s="12"/>
      <c r="PPO10" s="12"/>
      <c r="PPP10" s="12"/>
      <c r="PPQ10" s="13"/>
      <c r="PPR10" s="9"/>
      <c r="PPS10" s="9"/>
      <c r="PPT10" s="9"/>
      <c r="PPU10" s="9"/>
      <c r="PPV10" s="10"/>
      <c r="PPW10" s="11"/>
      <c r="PPX10" s="12"/>
      <c r="PPY10" s="12"/>
      <c r="PPZ10" s="12"/>
      <c r="PQA10" s="13"/>
      <c r="PQB10" s="9"/>
      <c r="PQC10" s="9"/>
      <c r="PQD10" s="9"/>
      <c r="PQE10" s="9"/>
      <c r="PQF10" s="10"/>
      <c r="PQG10" s="11"/>
      <c r="PQH10" s="12"/>
      <c r="PQI10" s="12"/>
      <c r="PQJ10" s="12"/>
      <c r="PQK10" s="13"/>
      <c r="PQL10" s="9"/>
      <c r="PQM10" s="9"/>
      <c r="PQN10" s="9"/>
      <c r="PQO10" s="9"/>
      <c r="PQP10" s="10"/>
      <c r="PQQ10" s="11"/>
      <c r="PQR10" s="12"/>
      <c r="PQS10" s="12"/>
      <c r="PQT10" s="12"/>
      <c r="PQU10" s="13"/>
      <c r="PQV10" s="9"/>
      <c r="PQW10" s="9"/>
      <c r="PQX10" s="9"/>
      <c r="PQY10" s="9"/>
      <c r="PQZ10" s="10"/>
      <c r="PRA10" s="11"/>
      <c r="PRB10" s="12"/>
      <c r="PRC10" s="12"/>
      <c r="PRD10" s="12"/>
      <c r="PRE10" s="13"/>
      <c r="PRF10" s="9"/>
      <c r="PRG10" s="9"/>
      <c r="PRH10" s="9"/>
      <c r="PRI10" s="9"/>
      <c r="PRJ10" s="10"/>
      <c r="PRK10" s="11"/>
      <c r="PRL10" s="12"/>
      <c r="PRM10" s="12"/>
      <c r="PRN10" s="12"/>
      <c r="PRO10" s="13"/>
      <c r="PRP10" s="9"/>
      <c r="PRQ10" s="9"/>
      <c r="PRR10" s="9"/>
      <c r="PRS10" s="9"/>
      <c r="PRT10" s="10"/>
      <c r="PRU10" s="11"/>
      <c r="PRV10" s="12"/>
      <c r="PRW10" s="12"/>
      <c r="PRX10" s="12"/>
      <c r="PRY10" s="13"/>
      <c r="PRZ10" s="9"/>
      <c r="PSA10" s="9"/>
      <c r="PSB10" s="9"/>
      <c r="PSC10" s="9"/>
      <c r="PSD10" s="10"/>
      <c r="PSE10" s="11"/>
      <c r="PSF10" s="12"/>
      <c r="PSG10" s="12"/>
      <c r="PSH10" s="12"/>
      <c r="PSI10" s="13"/>
      <c r="PSJ10" s="9"/>
      <c r="PSK10" s="9"/>
      <c r="PSL10" s="9"/>
      <c r="PSM10" s="9"/>
      <c r="PSN10" s="10"/>
      <c r="PSO10" s="11"/>
      <c r="PSP10" s="12"/>
      <c r="PSQ10" s="12"/>
      <c r="PSR10" s="12"/>
      <c r="PSS10" s="13"/>
      <c r="PST10" s="9"/>
      <c r="PSU10" s="9"/>
      <c r="PSV10" s="9"/>
      <c r="PSW10" s="9"/>
      <c r="PSX10" s="10"/>
      <c r="PSY10" s="11"/>
      <c r="PSZ10" s="12"/>
      <c r="PTA10" s="12"/>
      <c r="PTB10" s="12"/>
      <c r="PTC10" s="13"/>
      <c r="PTD10" s="9"/>
      <c r="PTE10" s="9"/>
      <c r="PTF10" s="9"/>
      <c r="PTG10" s="9"/>
      <c r="PTH10" s="10"/>
      <c r="PTI10" s="11"/>
      <c r="PTJ10" s="12"/>
      <c r="PTK10" s="12"/>
      <c r="PTL10" s="12"/>
      <c r="PTM10" s="13"/>
      <c r="PTN10" s="9"/>
      <c r="PTO10" s="9"/>
      <c r="PTP10" s="9"/>
      <c r="PTQ10" s="9"/>
      <c r="PTR10" s="10"/>
      <c r="PTS10" s="11"/>
      <c r="PTT10" s="12"/>
      <c r="PTU10" s="12"/>
      <c r="PTV10" s="12"/>
      <c r="PTW10" s="13"/>
      <c r="PTX10" s="9"/>
      <c r="PTY10" s="9"/>
      <c r="PTZ10" s="9"/>
      <c r="PUA10" s="9"/>
      <c r="PUB10" s="10"/>
      <c r="PUC10" s="11"/>
      <c r="PUD10" s="12"/>
      <c r="PUE10" s="12"/>
      <c r="PUF10" s="12"/>
      <c r="PUG10" s="13"/>
      <c r="PUH10" s="9"/>
      <c r="PUI10" s="9"/>
      <c r="PUJ10" s="9"/>
      <c r="PUK10" s="9"/>
      <c r="PUL10" s="10"/>
      <c r="PUM10" s="11"/>
      <c r="PUN10" s="12"/>
      <c r="PUO10" s="12"/>
      <c r="PUP10" s="12"/>
      <c r="PUQ10" s="13"/>
      <c r="PUR10" s="9"/>
      <c r="PUS10" s="9"/>
      <c r="PUT10" s="9"/>
      <c r="PUU10" s="9"/>
      <c r="PUV10" s="10"/>
      <c r="PUW10" s="11"/>
      <c r="PUX10" s="12"/>
      <c r="PUY10" s="12"/>
      <c r="PUZ10" s="12"/>
      <c r="PVA10" s="13"/>
      <c r="PVB10" s="9"/>
      <c r="PVC10" s="9"/>
      <c r="PVD10" s="9"/>
      <c r="PVE10" s="9"/>
      <c r="PVF10" s="10"/>
      <c r="PVG10" s="11"/>
      <c r="PVH10" s="12"/>
      <c r="PVI10" s="12"/>
      <c r="PVJ10" s="12"/>
      <c r="PVK10" s="13"/>
      <c r="PVL10" s="9"/>
      <c r="PVM10" s="9"/>
      <c r="PVN10" s="9"/>
      <c r="PVO10" s="9"/>
      <c r="PVP10" s="10"/>
      <c r="PVQ10" s="11"/>
      <c r="PVR10" s="12"/>
      <c r="PVS10" s="12"/>
      <c r="PVT10" s="12"/>
      <c r="PVU10" s="13"/>
      <c r="PVV10" s="9"/>
      <c r="PVW10" s="9"/>
      <c r="PVX10" s="9"/>
      <c r="PVY10" s="9"/>
      <c r="PVZ10" s="10"/>
      <c r="PWA10" s="11"/>
      <c r="PWB10" s="12"/>
      <c r="PWC10" s="12"/>
      <c r="PWD10" s="12"/>
      <c r="PWE10" s="13"/>
      <c r="PWF10" s="9"/>
      <c r="PWG10" s="9"/>
      <c r="PWH10" s="9"/>
      <c r="PWI10" s="9"/>
      <c r="PWJ10" s="10"/>
      <c r="PWK10" s="11"/>
      <c r="PWL10" s="12"/>
      <c r="PWM10" s="12"/>
      <c r="PWN10" s="12"/>
      <c r="PWO10" s="13"/>
      <c r="PWP10" s="9"/>
      <c r="PWQ10" s="9"/>
      <c r="PWR10" s="9"/>
      <c r="PWS10" s="9"/>
      <c r="PWT10" s="10"/>
      <c r="PWU10" s="11"/>
      <c r="PWV10" s="12"/>
      <c r="PWW10" s="12"/>
      <c r="PWX10" s="12"/>
      <c r="PWY10" s="13"/>
      <c r="PWZ10" s="9"/>
      <c r="PXA10" s="9"/>
      <c r="PXB10" s="9"/>
      <c r="PXC10" s="9"/>
      <c r="PXD10" s="10"/>
      <c r="PXE10" s="11"/>
      <c r="PXF10" s="12"/>
      <c r="PXG10" s="12"/>
      <c r="PXH10" s="12"/>
      <c r="PXI10" s="13"/>
      <c r="PXJ10" s="9"/>
      <c r="PXK10" s="9"/>
      <c r="PXL10" s="9"/>
      <c r="PXM10" s="9"/>
      <c r="PXN10" s="10"/>
      <c r="PXO10" s="11"/>
      <c r="PXP10" s="12"/>
      <c r="PXQ10" s="12"/>
      <c r="PXR10" s="12"/>
      <c r="PXS10" s="13"/>
      <c r="PXT10" s="9"/>
      <c r="PXU10" s="9"/>
      <c r="PXV10" s="9"/>
      <c r="PXW10" s="9"/>
      <c r="PXX10" s="10"/>
      <c r="PXY10" s="11"/>
      <c r="PXZ10" s="12"/>
      <c r="PYA10" s="12"/>
      <c r="PYB10" s="12"/>
      <c r="PYC10" s="13"/>
      <c r="PYD10" s="9"/>
      <c r="PYE10" s="9"/>
      <c r="PYF10" s="9"/>
      <c r="PYG10" s="9"/>
      <c r="PYH10" s="10"/>
      <c r="PYI10" s="11"/>
      <c r="PYJ10" s="12"/>
      <c r="PYK10" s="12"/>
      <c r="PYL10" s="12"/>
      <c r="PYM10" s="13"/>
      <c r="PYN10" s="9"/>
      <c r="PYO10" s="9"/>
      <c r="PYP10" s="9"/>
      <c r="PYQ10" s="9"/>
      <c r="PYR10" s="10"/>
      <c r="PYS10" s="11"/>
      <c r="PYT10" s="12"/>
      <c r="PYU10" s="12"/>
      <c r="PYV10" s="12"/>
      <c r="PYW10" s="13"/>
      <c r="PYX10" s="9"/>
      <c r="PYY10" s="9"/>
      <c r="PYZ10" s="9"/>
      <c r="PZA10" s="9"/>
      <c r="PZB10" s="10"/>
      <c r="PZC10" s="11"/>
      <c r="PZD10" s="12"/>
      <c r="PZE10" s="12"/>
      <c r="PZF10" s="12"/>
      <c r="PZG10" s="13"/>
      <c r="PZH10" s="9"/>
      <c r="PZI10" s="9"/>
      <c r="PZJ10" s="9"/>
      <c r="PZK10" s="9"/>
      <c r="PZL10" s="10"/>
      <c r="PZM10" s="11"/>
      <c r="PZN10" s="12"/>
      <c r="PZO10" s="12"/>
      <c r="PZP10" s="12"/>
      <c r="PZQ10" s="13"/>
      <c r="PZR10" s="9"/>
      <c r="PZS10" s="9"/>
      <c r="PZT10" s="9"/>
      <c r="PZU10" s="9"/>
      <c r="PZV10" s="10"/>
      <c r="PZW10" s="11"/>
      <c r="PZX10" s="12"/>
      <c r="PZY10" s="12"/>
      <c r="PZZ10" s="12"/>
      <c r="QAA10" s="13"/>
      <c r="QAB10" s="9"/>
      <c r="QAC10" s="9"/>
      <c r="QAD10" s="9"/>
      <c r="QAE10" s="9"/>
      <c r="QAF10" s="10"/>
      <c r="QAG10" s="11"/>
      <c r="QAH10" s="12"/>
      <c r="QAI10" s="12"/>
      <c r="QAJ10" s="12"/>
      <c r="QAK10" s="13"/>
      <c r="QAL10" s="9"/>
      <c r="QAM10" s="9"/>
      <c r="QAN10" s="9"/>
      <c r="QAO10" s="9"/>
      <c r="QAP10" s="10"/>
      <c r="QAQ10" s="11"/>
      <c r="QAR10" s="12"/>
      <c r="QAS10" s="12"/>
      <c r="QAT10" s="12"/>
      <c r="QAU10" s="13"/>
      <c r="QAV10" s="9"/>
      <c r="QAW10" s="9"/>
      <c r="QAX10" s="9"/>
      <c r="QAY10" s="9"/>
      <c r="QAZ10" s="10"/>
      <c r="QBA10" s="11"/>
      <c r="QBB10" s="12"/>
      <c r="QBC10" s="12"/>
      <c r="QBD10" s="12"/>
      <c r="QBE10" s="13"/>
      <c r="QBF10" s="9"/>
      <c r="QBG10" s="9"/>
      <c r="QBH10" s="9"/>
      <c r="QBI10" s="9"/>
      <c r="QBJ10" s="10"/>
      <c r="QBK10" s="11"/>
      <c r="QBL10" s="12"/>
      <c r="QBM10" s="12"/>
      <c r="QBN10" s="12"/>
      <c r="QBO10" s="13"/>
      <c r="QBP10" s="9"/>
      <c r="QBQ10" s="9"/>
      <c r="QBR10" s="9"/>
      <c r="QBS10" s="9"/>
      <c r="QBT10" s="10"/>
      <c r="QBU10" s="11"/>
      <c r="QBV10" s="12"/>
      <c r="QBW10" s="12"/>
      <c r="QBX10" s="12"/>
      <c r="QBY10" s="13"/>
      <c r="QBZ10" s="9"/>
      <c r="QCA10" s="9"/>
      <c r="QCB10" s="9"/>
      <c r="QCC10" s="9"/>
      <c r="QCD10" s="10"/>
      <c r="QCE10" s="11"/>
      <c r="QCF10" s="12"/>
      <c r="QCG10" s="12"/>
      <c r="QCH10" s="12"/>
      <c r="QCI10" s="13"/>
      <c r="QCJ10" s="9"/>
      <c r="QCK10" s="9"/>
      <c r="QCL10" s="9"/>
      <c r="QCM10" s="9"/>
      <c r="QCN10" s="10"/>
      <c r="QCO10" s="11"/>
      <c r="QCP10" s="12"/>
      <c r="QCQ10" s="12"/>
      <c r="QCR10" s="12"/>
      <c r="QCS10" s="13"/>
      <c r="QCT10" s="9"/>
      <c r="QCU10" s="9"/>
      <c r="QCV10" s="9"/>
      <c r="QCW10" s="9"/>
      <c r="QCX10" s="10"/>
      <c r="QCY10" s="11"/>
      <c r="QCZ10" s="12"/>
      <c r="QDA10" s="12"/>
      <c r="QDB10" s="12"/>
      <c r="QDC10" s="13"/>
      <c r="QDD10" s="9"/>
      <c r="QDE10" s="9"/>
      <c r="QDF10" s="9"/>
      <c r="QDG10" s="9"/>
      <c r="QDH10" s="10"/>
      <c r="QDI10" s="11"/>
      <c r="QDJ10" s="12"/>
      <c r="QDK10" s="12"/>
      <c r="QDL10" s="12"/>
      <c r="QDM10" s="13"/>
      <c r="QDN10" s="9"/>
      <c r="QDO10" s="9"/>
      <c r="QDP10" s="9"/>
      <c r="QDQ10" s="9"/>
      <c r="QDR10" s="10"/>
      <c r="QDS10" s="11"/>
      <c r="QDT10" s="12"/>
      <c r="QDU10" s="12"/>
      <c r="QDV10" s="12"/>
      <c r="QDW10" s="13"/>
      <c r="QDX10" s="9"/>
      <c r="QDY10" s="9"/>
      <c r="QDZ10" s="9"/>
      <c r="QEA10" s="9"/>
      <c r="QEB10" s="10"/>
      <c r="QEC10" s="11"/>
      <c r="QED10" s="12"/>
      <c r="QEE10" s="12"/>
      <c r="QEF10" s="12"/>
      <c r="QEG10" s="13"/>
      <c r="QEH10" s="9"/>
      <c r="QEI10" s="9"/>
      <c r="QEJ10" s="9"/>
      <c r="QEK10" s="9"/>
      <c r="QEL10" s="10"/>
      <c r="QEM10" s="11"/>
      <c r="QEN10" s="12"/>
      <c r="QEO10" s="12"/>
      <c r="QEP10" s="12"/>
      <c r="QEQ10" s="13"/>
      <c r="QER10" s="9"/>
      <c r="QES10" s="9"/>
      <c r="QET10" s="9"/>
      <c r="QEU10" s="9"/>
      <c r="QEV10" s="10"/>
      <c r="QEW10" s="11"/>
      <c r="QEX10" s="12"/>
      <c r="QEY10" s="12"/>
      <c r="QEZ10" s="12"/>
      <c r="QFA10" s="13"/>
      <c r="QFB10" s="9"/>
      <c r="QFC10" s="9"/>
      <c r="QFD10" s="9"/>
      <c r="QFE10" s="9"/>
      <c r="QFF10" s="10"/>
      <c r="QFG10" s="11"/>
      <c r="QFH10" s="12"/>
      <c r="QFI10" s="12"/>
      <c r="QFJ10" s="12"/>
      <c r="QFK10" s="13"/>
      <c r="QFL10" s="9"/>
      <c r="QFM10" s="9"/>
      <c r="QFN10" s="9"/>
      <c r="QFO10" s="9"/>
      <c r="QFP10" s="10"/>
      <c r="QFQ10" s="11"/>
      <c r="QFR10" s="12"/>
      <c r="QFS10" s="12"/>
      <c r="QFT10" s="12"/>
      <c r="QFU10" s="13"/>
      <c r="QFV10" s="9"/>
      <c r="QFW10" s="9"/>
      <c r="QFX10" s="9"/>
      <c r="QFY10" s="9"/>
      <c r="QFZ10" s="10"/>
      <c r="QGA10" s="11"/>
      <c r="QGB10" s="12"/>
      <c r="QGC10" s="12"/>
      <c r="QGD10" s="12"/>
      <c r="QGE10" s="13"/>
      <c r="QGF10" s="9"/>
      <c r="QGG10" s="9"/>
      <c r="QGH10" s="9"/>
      <c r="QGI10" s="9"/>
      <c r="QGJ10" s="10"/>
      <c r="QGK10" s="11"/>
      <c r="QGL10" s="12"/>
      <c r="QGM10" s="12"/>
      <c r="QGN10" s="12"/>
      <c r="QGO10" s="13"/>
      <c r="QGP10" s="9"/>
      <c r="QGQ10" s="9"/>
      <c r="QGR10" s="9"/>
      <c r="QGS10" s="9"/>
      <c r="QGT10" s="10"/>
      <c r="QGU10" s="11"/>
      <c r="QGV10" s="12"/>
      <c r="QGW10" s="12"/>
      <c r="QGX10" s="12"/>
      <c r="QGY10" s="13"/>
      <c r="QGZ10" s="9"/>
      <c r="QHA10" s="9"/>
      <c r="QHB10" s="9"/>
      <c r="QHC10" s="9"/>
      <c r="QHD10" s="10"/>
      <c r="QHE10" s="11"/>
      <c r="QHF10" s="12"/>
      <c r="QHG10" s="12"/>
      <c r="QHH10" s="12"/>
      <c r="QHI10" s="13"/>
      <c r="QHJ10" s="9"/>
      <c r="QHK10" s="9"/>
      <c r="QHL10" s="9"/>
      <c r="QHM10" s="9"/>
      <c r="QHN10" s="10"/>
      <c r="QHO10" s="11"/>
      <c r="QHP10" s="12"/>
      <c r="QHQ10" s="12"/>
      <c r="QHR10" s="12"/>
      <c r="QHS10" s="13"/>
      <c r="QHT10" s="9"/>
      <c r="QHU10" s="9"/>
      <c r="QHV10" s="9"/>
      <c r="QHW10" s="9"/>
      <c r="QHX10" s="10"/>
      <c r="QHY10" s="11"/>
      <c r="QHZ10" s="12"/>
      <c r="QIA10" s="12"/>
      <c r="QIB10" s="12"/>
      <c r="QIC10" s="13"/>
      <c r="QID10" s="9"/>
      <c r="QIE10" s="9"/>
      <c r="QIF10" s="9"/>
      <c r="QIG10" s="9"/>
      <c r="QIH10" s="10"/>
      <c r="QII10" s="11"/>
      <c r="QIJ10" s="12"/>
      <c r="QIK10" s="12"/>
      <c r="QIL10" s="12"/>
      <c r="QIM10" s="13"/>
      <c r="QIN10" s="9"/>
      <c r="QIO10" s="9"/>
      <c r="QIP10" s="9"/>
      <c r="QIQ10" s="9"/>
      <c r="QIR10" s="10"/>
      <c r="QIS10" s="11"/>
      <c r="QIT10" s="12"/>
      <c r="QIU10" s="12"/>
      <c r="QIV10" s="12"/>
      <c r="QIW10" s="13"/>
      <c r="QIX10" s="9"/>
      <c r="QIY10" s="9"/>
      <c r="QIZ10" s="9"/>
      <c r="QJA10" s="9"/>
      <c r="QJB10" s="10"/>
      <c r="QJC10" s="11"/>
      <c r="QJD10" s="12"/>
      <c r="QJE10" s="12"/>
      <c r="QJF10" s="12"/>
      <c r="QJG10" s="13"/>
      <c r="QJH10" s="9"/>
      <c r="QJI10" s="9"/>
      <c r="QJJ10" s="9"/>
      <c r="QJK10" s="9"/>
      <c r="QJL10" s="10"/>
      <c r="QJM10" s="11"/>
      <c r="QJN10" s="12"/>
      <c r="QJO10" s="12"/>
      <c r="QJP10" s="12"/>
      <c r="QJQ10" s="13"/>
      <c r="QJR10" s="9"/>
      <c r="QJS10" s="9"/>
      <c r="QJT10" s="9"/>
      <c r="QJU10" s="9"/>
      <c r="QJV10" s="10"/>
      <c r="QJW10" s="11"/>
      <c r="QJX10" s="12"/>
      <c r="QJY10" s="12"/>
      <c r="QJZ10" s="12"/>
      <c r="QKA10" s="13"/>
      <c r="QKB10" s="9"/>
      <c r="QKC10" s="9"/>
      <c r="QKD10" s="9"/>
      <c r="QKE10" s="9"/>
      <c r="QKF10" s="10"/>
      <c r="QKG10" s="11"/>
      <c r="QKH10" s="12"/>
      <c r="QKI10" s="12"/>
      <c r="QKJ10" s="12"/>
      <c r="QKK10" s="13"/>
      <c r="QKL10" s="9"/>
      <c r="QKM10" s="9"/>
      <c r="QKN10" s="9"/>
      <c r="QKO10" s="9"/>
      <c r="QKP10" s="10"/>
      <c r="QKQ10" s="11"/>
      <c r="QKR10" s="12"/>
      <c r="QKS10" s="12"/>
      <c r="QKT10" s="12"/>
      <c r="QKU10" s="13"/>
      <c r="QKV10" s="9"/>
      <c r="QKW10" s="9"/>
      <c r="QKX10" s="9"/>
      <c r="QKY10" s="9"/>
      <c r="QKZ10" s="10"/>
      <c r="QLA10" s="11"/>
      <c r="QLB10" s="12"/>
      <c r="QLC10" s="12"/>
      <c r="QLD10" s="12"/>
      <c r="QLE10" s="13"/>
      <c r="QLF10" s="9"/>
      <c r="QLG10" s="9"/>
      <c r="QLH10" s="9"/>
      <c r="QLI10" s="9"/>
      <c r="QLJ10" s="10"/>
      <c r="QLK10" s="11"/>
      <c r="QLL10" s="12"/>
      <c r="QLM10" s="12"/>
      <c r="QLN10" s="12"/>
      <c r="QLO10" s="13"/>
      <c r="QLP10" s="9"/>
      <c r="QLQ10" s="9"/>
      <c r="QLR10" s="9"/>
      <c r="QLS10" s="9"/>
      <c r="QLT10" s="10"/>
      <c r="QLU10" s="11"/>
      <c r="QLV10" s="12"/>
      <c r="QLW10" s="12"/>
      <c r="QLX10" s="12"/>
      <c r="QLY10" s="13"/>
      <c r="QLZ10" s="9"/>
      <c r="QMA10" s="9"/>
      <c r="QMB10" s="9"/>
      <c r="QMC10" s="9"/>
      <c r="QMD10" s="10"/>
      <c r="QME10" s="11"/>
      <c r="QMF10" s="12"/>
      <c r="QMG10" s="12"/>
      <c r="QMH10" s="12"/>
      <c r="QMI10" s="13"/>
      <c r="QMJ10" s="9"/>
      <c r="QMK10" s="9"/>
      <c r="QML10" s="9"/>
      <c r="QMM10" s="9"/>
      <c r="QMN10" s="10"/>
      <c r="QMO10" s="11"/>
      <c r="QMP10" s="12"/>
      <c r="QMQ10" s="12"/>
      <c r="QMR10" s="12"/>
      <c r="QMS10" s="13"/>
      <c r="QMT10" s="9"/>
      <c r="QMU10" s="9"/>
      <c r="QMV10" s="9"/>
      <c r="QMW10" s="9"/>
      <c r="QMX10" s="10"/>
      <c r="QMY10" s="11"/>
      <c r="QMZ10" s="12"/>
      <c r="QNA10" s="12"/>
      <c r="QNB10" s="12"/>
      <c r="QNC10" s="13"/>
      <c r="QND10" s="9"/>
      <c r="QNE10" s="9"/>
      <c r="QNF10" s="9"/>
      <c r="QNG10" s="9"/>
      <c r="QNH10" s="10"/>
      <c r="QNI10" s="11"/>
      <c r="QNJ10" s="12"/>
      <c r="QNK10" s="12"/>
      <c r="QNL10" s="12"/>
      <c r="QNM10" s="13"/>
      <c r="QNN10" s="9"/>
      <c r="QNO10" s="9"/>
      <c r="QNP10" s="9"/>
      <c r="QNQ10" s="9"/>
      <c r="QNR10" s="10"/>
      <c r="QNS10" s="11"/>
      <c r="QNT10" s="12"/>
      <c r="QNU10" s="12"/>
      <c r="QNV10" s="12"/>
      <c r="QNW10" s="13"/>
      <c r="QNX10" s="9"/>
      <c r="QNY10" s="9"/>
      <c r="QNZ10" s="9"/>
      <c r="QOA10" s="9"/>
      <c r="QOB10" s="10"/>
      <c r="QOC10" s="11"/>
      <c r="QOD10" s="12"/>
      <c r="QOE10" s="12"/>
      <c r="QOF10" s="12"/>
      <c r="QOG10" s="13"/>
      <c r="QOH10" s="9"/>
      <c r="QOI10" s="9"/>
      <c r="QOJ10" s="9"/>
      <c r="QOK10" s="9"/>
      <c r="QOL10" s="10"/>
      <c r="QOM10" s="11"/>
      <c r="QON10" s="12"/>
      <c r="QOO10" s="12"/>
      <c r="QOP10" s="12"/>
      <c r="QOQ10" s="13"/>
      <c r="QOR10" s="9"/>
      <c r="QOS10" s="9"/>
      <c r="QOT10" s="9"/>
      <c r="QOU10" s="9"/>
      <c r="QOV10" s="10"/>
      <c r="QOW10" s="11"/>
      <c r="QOX10" s="12"/>
      <c r="QOY10" s="12"/>
      <c r="QOZ10" s="12"/>
      <c r="QPA10" s="13"/>
      <c r="QPB10" s="9"/>
      <c r="QPC10" s="9"/>
      <c r="QPD10" s="9"/>
      <c r="QPE10" s="9"/>
      <c r="QPF10" s="10"/>
      <c r="QPG10" s="11"/>
      <c r="QPH10" s="12"/>
      <c r="QPI10" s="12"/>
      <c r="QPJ10" s="12"/>
      <c r="QPK10" s="13"/>
      <c r="QPL10" s="9"/>
      <c r="QPM10" s="9"/>
      <c r="QPN10" s="9"/>
      <c r="QPO10" s="9"/>
      <c r="QPP10" s="10"/>
      <c r="QPQ10" s="11"/>
      <c r="QPR10" s="12"/>
      <c r="QPS10" s="12"/>
      <c r="QPT10" s="12"/>
      <c r="QPU10" s="13"/>
      <c r="QPV10" s="9"/>
      <c r="QPW10" s="9"/>
      <c r="QPX10" s="9"/>
      <c r="QPY10" s="9"/>
      <c r="QPZ10" s="10"/>
      <c r="QQA10" s="11"/>
      <c r="QQB10" s="12"/>
      <c r="QQC10" s="12"/>
      <c r="QQD10" s="12"/>
      <c r="QQE10" s="13"/>
      <c r="QQF10" s="9"/>
      <c r="QQG10" s="9"/>
      <c r="QQH10" s="9"/>
      <c r="QQI10" s="9"/>
      <c r="QQJ10" s="10"/>
      <c r="QQK10" s="11"/>
      <c r="QQL10" s="12"/>
      <c r="QQM10" s="12"/>
      <c r="QQN10" s="12"/>
      <c r="QQO10" s="13"/>
      <c r="QQP10" s="9"/>
      <c r="QQQ10" s="9"/>
      <c r="QQR10" s="9"/>
      <c r="QQS10" s="9"/>
      <c r="QQT10" s="10"/>
      <c r="QQU10" s="11"/>
      <c r="QQV10" s="12"/>
      <c r="QQW10" s="12"/>
      <c r="QQX10" s="12"/>
      <c r="QQY10" s="13"/>
      <c r="QQZ10" s="9"/>
      <c r="QRA10" s="9"/>
      <c r="QRB10" s="9"/>
      <c r="QRC10" s="9"/>
      <c r="QRD10" s="10"/>
      <c r="QRE10" s="11"/>
      <c r="QRF10" s="12"/>
      <c r="QRG10" s="12"/>
      <c r="QRH10" s="12"/>
      <c r="QRI10" s="13"/>
      <c r="QRJ10" s="9"/>
      <c r="QRK10" s="9"/>
      <c r="QRL10" s="9"/>
      <c r="QRM10" s="9"/>
      <c r="QRN10" s="10"/>
      <c r="QRO10" s="11"/>
      <c r="QRP10" s="12"/>
      <c r="QRQ10" s="12"/>
      <c r="QRR10" s="12"/>
      <c r="QRS10" s="13"/>
      <c r="QRT10" s="9"/>
      <c r="QRU10" s="9"/>
      <c r="QRV10" s="9"/>
      <c r="QRW10" s="9"/>
      <c r="QRX10" s="10"/>
      <c r="QRY10" s="11"/>
      <c r="QRZ10" s="12"/>
      <c r="QSA10" s="12"/>
      <c r="QSB10" s="12"/>
      <c r="QSC10" s="13"/>
      <c r="QSD10" s="9"/>
      <c r="QSE10" s="9"/>
      <c r="QSF10" s="9"/>
      <c r="QSG10" s="9"/>
      <c r="QSH10" s="10"/>
      <c r="QSI10" s="11"/>
      <c r="QSJ10" s="12"/>
      <c r="QSK10" s="12"/>
      <c r="QSL10" s="12"/>
      <c r="QSM10" s="13"/>
      <c r="QSN10" s="9"/>
      <c r="QSO10" s="9"/>
      <c r="QSP10" s="9"/>
      <c r="QSQ10" s="9"/>
      <c r="QSR10" s="10"/>
      <c r="QSS10" s="11"/>
      <c r="QST10" s="12"/>
      <c r="QSU10" s="12"/>
      <c r="QSV10" s="12"/>
      <c r="QSW10" s="13"/>
      <c r="QSX10" s="9"/>
      <c r="QSY10" s="9"/>
      <c r="QSZ10" s="9"/>
      <c r="QTA10" s="9"/>
      <c r="QTB10" s="10"/>
      <c r="QTC10" s="11"/>
      <c r="QTD10" s="12"/>
      <c r="QTE10" s="12"/>
      <c r="QTF10" s="12"/>
      <c r="QTG10" s="13"/>
      <c r="QTH10" s="9"/>
      <c r="QTI10" s="9"/>
      <c r="QTJ10" s="9"/>
      <c r="QTK10" s="9"/>
      <c r="QTL10" s="10"/>
      <c r="QTM10" s="11"/>
      <c r="QTN10" s="12"/>
      <c r="QTO10" s="12"/>
      <c r="QTP10" s="12"/>
      <c r="QTQ10" s="13"/>
      <c r="QTR10" s="9"/>
      <c r="QTS10" s="9"/>
      <c r="QTT10" s="9"/>
      <c r="QTU10" s="9"/>
      <c r="QTV10" s="10"/>
      <c r="QTW10" s="11"/>
      <c r="QTX10" s="12"/>
      <c r="QTY10" s="12"/>
      <c r="QTZ10" s="12"/>
      <c r="QUA10" s="13"/>
      <c r="QUB10" s="9"/>
      <c r="QUC10" s="9"/>
      <c r="QUD10" s="9"/>
      <c r="QUE10" s="9"/>
      <c r="QUF10" s="10"/>
      <c r="QUG10" s="11"/>
      <c r="QUH10" s="12"/>
      <c r="QUI10" s="12"/>
      <c r="QUJ10" s="12"/>
      <c r="QUK10" s="13"/>
      <c r="QUL10" s="9"/>
      <c r="QUM10" s="9"/>
      <c r="QUN10" s="9"/>
      <c r="QUO10" s="9"/>
      <c r="QUP10" s="10"/>
      <c r="QUQ10" s="11"/>
      <c r="QUR10" s="12"/>
      <c r="QUS10" s="12"/>
      <c r="QUT10" s="12"/>
      <c r="QUU10" s="13"/>
      <c r="QUV10" s="9"/>
      <c r="QUW10" s="9"/>
      <c r="QUX10" s="9"/>
      <c r="QUY10" s="9"/>
      <c r="QUZ10" s="10"/>
      <c r="QVA10" s="11"/>
      <c r="QVB10" s="12"/>
      <c r="QVC10" s="12"/>
      <c r="QVD10" s="12"/>
      <c r="QVE10" s="13"/>
      <c r="QVF10" s="9"/>
      <c r="QVG10" s="9"/>
      <c r="QVH10" s="9"/>
      <c r="QVI10" s="9"/>
      <c r="QVJ10" s="10"/>
      <c r="QVK10" s="11"/>
      <c r="QVL10" s="12"/>
      <c r="QVM10" s="12"/>
      <c r="QVN10" s="12"/>
      <c r="QVO10" s="13"/>
      <c r="QVP10" s="9"/>
      <c r="QVQ10" s="9"/>
      <c r="QVR10" s="9"/>
      <c r="QVS10" s="9"/>
      <c r="QVT10" s="10"/>
      <c r="QVU10" s="11"/>
      <c r="QVV10" s="12"/>
      <c r="QVW10" s="12"/>
      <c r="QVX10" s="12"/>
      <c r="QVY10" s="13"/>
      <c r="QVZ10" s="9"/>
      <c r="QWA10" s="9"/>
      <c r="QWB10" s="9"/>
      <c r="QWC10" s="9"/>
      <c r="QWD10" s="10"/>
      <c r="QWE10" s="11"/>
      <c r="QWF10" s="12"/>
      <c r="QWG10" s="12"/>
      <c r="QWH10" s="12"/>
      <c r="QWI10" s="13"/>
      <c r="QWJ10" s="9"/>
      <c r="QWK10" s="9"/>
      <c r="QWL10" s="9"/>
      <c r="QWM10" s="9"/>
      <c r="QWN10" s="10"/>
      <c r="QWO10" s="11"/>
      <c r="QWP10" s="12"/>
      <c r="QWQ10" s="12"/>
      <c r="QWR10" s="12"/>
      <c r="QWS10" s="13"/>
      <c r="QWT10" s="9"/>
      <c r="QWU10" s="9"/>
      <c r="QWV10" s="9"/>
      <c r="QWW10" s="9"/>
      <c r="QWX10" s="10"/>
      <c r="QWY10" s="11"/>
      <c r="QWZ10" s="12"/>
      <c r="QXA10" s="12"/>
      <c r="QXB10" s="12"/>
      <c r="QXC10" s="13"/>
      <c r="QXD10" s="9"/>
      <c r="QXE10" s="9"/>
      <c r="QXF10" s="9"/>
      <c r="QXG10" s="9"/>
      <c r="QXH10" s="10"/>
      <c r="QXI10" s="11"/>
      <c r="QXJ10" s="12"/>
      <c r="QXK10" s="12"/>
      <c r="QXL10" s="12"/>
      <c r="QXM10" s="13"/>
      <c r="QXN10" s="9"/>
      <c r="QXO10" s="9"/>
      <c r="QXP10" s="9"/>
      <c r="QXQ10" s="9"/>
      <c r="QXR10" s="10"/>
      <c r="QXS10" s="11"/>
      <c r="QXT10" s="12"/>
      <c r="QXU10" s="12"/>
      <c r="QXV10" s="12"/>
      <c r="QXW10" s="13"/>
      <c r="QXX10" s="9"/>
      <c r="QXY10" s="9"/>
      <c r="QXZ10" s="9"/>
      <c r="QYA10" s="9"/>
      <c r="QYB10" s="10"/>
      <c r="QYC10" s="11"/>
      <c r="QYD10" s="12"/>
      <c r="QYE10" s="12"/>
      <c r="QYF10" s="12"/>
      <c r="QYG10" s="13"/>
      <c r="QYH10" s="9"/>
      <c r="QYI10" s="9"/>
      <c r="QYJ10" s="9"/>
      <c r="QYK10" s="9"/>
      <c r="QYL10" s="10"/>
      <c r="QYM10" s="11"/>
      <c r="QYN10" s="12"/>
      <c r="QYO10" s="12"/>
      <c r="QYP10" s="12"/>
      <c r="QYQ10" s="13"/>
      <c r="QYR10" s="9"/>
      <c r="QYS10" s="9"/>
      <c r="QYT10" s="9"/>
      <c r="QYU10" s="9"/>
      <c r="QYV10" s="10"/>
      <c r="QYW10" s="11"/>
      <c r="QYX10" s="12"/>
      <c r="QYY10" s="12"/>
      <c r="QYZ10" s="12"/>
      <c r="QZA10" s="13"/>
      <c r="QZB10" s="9"/>
      <c r="QZC10" s="9"/>
      <c r="QZD10" s="9"/>
      <c r="QZE10" s="9"/>
      <c r="QZF10" s="10"/>
      <c r="QZG10" s="11"/>
      <c r="QZH10" s="12"/>
      <c r="QZI10" s="12"/>
      <c r="QZJ10" s="12"/>
      <c r="QZK10" s="13"/>
      <c r="QZL10" s="9"/>
      <c r="QZM10" s="9"/>
      <c r="QZN10" s="9"/>
      <c r="QZO10" s="9"/>
      <c r="QZP10" s="10"/>
      <c r="QZQ10" s="11"/>
      <c r="QZR10" s="12"/>
      <c r="QZS10" s="12"/>
      <c r="QZT10" s="12"/>
      <c r="QZU10" s="13"/>
      <c r="QZV10" s="9"/>
      <c r="QZW10" s="9"/>
      <c r="QZX10" s="9"/>
      <c r="QZY10" s="9"/>
      <c r="QZZ10" s="10"/>
      <c r="RAA10" s="11"/>
      <c r="RAB10" s="12"/>
      <c r="RAC10" s="12"/>
      <c r="RAD10" s="12"/>
      <c r="RAE10" s="13"/>
      <c r="RAF10" s="9"/>
      <c r="RAG10" s="9"/>
      <c r="RAH10" s="9"/>
      <c r="RAI10" s="9"/>
      <c r="RAJ10" s="10"/>
      <c r="RAK10" s="11"/>
      <c r="RAL10" s="12"/>
      <c r="RAM10" s="12"/>
      <c r="RAN10" s="12"/>
      <c r="RAO10" s="13"/>
      <c r="RAP10" s="9"/>
      <c r="RAQ10" s="9"/>
      <c r="RAR10" s="9"/>
      <c r="RAS10" s="9"/>
      <c r="RAT10" s="10"/>
      <c r="RAU10" s="11"/>
      <c r="RAV10" s="12"/>
      <c r="RAW10" s="12"/>
      <c r="RAX10" s="12"/>
      <c r="RAY10" s="13"/>
      <c r="RAZ10" s="9"/>
      <c r="RBA10" s="9"/>
      <c r="RBB10" s="9"/>
      <c r="RBC10" s="9"/>
      <c r="RBD10" s="10"/>
      <c r="RBE10" s="11"/>
      <c r="RBF10" s="12"/>
      <c r="RBG10" s="12"/>
      <c r="RBH10" s="12"/>
      <c r="RBI10" s="13"/>
      <c r="RBJ10" s="9"/>
      <c r="RBK10" s="9"/>
      <c r="RBL10" s="9"/>
      <c r="RBM10" s="9"/>
      <c r="RBN10" s="10"/>
      <c r="RBO10" s="11"/>
      <c r="RBP10" s="12"/>
      <c r="RBQ10" s="12"/>
      <c r="RBR10" s="12"/>
      <c r="RBS10" s="13"/>
      <c r="RBT10" s="9"/>
      <c r="RBU10" s="9"/>
      <c r="RBV10" s="9"/>
      <c r="RBW10" s="9"/>
      <c r="RBX10" s="10"/>
      <c r="RBY10" s="11"/>
      <c r="RBZ10" s="12"/>
      <c r="RCA10" s="12"/>
      <c r="RCB10" s="12"/>
      <c r="RCC10" s="13"/>
      <c r="RCD10" s="9"/>
      <c r="RCE10" s="9"/>
      <c r="RCF10" s="9"/>
      <c r="RCG10" s="9"/>
      <c r="RCH10" s="10"/>
      <c r="RCI10" s="11"/>
      <c r="RCJ10" s="12"/>
      <c r="RCK10" s="12"/>
      <c r="RCL10" s="12"/>
      <c r="RCM10" s="13"/>
      <c r="RCN10" s="9"/>
      <c r="RCO10" s="9"/>
      <c r="RCP10" s="9"/>
      <c r="RCQ10" s="9"/>
      <c r="RCR10" s="10"/>
      <c r="RCS10" s="11"/>
      <c r="RCT10" s="12"/>
      <c r="RCU10" s="12"/>
      <c r="RCV10" s="12"/>
      <c r="RCW10" s="13"/>
      <c r="RCX10" s="9"/>
      <c r="RCY10" s="9"/>
      <c r="RCZ10" s="9"/>
      <c r="RDA10" s="9"/>
      <c r="RDB10" s="10"/>
      <c r="RDC10" s="11"/>
      <c r="RDD10" s="12"/>
      <c r="RDE10" s="12"/>
      <c r="RDF10" s="12"/>
      <c r="RDG10" s="13"/>
      <c r="RDH10" s="9"/>
      <c r="RDI10" s="9"/>
      <c r="RDJ10" s="9"/>
      <c r="RDK10" s="9"/>
      <c r="RDL10" s="10"/>
      <c r="RDM10" s="11"/>
      <c r="RDN10" s="12"/>
      <c r="RDO10" s="12"/>
      <c r="RDP10" s="12"/>
      <c r="RDQ10" s="13"/>
      <c r="RDR10" s="9"/>
      <c r="RDS10" s="9"/>
      <c r="RDT10" s="9"/>
      <c r="RDU10" s="9"/>
      <c r="RDV10" s="10"/>
      <c r="RDW10" s="11"/>
      <c r="RDX10" s="12"/>
      <c r="RDY10" s="12"/>
      <c r="RDZ10" s="12"/>
      <c r="REA10" s="13"/>
      <c r="REB10" s="9"/>
      <c r="REC10" s="9"/>
      <c r="RED10" s="9"/>
      <c r="REE10" s="9"/>
      <c r="REF10" s="10"/>
      <c r="REG10" s="11"/>
      <c r="REH10" s="12"/>
      <c r="REI10" s="12"/>
      <c r="REJ10" s="12"/>
      <c r="REK10" s="13"/>
      <c r="REL10" s="9"/>
      <c r="REM10" s="9"/>
      <c r="REN10" s="9"/>
      <c r="REO10" s="9"/>
      <c r="REP10" s="10"/>
      <c r="REQ10" s="11"/>
      <c r="RER10" s="12"/>
      <c r="RES10" s="12"/>
      <c r="RET10" s="12"/>
      <c r="REU10" s="13"/>
      <c r="REV10" s="9"/>
      <c r="REW10" s="9"/>
      <c r="REX10" s="9"/>
      <c r="REY10" s="9"/>
      <c r="REZ10" s="10"/>
      <c r="RFA10" s="11"/>
      <c r="RFB10" s="12"/>
      <c r="RFC10" s="12"/>
      <c r="RFD10" s="12"/>
      <c r="RFE10" s="13"/>
      <c r="RFF10" s="9"/>
      <c r="RFG10" s="9"/>
      <c r="RFH10" s="9"/>
      <c r="RFI10" s="9"/>
      <c r="RFJ10" s="10"/>
      <c r="RFK10" s="11"/>
      <c r="RFL10" s="12"/>
      <c r="RFM10" s="12"/>
      <c r="RFN10" s="12"/>
      <c r="RFO10" s="13"/>
      <c r="RFP10" s="9"/>
      <c r="RFQ10" s="9"/>
      <c r="RFR10" s="9"/>
      <c r="RFS10" s="9"/>
      <c r="RFT10" s="10"/>
      <c r="RFU10" s="11"/>
      <c r="RFV10" s="12"/>
      <c r="RFW10" s="12"/>
      <c r="RFX10" s="12"/>
      <c r="RFY10" s="13"/>
      <c r="RFZ10" s="9"/>
      <c r="RGA10" s="9"/>
      <c r="RGB10" s="9"/>
      <c r="RGC10" s="9"/>
      <c r="RGD10" s="10"/>
      <c r="RGE10" s="11"/>
      <c r="RGF10" s="12"/>
      <c r="RGG10" s="12"/>
      <c r="RGH10" s="12"/>
      <c r="RGI10" s="13"/>
      <c r="RGJ10" s="9"/>
      <c r="RGK10" s="9"/>
      <c r="RGL10" s="9"/>
      <c r="RGM10" s="9"/>
      <c r="RGN10" s="10"/>
      <c r="RGO10" s="11"/>
      <c r="RGP10" s="12"/>
      <c r="RGQ10" s="12"/>
      <c r="RGR10" s="12"/>
      <c r="RGS10" s="13"/>
      <c r="RGT10" s="9"/>
      <c r="RGU10" s="9"/>
      <c r="RGV10" s="9"/>
      <c r="RGW10" s="9"/>
      <c r="RGX10" s="10"/>
      <c r="RGY10" s="11"/>
      <c r="RGZ10" s="12"/>
      <c r="RHA10" s="12"/>
      <c r="RHB10" s="12"/>
      <c r="RHC10" s="13"/>
      <c r="RHD10" s="9"/>
      <c r="RHE10" s="9"/>
      <c r="RHF10" s="9"/>
      <c r="RHG10" s="9"/>
      <c r="RHH10" s="10"/>
      <c r="RHI10" s="11"/>
      <c r="RHJ10" s="12"/>
      <c r="RHK10" s="12"/>
      <c r="RHL10" s="12"/>
      <c r="RHM10" s="13"/>
      <c r="RHN10" s="9"/>
      <c r="RHO10" s="9"/>
      <c r="RHP10" s="9"/>
      <c r="RHQ10" s="9"/>
      <c r="RHR10" s="10"/>
      <c r="RHS10" s="11"/>
      <c r="RHT10" s="12"/>
      <c r="RHU10" s="12"/>
      <c r="RHV10" s="12"/>
      <c r="RHW10" s="13"/>
      <c r="RHX10" s="9"/>
      <c r="RHY10" s="9"/>
      <c r="RHZ10" s="9"/>
      <c r="RIA10" s="9"/>
      <c r="RIB10" s="10"/>
      <c r="RIC10" s="11"/>
      <c r="RID10" s="12"/>
      <c r="RIE10" s="12"/>
      <c r="RIF10" s="12"/>
      <c r="RIG10" s="13"/>
      <c r="RIH10" s="9"/>
      <c r="RII10" s="9"/>
      <c r="RIJ10" s="9"/>
      <c r="RIK10" s="9"/>
      <c r="RIL10" s="10"/>
      <c r="RIM10" s="11"/>
      <c r="RIN10" s="12"/>
      <c r="RIO10" s="12"/>
      <c r="RIP10" s="12"/>
      <c r="RIQ10" s="13"/>
      <c r="RIR10" s="9"/>
      <c r="RIS10" s="9"/>
      <c r="RIT10" s="9"/>
      <c r="RIU10" s="9"/>
      <c r="RIV10" s="10"/>
      <c r="RIW10" s="11"/>
      <c r="RIX10" s="12"/>
      <c r="RIY10" s="12"/>
      <c r="RIZ10" s="12"/>
      <c r="RJA10" s="13"/>
      <c r="RJB10" s="9"/>
      <c r="RJC10" s="9"/>
      <c r="RJD10" s="9"/>
      <c r="RJE10" s="9"/>
      <c r="RJF10" s="10"/>
      <c r="RJG10" s="11"/>
      <c r="RJH10" s="12"/>
      <c r="RJI10" s="12"/>
      <c r="RJJ10" s="12"/>
      <c r="RJK10" s="13"/>
      <c r="RJL10" s="9"/>
      <c r="RJM10" s="9"/>
      <c r="RJN10" s="9"/>
      <c r="RJO10" s="9"/>
      <c r="RJP10" s="10"/>
      <c r="RJQ10" s="11"/>
      <c r="RJR10" s="12"/>
      <c r="RJS10" s="12"/>
      <c r="RJT10" s="12"/>
      <c r="RJU10" s="13"/>
      <c r="RJV10" s="9"/>
      <c r="RJW10" s="9"/>
      <c r="RJX10" s="9"/>
      <c r="RJY10" s="9"/>
      <c r="RJZ10" s="10"/>
      <c r="RKA10" s="11"/>
      <c r="RKB10" s="12"/>
      <c r="RKC10" s="12"/>
      <c r="RKD10" s="12"/>
      <c r="RKE10" s="13"/>
      <c r="RKF10" s="9"/>
      <c r="RKG10" s="9"/>
      <c r="RKH10" s="9"/>
      <c r="RKI10" s="9"/>
      <c r="RKJ10" s="10"/>
      <c r="RKK10" s="11"/>
      <c r="RKL10" s="12"/>
      <c r="RKM10" s="12"/>
      <c r="RKN10" s="12"/>
      <c r="RKO10" s="13"/>
      <c r="RKP10" s="9"/>
      <c r="RKQ10" s="9"/>
      <c r="RKR10" s="9"/>
      <c r="RKS10" s="9"/>
      <c r="RKT10" s="10"/>
      <c r="RKU10" s="11"/>
      <c r="RKV10" s="12"/>
      <c r="RKW10" s="12"/>
      <c r="RKX10" s="12"/>
      <c r="RKY10" s="13"/>
      <c r="RKZ10" s="9"/>
      <c r="RLA10" s="9"/>
      <c r="RLB10" s="9"/>
      <c r="RLC10" s="9"/>
      <c r="RLD10" s="10"/>
      <c r="RLE10" s="11"/>
      <c r="RLF10" s="12"/>
      <c r="RLG10" s="12"/>
      <c r="RLH10" s="12"/>
      <c r="RLI10" s="13"/>
      <c r="RLJ10" s="9"/>
      <c r="RLK10" s="9"/>
      <c r="RLL10" s="9"/>
      <c r="RLM10" s="9"/>
      <c r="RLN10" s="10"/>
      <c r="RLO10" s="11"/>
      <c r="RLP10" s="12"/>
      <c r="RLQ10" s="12"/>
      <c r="RLR10" s="12"/>
      <c r="RLS10" s="13"/>
      <c r="RLT10" s="9"/>
      <c r="RLU10" s="9"/>
      <c r="RLV10" s="9"/>
      <c r="RLW10" s="9"/>
      <c r="RLX10" s="10"/>
      <c r="RLY10" s="11"/>
      <c r="RLZ10" s="12"/>
      <c r="RMA10" s="12"/>
      <c r="RMB10" s="12"/>
      <c r="RMC10" s="13"/>
      <c r="RMD10" s="9"/>
      <c r="RME10" s="9"/>
      <c r="RMF10" s="9"/>
      <c r="RMG10" s="9"/>
      <c r="RMH10" s="10"/>
      <c r="RMI10" s="11"/>
      <c r="RMJ10" s="12"/>
      <c r="RMK10" s="12"/>
      <c r="RML10" s="12"/>
      <c r="RMM10" s="13"/>
      <c r="RMN10" s="9"/>
      <c r="RMO10" s="9"/>
      <c r="RMP10" s="9"/>
      <c r="RMQ10" s="9"/>
      <c r="RMR10" s="10"/>
      <c r="RMS10" s="11"/>
      <c r="RMT10" s="12"/>
      <c r="RMU10" s="12"/>
      <c r="RMV10" s="12"/>
      <c r="RMW10" s="13"/>
      <c r="RMX10" s="9"/>
      <c r="RMY10" s="9"/>
      <c r="RMZ10" s="9"/>
      <c r="RNA10" s="9"/>
      <c r="RNB10" s="10"/>
      <c r="RNC10" s="11"/>
      <c r="RND10" s="12"/>
      <c r="RNE10" s="12"/>
      <c r="RNF10" s="12"/>
      <c r="RNG10" s="13"/>
      <c r="RNH10" s="9"/>
      <c r="RNI10" s="9"/>
      <c r="RNJ10" s="9"/>
      <c r="RNK10" s="9"/>
      <c r="RNL10" s="10"/>
      <c r="RNM10" s="11"/>
      <c r="RNN10" s="12"/>
      <c r="RNO10" s="12"/>
      <c r="RNP10" s="12"/>
      <c r="RNQ10" s="13"/>
      <c r="RNR10" s="9"/>
      <c r="RNS10" s="9"/>
      <c r="RNT10" s="9"/>
      <c r="RNU10" s="9"/>
      <c r="RNV10" s="10"/>
      <c r="RNW10" s="11"/>
      <c r="RNX10" s="12"/>
      <c r="RNY10" s="12"/>
      <c r="RNZ10" s="12"/>
      <c r="ROA10" s="13"/>
      <c r="ROB10" s="9"/>
      <c r="ROC10" s="9"/>
      <c r="ROD10" s="9"/>
      <c r="ROE10" s="9"/>
      <c r="ROF10" s="10"/>
      <c r="ROG10" s="11"/>
      <c r="ROH10" s="12"/>
      <c r="ROI10" s="12"/>
      <c r="ROJ10" s="12"/>
      <c r="ROK10" s="13"/>
      <c r="ROL10" s="9"/>
      <c r="ROM10" s="9"/>
      <c r="RON10" s="9"/>
      <c r="ROO10" s="9"/>
      <c r="ROP10" s="10"/>
      <c r="ROQ10" s="11"/>
      <c r="ROR10" s="12"/>
      <c r="ROS10" s="12"/>
      <c r="ROT10" s="12"/>
      <c r="ROU10" s="13"/>
      <c r="ROV10" s="9"/>
      <c r="ROW10" s="9"/>
      <c r="ROX10" s="9"/>
      <c r="ROY10" s="9"/>
      <c r="ROZ10" s="10"/>
      <c r="RPA10" s="11"/>
      <c r="RPB10" s="12"/>
      <c r="RPC10" s="12"/>
      <c r="RPD10" s="12"/>
      <c r="RPE10" s="13"/>
      <c r="RPF10" s="9"/>
      <c r="RPG10" s="9"/>
      <c r="RPH10" s="9"/>
      <c r="RPI10" s="9"/>
      <c r="RPJ10" s="10"/>
      <c r="RPK10" s="11"/>
      <c r="RPL10" s="12"/>
      <c r="RPM10" s="12"/>
      <c r="RPN10" s="12"/>
      <c r="RPO10" s="13"/>
      <c r="RPP10" s="9"/>
      <c r="RPQ10" s="9"/>
      <c r="RPR10" s="9"/>
      <c r="RPS10" s="9"/>
      <c r="RPT10" s="10"/>
      <c r="RPU10" s="11"/>
      <c r="RPV10" s="12"/>
      <c r="RPW10" s="12"/>
      <c r="RPX10" s="12"/>
      <c r="RPY10" s="13"/>
      <c r="RPZ10" s="9"/>
      <c r="RQA10" s="9"/>
      <c r="RQB10" s="9"/>
      <c r="RQC10" s="9"/>
      <c r="RQD10" s="10"/>
      <c r="RQE10" s="11"/>
      <c r="RQF10" s="12"/>
      <c r="RQG10" s="12"/>
      <c r="RQH10" s="12"/>
      <c r="RQI10" s="13"/>
      <c r="RQJ10" s="9"/>
      <c r="RQK10" s="9"/>
      <c r="RQL10" s="9"/>
      <c r="RQM10" s="9"/>
      <c r="RQN10" s="10"/>
      <c r="RQO10" s="11"/>
      <c r="RQP10" s="12"/>
      <c r="RQQ10" s="12"/>
      <c r="RQR10" s="12"/>
      <c r="RQS10" s="13"/>
      <c r="RQT10" s="9"/>
      <c r="RQU10" s="9"/>
      <c r="RQV10" s="9"/>
      <c r="RQW10" s="9"/>
      <c r="RQX10" s="10"/>
      <c r="RQY10" s="11"/>
      <c r="RQZ10" s="12"/>
      <c r="RRA10" s="12"/>
      <c r="RRB10" s="12"/>
      <c r="RRC10" s="13"/>
      <c r="RRD10" s="9"/>
      <c r="RRE10" s="9"/>
      <c r="RRF10" s="9"/>
      <c r="RRG10" s="9"/>
      <c r="RRH10" s="10"/>
      <c r="RRI10" s="11"/>
      <c r="RRJ10" s="12"/>
      <c r="RRK10" s="12"/>
      <c r="RRL10" s="12"/>
      <c r="RRM10" s="13"/>
      <c r="RRN10" s="9"/>
      <c r="RRO10" s="9"/>
      <c r="RRP10" s="9"/>
      <c r="RRQ10" s="9"/>
      <c r="RRR10" s="10"/>
      <c r="RRS10" s="11"/>
      <c r="RRT10" s="12"/>
      <c r="RRU10" s="12"/>
      <c r="RRV10" s="12"/>
      <c r="RRW10" s="13"/>
      <c r="RRX10" s="9"/>
      <c r="RRY10" s="9"/>
      <c r="RRZ10" s="9"/>
      <c r="RSA10" s="9"/>
      <c r="RSB10" s="10"/>
      <c r="RSC10" s="11"/>
      <c r="RSD10" s="12"/>
      <c r="RSE10" s="12"/>
      <c r="RSF10" s="12"/>
      <c r="RSG10" s="13"/>
      <c r="RSH10" s="9"/>
      <c r="RSI10" s="9"/>
      <c r="RSJ10" s="9"/>
      <c r="RSK10" s="9"/>
      <c r="RSL10" s="10"/>
      <c r="RSM10" s="11"/>
      <c r="RSN10" s="12"/>
      <c r="RSO10" s="12"/>
      <c r="RSP10" s="12"/>
      <c r="RSQ10" s="13"/>
      <c r="RSR10" s="9"/>
      <c r="RSS10" s="9"/>
      <c r="RST10" s="9"/>
      <c r="RSU10" s="9"/>
      <c r="RSV10" s="10"/>
      <c r="RSW10" s="11"/>
      <c r="RSX10" s="12"/>
      <c r="RSY10" s="12"/>
      <c r="RSZ10" s="12"/>
      <c r="RTA10" s="13"/>
      <c r="RTB10" s="9"/>
      <c r="RTC10" s="9"/>
      <c r="RTD10" s="9"/>
      <c r="RTE10" s="9"/>
      <c r="RTF10" s="10"/>
      <c r="RTG10" s="11"/>
      <c r="RTH10" s="12"/>
      <c r="RTI10" s="12"/>
      <c r="RTJ10" s="12"/>
      <c r="RTK10" s="13"/>
      <c r="RTL10" s="9"/>
      <c r="RTM10" s="9"/>
      <c r="RTN10" s="9"/>
      <c r="RTO10" s="9"/>
      <c r="RTP10" s="10"/>
      <c r="RTQ10" s="11"/>
      <c r="RTR10" s="12"/>
      <c r="RTS10" s="12"/>
      <c r="RTT10" s="12"/>
      <c r="RTU10" s="13"/>
      <c r="RTV10" s="9"/>
      <c r="RTW10" s="9"/>
      <c r="RTX10" s="9"/>
      <c r="RTY10" s="9"/>
      <c r="RTZ10" s="10"/>
      <c r="RUA10" s="11"/>
      <c r="RUB10" s="12"/>
      <c r="RUC10" s="12"/>
      <c r="RUD10" s="12"/>
      <c r="RUE10" s="13"/>
      <c r="RUF10" s="9"/>
      <c r="RUG10" s="9"/>
      <c r="RUH10" s="9"/>
      <c r="RUI10" s="9"/>
      <c r="RUJ10" s="10"/>
      <c r="RUK10" s="11"/>
      <c r="RUL10" s="12"/>
      <c r="RUM10" s="12"/>
      <c r="RUN10" s="12"/>
      <c r="RUO10" s="13"/>
      <c r="RUP10" s="9"/>
      <c r="RUQ10" s="9"/>
      <c r="RUR10" s="9"/>
      <c r="RUS10" s="9"/>
      <c r="RUT10" s="10"/>
      <c r="RUU10" s="11"/>
      <c r="RUV10" s="12"/>
      <c r="RUW10" s="12"/>
      <c r="RUX10" s="12"/>
      <c r="RUY10" s="13"/>
      <c r="RUZ10" s="9"/>
      <c r="RVA10" s="9"/>
      <c r="RVB10" s="9"/>
      <c r="RVC10" s="9"/>
      <c r="RVD10" s="10"/>
      <c r="RVE10" s="11"/>
      <c r="RVF10" s="12"/>
      <c r="RVG10" s="12"/>
      <c r="RVH10" s="12"/>
      <c r="RVI10" s="13"/>
      <c r="RVJ10" s="9"/>
      <c r="RVK10" s="9"/>
      <c r="RVL10" s="9"/>
      <c r="RVM10" s="9"/>
      <c r="RVN10" s="10"/>
      <c r="RVO10" s="11"/>
      <c r="RVP10" s="12"/>
      <c r="RVQ10" s="12"/>
      <c r="RVR10" s="12"/>
      <c r="RVS10" s="13"/>
      <c r="RVT10" s="9"/>
      <c r="RVU10" s="9"/>
      <c r="RVV10" s="9"/>
      <c r="RVW10" s="9"/>
      <c r="RVX10" s="10"/>
      <c r="RVY10" s="11"/>
      <c r="RVZ10" s="12"/>
      <c r="RWA10" s="12"/>
      <c r="RWB10" s="12"/>
      <c r="RWC10" s="13"/>
      <c r="RWD10" s="9"/>
      <c r="RWE10" s="9"/>
      <c r="RWF10" s="9"/>
      <c r="RWG10" s="9"/>
      <c r="RWH10" s="10"/>
      <c r="RWI10" s="11"/>
      <c r="RWJ10" s="12"/>
      <c r="RWK10" s="12"/>
      <c r="RWL10" s="12"/>
      <c r="RWM10" s="13"/>
      <c r="RWN10" s="9"/>
      <c r="RWO10" s="9"/>
      <c r="RWP10" s="9"/>
      <c r="RWQ10" s="9"/>
      <c r="RWR10" s="10"/>
      <c r="RWS10" s="11"/>
      <c r="RWT10" s="12"/>
      <c r="RWU10" s="12"/>
      <c r="RWV10" s="12"/>
      <c r="RWW10" s="13"/>
      <c r="RWX10" s="9"/>
      <c r="RWY10" s="9"/>
      <c r="RWZ10" s="9"/>
      <c r="RXA10" s="9"/>
      <c r="RXB10" s="10"/>
      <c r="RXC10" s="11"/>
      <c r="RXD10" s="12"/>
      <c r="RXE10" s="12"/>
      <c r="RXF10" s="12"/>
      <c r="RXG10" s="13"/>
      <c r="RXH10" s="9"/>
      <c r="RXI10" s="9"/>
      <c r="RXJ10" s="9"/>
      <c r="RXK10" s="9"/>
      <c r="RXL10" s="10"/>
      <c r="RXM10" s="11"/>
      <c r="RXN10" s="12"/>
      <c r="RXO10" s="12"/>
      <c r="RXP10" s="12"/>
      <c r="RXQ10" s="13"/>
      <c r="RXR10" s="9"/>
      <c r="RXS10" s="9"/>
      <c r="RXT10" s="9"/>
      <c r="RXU10" s="9"/>
      <c r="RXV10" s="10"/>
      <c r="RXW10" s="11"/>
      <c r="RXX10" s="12"/>
      <c r="RXY10" s="12"/>
      <c r="RXZ10" s="12"/>
      <c r="RYA10" s="13"/>
      <c r="RYB10" s="9"/>
      <c r="RYC10" s="9"/>
      <c r="RYD10" s="9"/>
      <c r="RYE10" s="9"/>
      <c r="RYF10" s="10"/>
      <c r="RYG10" s="11"/>
      <c r="RYH10" s="12"/>
      <c r="RYI10" s="12"/>
      <c r="RYJ10" s="12"/>
      <c r="RYK10" s="13"/>
      <c r="RYL10" s="9"/>
      <c r="RYM10" s="9"/>
      <c r="RYN10" s="9"/>
      <c r="RYO10" s="9"/>
      <c r="RYP10" s="10"/>
      <c r="RYQ10" s="11"/>
      <c r="RYR10" s="12"/>
      <c r="RYS10" s="12"/>
      <c r="RYT10" s="12"/>
      <c r="RYU10" s="13"/>
      <c r="RYV10" s="9"/>
      <c r="RYW10" s="9"/>
      <c r="RYX10" s="9"/>
      <c r="RYY10" s="9"/>
      <c r="RYZ10" s="10"/>
      <c r="RZA10" s="11"/>
      <c r="RZB10" s="12"/>
      <c r="RZC10" s="12"/>
      <c r="RZD10" s="12"/>
      <c r="RZE10" s="13"/>
      <c r="RZF10" s="9"/>
      <c r="RZG10" s="9"/>
      <c r="RZH10" s="9"/>
      <c r="RZI10" s="9"/>
      <c r="RZJ10" s="10"/>
      <c r="RZK10" s="11"/>
      <c r="RZL10" s="12"/>
      <c r="RZM10" s="12"/>
      <c r="RZN10" s="12"/>
      <c r="RZO10" s="13"/>
      <c r="RZP10" s="9"/>
      <c r="RZQ10" s="9"/>
      <c r="RZR10" s="9"/>
      <c r="RZS10" s="9"/>
      <c r="RZT10" s="10"/>
      <c r="RZU10" s="11"/>
      <c r="RZV10" s="12"/>
      <c r="RZW10" s="12"/>
      <c r="RZX10" s="12"/>
      <c r="RZY10" s="13"/>
      <c r="RZZ10" s="9"/>
      <c r="SAA10" s="9"/>
      <c r="SAB10" s="9"/>
      <c r="SAC10" s="9"/>
      <c r="SAD10" s="10"/>
      <c r="SAE10" s="11"/>
      <c r="SAF10" s="12"/>
      <c r="SAG10" s="12"/>
      <c r="SAH10" s="12"/>
      <c r="SAI10" s="13"/>
      <c r="SAJ10" s="9"/>
      <c r="SAK10" s="9"/>
      <c r="SAL10" s="9"/>
      <c r="SAM10" s="9"/>
      <c r="SAN10" s="10"/>
      <c r="SAO10" s="11"/>
      <c r="SAP10" s="12"/>
      <c r="SAQ10" s="12"/>
      <c r="SAR10" s="12"/>
      <c r="SAS10" s="13"/>
      <c r="SAT10" s="9"/>
      <c r="SAU10" s="9"/>
      <c r="SAV10" s="9"/>
      <c r="SAW10" s="9"/>
      <c r="SAX10" s="10"/>
      <c r="SAY10" s="11"/>
      <c r="SAZ10" s="12"/>
      <c r="SBA10" s="12"/>
      <c r="SBB10" s="12"/>
      <c r="SBC10" s="13"/>
      <c r="SBD10" s="9"/>
      <c r="SBE10" s="9"/>
      <c r="SBF10" s="9"/>
      <c r="SBG10" s="9"/>
      <c r="SBH10" s="10"/>
      <c r="SBI10" s="11"/>
      <c r="SBJ10" s="12"/>
      <c r="SBK10" s="12"/>
      <c r="SBL10" s="12"/>
      <c r="SBM10" s="13"/>
      <c r="SBN10" s="9"/>
      <c r="SBO10" s="9"/>
      <c r="SBP10" s="9"/>
      <c r="SBQ10" s="9"/>
      <c r="SBR10" s="10"/>
      <c r="SBS10" s="11"/>
      <c r="SBT10" s="12"/>
      <c r="SBU10" s="12"/>
      <c r="SBV10" s="12"/>
      <c r="SBW10" s="13"/>
      <c r="SBX10" s="9"/>
      <c r="SBY10" s="9"/>
      <c r="SBZ10" s="9"/>
      <c r="SCA10" s="9"/>
      <c r="SCB10" s="10"/>
      <c r="SCC10" s="11"/>
      <c r="SCD10" s="12"/>
      <c r="SCE10" s="12"/>
      <c r="SCF10" s="12"/>
      <c r="SCG10" s="13"/>
      <c r="SCH10" s="9"/>
      <c r="SCI10" s="9"/>
      <c r="SCJ10" s="9"/>
      <c r="SCK10" s="9"/>
      <c r="SCL10" s="10"/>
      <c r="SCM10" s="11"/>
      <c r="SCN10" s="12"/>
      <c r="SCO10" s="12"/>
      <c r="SCP10" s="12"/>
      <c r="SCQ10" s="13"/>
      <c r="SCR10" s="9"/>
      <c r="SCS10" s="9"/>
      <c r="SCT10" s="9"/>
      <c r="SCU10" s="9"/>
      <c r="SCV10" s="10"/>
      <c r="SCW10" s="11"/>
      <c r="SCX10" s="12"/>
      <c r="SCY10" s="12"/>
      <c r="SCZ10" s="12"/>
      <c r="SDA10" s="13"/>
      <c r="SDB10" s="9"/>
      <c r="SDC10" s="9"/>
      <c r="SDD10" s="9"/>
      <c r="SDE10" s="9"/>
      <c r="SDF10" s="10"/>
      <c r="SDG10" s="11"/>
      <c r="SDH10" s="12"/>
      <c r="SDI10" s="12"/>
      <c r="SDJ10" s="12"/>
      <c r="SDK10" s="13"/>
      <c r="SDL10" s="9"/>
      <c r="SDM10" s="9"/>
      <c r="SDN10" s="9"/>
      <c r="SDO10" s="9"/>
      <c r="SDP10" s="10"/>
      <c r="SDQ10" s="11"/>
      <c r="SDR10" s="12"/>
      <c r="SDS10" s="12"/>
      <c r="SDT10" s="12"/>
      <c r="SDU10" s="13"/>
      <c r="SDV10" s="9"/>
      <c r="SDW10" s="9"/>
      <c r="SDX10" s="9"/>
      <c r="SDY10" s="9"/>
      <c r="SDZ10" s="10"/>
      <c r="SEA10" s="11"/>
      <c r="SEB10" s="12"/>
      <c r="SEC10" s="12"/>
      <c r="SED10" s="12"/>
      <c r="SEE10" s="13"/>
      <c r="SEF10" s="9"/>
      <c r="SEG10" s="9"/>
      <c r="SEH10" s="9"/>
      <c r="SEI10" s="9"/>
      <c r="SEJ10" s="10"/>
      <c r="SEK10" s="11"/>
      <c r="SEL10" s="12"/>
      <c r="SEM10" s="12"/>
      <c r="SEN10" s="12"/>
      <c r="SEO10" s="13"/>
      <c r="SEP10" s="9"/>
      <c r="SEQ10" s="9"/>
      <c r="SER10" s="9"/>
      <c r="SES10" s="9"/>
      <c r="SET10" s="10"/>
      <c r="SEU10" s="11"/>
      <c r="SEV10" s="12"/>
      <c r="SEW10" s="12"/>
      <c r="SEX10" s="12"/>
      <c r="SEY10" s="13"/>
      <c r="SEZ10" s="9"/>
      <c r="SFA10" s="9"/>
      <c r="SFB10" s="9"/>
      <c r="SFC10" s="9"/>
      <c r="SFD10" s="10"/>
      <c r="SFE10" s="11"/>
      <c r="SFF10" s="12"/>
      <c r="SFG10" s="12"/>
      <c r="SFH10" s="12"/>
      <c r="SFI10" s="13"/>
      <c r="SFJ10" s="9"/>
      <c r="SFK10" s="9"/>
      <c r="SFL10" s="9"/>
      <c r="SFM10" s="9"/>
      <c r="SFN10" s="10"/>
      <c r="SFO10" s="11"/>
      <c r="SFP10" s="12"/>
      <c r="SFQ10" s="12"/>
      <c r="SFR10" s="12"/>
      <c r="SFS10" s="13"/>
      <c r="SFT10" s="9"/>
      <c r="SFU10" s="9"/>
      <c r="SFV10" s="9"/>
      <c r="SFW10" s="9"/>
      <c r="SFX10" s="10"/>
      <c r="SFY10" s="11"/>
      <c r="SFZ10" s="12"/>
      <c r="SGA10" s="12"/>
      <c r="SGB10" s="12"/>
      <c r="SGC10" s="13"/>
      <c r="SGD10" s="9"/>
      <c r="SGE10" s="9"/>
      <c r="SGF10" s="9"/>
      <c r="SGG10" s="9"/>
      <c r="SGH10" s="10"/>
      <c r="SGI10" s="11"/>
      <c r="SGJ10" s="12"/>
      <c r="SGK10" s="12"/>
      <c r="SGL10" s="12"/>
      <c r="SGM10" s="13"/>
      <c r="SGN10" s="9"/>
      <c r="SGO10" s="9"/>
      <c r="SGP10" s="9"/>
      <c r="SGQ10" s="9"/>
      <c r="SGR10" s="10"/>
      <c r="SGS10" s="11"/>
      <c r="SGT10" s="12"/>
      <c r="SGU10" s="12"/>
      <c r="SGV10" s="12"/>
      <c r="SGW10" s="13"/>
      <c r="SGX10" s="9"/>
      <c r="SGY10" s="9"/>
      <c r="SGZ10" s="9"/>
      <c r="SHA10" s="9"/>
      <c r="SHB10" s="10"/>
      <c r="SHC10" s="11"/>
      <c r="SHD10" s="12"/>
      <c r="SHE10" s="12"/>
      <c r="SHF10" s="12"/>
      <c r="SHG10" s="13"/>
      <c r="SHH10" s="9"/>
      <c r="SHI10" s="9"/>
      <c r="SHJ10" s="9"/>
      <c r="SHK10" s="9"/>
      <c r="SHL10" s="10"/>
      <c r="SHM10" s="11"/>
      <c r="SHN10" s="12"/>
      <c r="SHO10" s="12"/>
      <c r="SHP10" s="12"/>
      <c r="SHQ10" s="13"/>
      <c r="SHR10" s="9"/>
      <c r="SHS10" s="9"/>
      <c r="SHT10" s="9"/>
      <c r="SHU10" s="9"/>
      <c r="SHV10" s="10"/>
      <c r="SHW10" s="11"/>
      <c r="SHX10" s="12"/>
      <c r="SHY10" s="12"/>
      <c r="SHZ10" s="12"/>
      <c r="SIA10" s="13"/>
      <c r="SIB10" s="9"/>
      <c r="SIC10" s="9"/>
      <c r="SID10" s="9"/>
      <c r="SIE10" s="9"/>
      <c r="SIF10" s="10"/>
      <c r="SIG10" s="11"/>
      <c r="SIH10" s="12"/>
      <c r="SII10" s="12"/>
      <c r="SIJ10" s="12"/>
      <c r="SIK10" s="13"/>
      <c r="SIL10" s="9"/>
      <c r="SIM10" s="9"/>
      <c r="SIN10" s="9"/>
      <c r="SIO10" s="9"/>
      <c r="SIP10" s="10"/>
      <c r="SIQ10" s="11"/>
      <c r="SIR10" s="12"/>
      <c r="SIS10" s="12"/>
      <c r="SIT10" s="12"/>
      <c r="SIU10" s="13"/>
      <c r="SIV10" s="9"/>
      <c r="SIW10" s="9"/>
      <c r="SIX10" s="9"/>
      <c r="SIY10" s="9"/>
      <c r="SIZ10" s="10"/>
      <c r="SJA10" s="11"/>
      <c r="SJB10" s="12"/>
      <c r="SJC10" s="12"/>
      <c r="SJD10" s="12"/>
      <c r="SJE10" s="13"/>
      <c r="SJF10" s="9"/>
      <c r="SJG10" s="9"/>
      <c r="SJH10" s="9"/>
      <c r="SJI10" s="9"/>
      <c r="SJJ10" s="10"/>
      <c r="SJK10" s="11"/>
      <c r="SJL10" s="12"/>
      <c r="SJM10" s="12"/>
      <c r="SJN10" s="12"/>
      <c r="SJO10" s="13"/>
      <c r="SJP10" s="9"/>
      <c r="SJQ10" s="9"/>
      <c r="SJR10" s="9"/>
      <c r="SJS10" s="9"/>
      <c r="SJT10" s="10"/>
      <c r="SJU10" s="11"/>
      <c r="SJV10" s="12"/>
      <c r="SJW10" s="12"/>
      <c r="SJX10" s="12"/>
      <c r="SJY10" s="13"/>
      <c r="SJZ10" s="9"/>
      <c r="SKA10" s="9"/>
      <c r="SKB10" s="9"/>
      <c r="SKC10" s="9"/>
      <c r="SKD10" s="10"/>
      <c r="SKE10" s="11"/>
      <c r="SKF10" s="12"/>
      <c r="SKG10" s="12"/>
      <c r="SKH10" s="12"/>
      <c r="SKI10" s="13"/>
      <c r="SKJ10" s="9"/>
      <c r="SKK10" s="9"/>
      <c r="SKL10" s="9"/>
      <c r="SKM10" s="9"/>
      <c r="SKN10" s="10"/>
      <c r="SKO10" s="11"/>
      <c r="SKP10" s="12"/>
      <c r="SKQ10" s="12"/>
      <c r="SKR10" s="12"/>
      <c r="SKS10" s="13"/>
      <c r="SKT10" s="9"/>
      <c r="SKU10" s="9"/>
      <c r="SKV10" s="9"/>
      <c r="SKW10" s="9"/>
      <c r="SKX10" s="10"/>
      <c r="SKY10" s="11"/>
      <c r="SKZ10" s="12"/>
      <c r="SLA10" s="12"/>
      <c r="SLB10" s="12"/>
      <c r="SLC10" s="13"/>
      <c r="SLD10" s="9"/>
      <c r="SLE10" s="9"/>
      <c r="SLF10" s="9"/>
      <c r="SLG10" s="9"/>
      <c r="SLH10" s="10"/>
      <c r="SLI10" s="11"/>
      <c r="SLJ10" s="12"/>
      <c r="SLK10" s="12"/>
      <c r="SLL10" s="12"/>
      <c r="SLM10" s="13"/>
      <c r="SLN10" s="9"/>
      <c r="SLO10" s="9"/>
      <c r="SLP10" s="9"/>
      <c r="SLQ10" s="9"/>
      <c r="SLR10" s="10"/>
      <c r="SLS10" s="11"/>
      <c r="SLT10" s="12"/>
      <c r="SLU10" s="12"/>
      <c r="SLV10" s="12"/>
      <c r="SLW10" s="13"/>
      <c r="SLX10" s="9"/>
      <c r="SLY10" s="9"/>
      <c r="SLZ10" s="9"/>
      <c r="SMA10" s="9"/>
      <c r="SMB10" s="10"/>
      <c r="SMC10" s="11"/>
      <c r="SMD10" s="12"/>
      <c r="SME10" s="12"/>
      <c r="SMF10" s="12"/>
      <c r="SMG10" s="13"/>
      <c r="SMH10" s="9"/>
      <c r="SMI10" s="9"/>
      <c r="SMJ10" s="9"/>
      <c r="SMK10" s="9"/>
      <c r="SML10" s="10"/>
      <c r="SMM10" s="11"/>
      <c r="SMN10" s="12"/>
      <c r="SMO10" s="12"/>
      <c r="SMP10" s="12"/>
      <c r="SMQ10" s="13"/>
      <c r="SMR10" s="9"/>
      <c r="SMS10" s="9"/>
      <c r="SMT10" s="9"/>
      <c r="SMU10" s="9"/>
      <c r="SMV10" s="10"/>
      <c r="SMW10" s="11"/>
      <c r="SMX10" s="12"/>
      <c r="SMY10" s="12"/>
      <c r="SMZ10" s="12"/>
      <c r="SNA10" s="13"/>
      <c r="SNB10" s="9"/>
      <c r="SNC10" s="9"/>
      <c r="SND10" s="9"/>
      <c r="SNE10" s="9"/>
      <c r="SNF10" s="10"/>
      <c r="SNG10" s="11"/>
      <c r="SNH10" s="12"/>
      <c r="SNI10" s="12"/>
      <c r="SNJ10" s="12"/>
      <c r="SNK10" s="13"/>
      <c r="SNL10" s="9"/>
      <c r="SNM10" s="9"/>
      <c r="SNN10" s="9"/>
      <c r="SNO10" s="9"/>
      <c r="SNP10" s="10"/>
      <c r="SNQ10" s="11"/>
      <c r="SNR10" s="12"/>
      <c r="SNS10" s="12"/>
      <c r="SNT10" s="12"/>
      <c r="SNU10" s="13"/>
      <c r="SNV10" s="9"/>
      <c r="SNW10" s="9"/>
      <c r="SNX10" s="9"/>
      <c r="SNY10" s="9"/>
      <c r="SNZ10" s="10"/>
      <c r="SOA10" s="11"/>
      <c r="SOB10" s="12"/>
      <c r="SOC10" s="12"/>
      <c r="SOD10" s="12"/>
      <c r="SOE10" s="13"/>
      <c r="SOF10" s="9"/>
      <c r="SOG10" s="9"/>
      <c r="SOH10" s="9"/>
      <c r="SOI10" s="9"/>
      <c r="SOJ10" s="10"/>
      <c r="SOK10" s="11"/>
      <c r="SOL10" s="12"/>
      <c r="SOM10" s="12"/>
      <c r="SON10" s="12"/>
      <c r="SOO10" s="13"/>
      <c r="SOP10" s="9"/>
      <c r="SOQ10" s="9"/>
      <c r="SOR10" s="9"/>
      <c r="SOS10" s="9"/>
      <c r="SOT10" s="10"/>
      <c r="SOU10" s="11"/>
      <c r="SOV10" s="12"/>
      <c r="SOW10" s="12"/>
      <c r="SOX10" s="12"/>
      <c r="SOY10" s="13"/>
      <c r="SOZ10" s="9"/>
      <c r="SPA10" s="9"/>
      <c r="SPB10" s="9"/>
      <c r="SPC10" s="9"/>
      <c r="SPD10" s="10"/>
      <c r="SPE10" s="11"/>
      <c r="SPF10" s="12"/>
      <c r="SPG10" s="12"/>
      <c r="SPH10" s="12"/>
      <c r="SPI10" s="13"/>
      <c r="SPJ10" s="9"/>
      <c r="SPK10" s="9"/>
      <c r="SPL10" s="9"/>
      <c r="SPM10" s="9"/>
      <c r="SPN10" s="10"/>
      <c r="SPO10" s="11"/>
      <c r="SPP10" s="12"/>
      <c r="SPQ10" s="12"/>
      <c r="SPR10" s="12"/>
      <c r="SPS10" s="13"/>
      <c r="SPT10" s="9"/>
      <c r="SPU10" s="9"/>
      <c r="SPV10" s="9"/>
      <c r="SPW10" s="9"/>
      <c r="SPX10" s="10"/>
      <c r="SPY10" s="11"/>
      <c r="SPZ10" s="12"/>
      <c r="SQA10" s="12"/>
      <c r="SQB10" s="12"/>
      <c r="SQC10" s="13"/>
      <c r="SQD10" s="9"/>
      <c r="SQE10" s="9"/>
      <c r="SQF10" s="9"/>
      <c r="SQG10" s="9"/>
      <c r="SQH10" s="10"/>
      <c r="SQI10" s="11"/>
      <c r="SQJ10" s="12"/>
      <c r="SQK10" s="12"/>
      <c r="SQL10" s="12"/>
      <c r="SQM10" s="13"/>
      <c r="SQN10" s="9"/>
      <c r="SQO10" s="9"/>
      <c r="SQP10" s="9"/>
      <c r="SQQ10" s="9"/>
      <c r="SQR10" s="10"/>
      <c r="SQS10" s="11"/>
      <c r="SQT10" s="12"/>
      <c r="SQU10" s="12"/>
      <c r="SQV10" s="12"/>
      <c r="SQW10" s="13"/>
      <c r="SQX10" s="9"/>
      <c r="SQY10" s="9"/>
      <c r="SQZ10" s="9"/>
      <c r="SRA10" s="9"/>
      <c r="SRB10" s="10"/>
      <c r="SRC10" s="11"/>
      <c r="SRD10" s="12"/>
      <c r="SRE10" s="12"/>
      <c r="SRF10" s="12"/>
      <c r="SRG10" s="13"/>
      <c r="SRH10" s="9"/>
      <c r="SRI10" s="9"/>
      <c r="SRJ10" s="9"/>
      <c r="SRK10" s="9"/>
      <c r="SRL10" s="10"/>
      <c r="SRM10" s="11"/>
      <c r="SRN10" s="12"/>
      <c r="SRO10" s="12"/>
      <c r="SRP10" s="12"/>
      <c r="SRQ10" s="13"/>
      <c r="SRR10" s="9"/>
      <c r="SRS10" s="9"/>
      <c r="SRT10" s="9"/>
      <c r="SRU10" s="9"/>
      <c r="SRV10" s="10"/>
      <c r="SRW10" s="11"/>
      <c r="SRX10" s="12"/>
      <c r="SRY10" s="12"/>
      <c r="SRZ10" s="12"/>
      <c r="SSA10" s="13"/>
      <c r="SSB10" s="9"/>
      <c r="SSC10" s="9"/>
      <c r="SSD10" s="9"/>
      <c r="SSE10" s="9"/>
      <c r="SSF10" s="10"/>
      <c r="SSG10" s="11"/>
      <c r="SSH10" s="12"/>
      <c r="SSI10" s="12"/>
      <c r="SSJ10" s="12"/>
      <c r="SSK10" s="13"/>
      <c r="SSL10" s="9"/>
      <c r="SSM10" s="9"/>
      <c r="SSN10" s="9"/>
      <c r="SSO10" s="9"/>
      <c r="SSP10" s="10"/>
      <c r="SSQ10" s="11"/>
      <c r="SSR10" s="12"/>
      <c r="SSS10" s="12"/>
      <c r="SST10" s="12"/>
      <c r="SSU10" s="13"/>
      <c r="SSV10" s="9"/>
      <c r="SSW10" s="9"/>
      <c r="SSX10" s="9"/>
      <c r="SSY10" s="9"/>
      <c r="SSZ10" s="10"/>
      <c r="STA10" s="11"/>
      <c r="STB10" s="12"/>
      <c r="STC10" s="12"/>
      <c r="STD10" s="12"/>
      <c r="STE10" s="13"/>
      <c r="STF10" s="9"/>
      <c r="STG10" s="9"/>
      <c r="STH10" s="9"/>
      <c r="STI10" s="9"/>
      <c r="STJ10" s="10"/>
      <c r="STK10" s="11"/>
      <c r="STL10" s="12"/>
      <c r="STM10" s="12"/>
      <c r="STN10" s="12"/>
      <c r="STO10" s="13"/>
      <c r="STP10" s="9"/>
      <c r="STQ10" s="9"/>
      <c r="STR10" s="9"/>
      <c r="STS10" s="9"/>
      <c r="STT10" s="10"/>
      <c r="STU10" s="11"/>
      <c r="STV10" s="12"/>
      <c r="STW10" s="12"/>
      <c r="STX10" s="12"/>
      <c r="STY10" s="13"/>
      <c r="STZ10" s="9"/>
      <c r="SUA10" s="9"/>
      <c r="SUB10" s="9"/>
      <c r="SUC10" s="9"/>
      <c r="SUD10" s="10"/>
      <c r="SUE10" s="11"/>
      <c r="SUF10" s="12"/>
      <c r="SUG10" s="12"/>
      <c r="SUH10" s="12"/>
      <c r="SUI10" s="13"/>
      <c r="SUJ10" s="9"/>
      <c r="SUK10" s="9"/>
      <c r="SUL10" s="9"/>
      <c r="SUM10" s="9"/>
      <c r="SUN10" s="10"/>
      <c r="SUO10" s="11"/>
      <c r="SUP10" s="12"/>
      <c r="SUQ10" s="12"/>
      <c r="SUR10" s="12"/>
      <c r="SUS10" s="13"/>
      <c r="SUT10" s="9"/>
      <c r="SUU10" s="9"/>
      <c r="SUV10" s="9"/>
      <c r="SUW10" s="9"/>
      <c r="SUX10" s="10"/>
      <c r="SUY10" s="11"/>
      <c r="SUZ10" s="12"/>
      <c r="SVA10" s="12"/>
      <c r="SVB10" s="12"/>
      <c r="SVC10" s="13"/>
      <c r="SVD10" s="9"/>
      <c r="SVE10" s="9"/>
      <c r="SVF10" s="9"/>
      <c r="SVG10" s="9"/>
      <c r="SVH10" s="10"/>
      <c r="SVI10" s="11"/>
      <c r="SVJ10" s="12"/>
      <c r="SVK10" s="12"/>
      <c r="SVL10" s="12"/>
      <c r="SVM10" s="13"/>
      <c r="SVN10" s="9"/>
      <c r="SVO10" s="9"/>
      <c r="SVP10" s="9"/>
      <c r="SVQ10" s="9"/>
      <c r="SVR10" s="10"/>
      <c r="SVS10" s="11"/>
      <c r="SVT10" s="12"/>
      <c r="SVU10" s="12"/>
      <c r="SVV10" s="12"/>
      <c r="SVW10" s="13"/>
      <c r="SVX10" s="9"/>
      <c r="SVY10" s="9"/>
      <c r="SVZ10" s="9"/>
      <c r="SWA10" s="9"/>
      <c r="SWB10" s="10"/>
      <c r="SWC10" s="11"/>
      <c r="SWD10" s="12"/>
      <c r="SWE10" s="12"/>
      <c r="SWF10" s="12"/>
      <c r="SWG10" s="13"/>
      <c r="SWH10" s="9"/>
      <c r="SWI10" s="9"/>
      <c r="SWJ10" s="9"/>
      <c r="SWK10" s="9"/>
      <c r="SWL10" s="10"/>
      <c r="SWM10" s="11"/>
      <c r="SWN10" s="12"/>
      <c r="SWO10" s="12"/>
      <c r="SWP10" s="12"/>
      <c r="SWQ10" s="13"/>
      <c r="SWR10" s="9"/>
      <c r="SWS10" s="9"/>
      <c r="SWT10" s="9"/>
      <c r="SWU10" s="9"/>
      <c r="SWV10" s="10"/>
      <c r="SWW10" s="11"/>
      <c r="SWX10" s="12"/>
      <c r="SWY10" s="12"/>
      <c r="SWZ10" s="12"/>
      <c r="SXA10" s="13"/>
      <c r="SXB10" s="9"/>
      <c r="SXC10" s="9"/>
      <c r="SXD10" s="9"/>
      <c r="SXE10" s="9"/>
      <c r="SXF10" s="10"/>
      <c r="SXG10" s="11"/>
      <c r="SXH10" s="12"/>
      <c r="SXI10" s="12"/>
      <c r="SXJ10" s="12"/>
      <c r="SXK10" s="13"/>
      <c r="SXL10" s="9"/>
      <c r="SXM10" s="9"/>
      <c r="SXN10" s="9"/>
      <c r="SXO10" s="9"/>
      <c r="SXP10" s="10"/>
      <c r="SXQ10" s="11"/>
      <c r="SXR10" s="12"/>
      <c r="SXS10" s="12"/>
      <c r="SXT10" s="12"/>
      <c r="SXU10" s="13"/>
      <c r="SXV10" s="9"/>
      <c r="SXW10" s="9"/>
      <c r="SXX10" s="9"/>
      <c r="SXY10" s="9"/>
      <c r="SXZ10" s="10"/>
      <c r="SYA10" s="11"/>
      <c r="SYB10" s="12"/>
      <c r="SYC10" s="12"/>
      <c r="SYD10" s="12"/>
      <c r="SYE10" s="13"/>
      <c r="SYF10" s="9"/>
      <c r="SYG10" s="9"/>
      <c r="SYH10" s="9"/>
      <c r="SYI10" s="9"/>
      <c r="SYJ10" s="10"/>
      <c r="SYK10" s="11"/>
      <c r="SYL10" s="12"/>
      <c r="SYM10" s="12"/>
      <c r="SYN10" s="12"/>
      <c r="SYO10" s="13"/>
      <c r="SYP10" s="9"/>
      <c r="SYQ10" s="9"/>
      <c r="SYR10" s="9"/>
      <c r="SYS10" s="9"/>
      <c r="SYT10" s="10"/>
      <c r="SYU10" s="11"/>
      <c r="SYV10" s="12"/>
      <c r="SYW10" s="12"/>
      <c r="SYX10" s="12"/>
      <c r="SYY10" s="13"/>
      <c r="SYZ10" s="9"/>
      <c r="SZA10" s="9"/>
      <c r="SZB10" s="9"/>
      <c r="SZC10" s="9"/>
      <c r="SZD10" s="10"/>
      <c r="SZE10" s="11"/>
      <c r="SZF10" s="12"/>
      <c r="SZG10" s="12"/>
      <c r="SZH10" s="12"/>
      <c r="SZI10" s="13"/>
      <c r="SZJ10" s="9"/>
      <c r="SZK10" s="9"/>
      <c r="SZL10" s="9"/>
      <c r="SZM10" s="9"/>
      <c r="SZN10" s="10"/>
      <c r="SZO10" s="11"/>
      <c r="SZP10" s="12"/>
      <c r="SZQ10" s="12"/>
      <c r="SZR10" s="12"/>
      <c r="SZS10" s="13"/>
      <c r="SZT10" s="9"/>
      <c r="SZU10" s="9"/>
      <c r="SZV10" s="9"/>
      <c r="SZW10" s="9"/>
      <c r="SZX10" s="10"/>
      <c r="SZY10" s="11"/>
      <c r="SZZ10" s="12"/>
      <c r="TAA10" s="12"/>
      <c r="TAB10" s="12"/>
      <c r="TAC10" s="13"/>
      <c r="TAD10" s="9"/>
      <c r="TAE10" s="9"/>
      <c r="TAF10" s="9"/>
      <c r="TAG10" s="9"/>
      <c r="TAH10" s="10"/>
      <c r="TAI10" s="11"/>
      <c r="TAJ10" s="12"/>
      <c r="TAK10" s="12"/>
      <c r="TAL10" s="12"/>
      <c r="TAM10" s="13"/>
      <c r="TAN10" s="9"/>
      <c r="TAO10" s="9"/>
      <c r="TAP10" s="9"/>
      <c r="TAQ10" s="9"/>
      <c r="TAR10" s="10"/>
      <c r="TAS10" s="11"/>
      <c r="TAT10" s="12"/>
      <c r="TAU10" s="12"/>
      <c r="TAV10" s="12"/>
      <c r="TAW10" s="13"/>
      <c r="TAX10" s="9"/>
      <c r="TAY10" s="9"/>
      <c r="TAZ10" s="9"/>
      <c r="TBA10" s="9"/>
      <c r="TBB10" s="10"/>
      <c r="TBC10" s="11"/>
      <c r="TBD10" s="12"/>
      <c r="TBE10" s="12"/>
      <c r="TBF10" s="12"/>
      <c r="TBG10" s="13"/>
      <c r="TBH10" s="9"/>
      <c r="TBI10" s="9"/>
      <c r="TBJ10" s="9"/>
      <c r="TBK10" s="9"/>
      <c r="TBL10" s="10"/>
      <c r="TBM10" s="11"/>
      <c r="TBN10" s="12"/>
      <c r="TBO10" s="12"/>
      <c r="TBP10" s="12"/>
      <c r="TBQ10" s="13"/>
      <c r="TBR10" s="9"/>
      <c r="TBS10" s="9"/>
      <c r="TBT10" s="9"/>
      <c r="TBU10" s="9"/>
      <c r="TBV10" s="10"/>
      <c r="TBW10" s="11"/>
      <c r="TBX10" s="12"/>
      <c r="TBY10" s="12"/>
      <c r="TBZ10" s="12"/>
      <c r="TCA10" s="13"/>
      <c r="TCB10" s="9"/>
      <c r="TCC10" s="9"/>
      <c r="TCD10" s="9"/>
      <c r="TCE10" s="9"/>
      <c r="TCF10" s="10"/>
      <c r="TCG10" s="11"/>
      <c r="TCH10" s="12"/>
      <c r="TCI10" s="12"/>
      <c r="TCJ10" s="12"/>
      <c r="TCK10" s="13"/>
      <c r="TCL10" s="9"/>
      <c r="TCM10" s="9"/>
      <c r="TCN10" s="9"/>
      <c r="TCO10" s="9"/>
      <c r="TCP10" s="10"/>
      <c r="TCQ10" s="11"/>
      <c r="TCR10" s="12"/>
      <c r="TCS10" s="12"/>
      <c r="TCT10" s="12"/>
      <c r="TCU10" s="13"/>
      <c r="TCV10" s="9"/>
      <c r="TCW10" s="9"/>
      <c r="TCX10" s="9"/>
      <c r="TCY10" s="9"/>
      <c r="TCZ10" s="10"/>
      <c r="TDA10" s="11"/>
      <c r="TDB10" s="12"/>
      <c r="TDC10" s="12"/>
      <c r="TDD10" s="12"/>
      <c r="TDE10" s="13"/>
      <c r="TDF10" s="9"/>
      <c r="TDG10" s="9"/>
      <c r="TDH10" s="9"/>
      <c r="TDI10" s="9"/>
      <c r="TDJ10" s="10"/>
      <c r="TDK10" s="11"/>
      <c r="TDL10" s="12"/>
      <c r="TDM10" s="12"/>
      <c r="TDN10" s="12"/>
      <c r="TDO10" s="13"/>
      <c r="TDP10" s="9"/>
      <c r="TDQ10" s="9"/>
      <c r="TDR10" s="9"/>
      <c r="TDS10" s="9"/>
      <c r="TDT10" s="10"/>
      <c r="TDU10" s="11"/>
      <c r="TDV10" s="12"/>
      <c r="TDW10" s="12"/>
      <c r="TDX10" s="12"/>
      <c r="TDY10" s="13"/>
      <c r="TDZ10" s="9"/>
      <c r="TEA10" s="9"/>
      <c r="TEB10" s="9"/>
      <c r="TEC10" s="9"/>
      <c r="TED10" s="10"/>
      <c r="TEE10" s="11"/>
      <c r="TEF10" s="12"/>
      <c r="TEG10" s="12"/>
      <c r="TEH10" s="12"/>
      <c r="TEI10" s="13"/>
      <c r="TEJ10" s="9"/>
      <c r="TEK10" s="9"/>
      <c r="TEL10" s="9"/>
      <c r="TEM10" s="9"/>
      <c r="TEN10" s="10"/>
      <c r="TEO10" s="11"/>
      <c r="TEP10" s="12"/>
      <c r="TEQ10" s="12"/>
      <c r="TER10" s="12"/>
      <c r="TES10" s="13"/>
      <c r="TET10" s="9"/>
      <c r="TEU10" s="9"/>
      <c r="TEV10" s="9"/>
      <c r="TEW10" s="9"/>
      <c r="TEX10" s="10"/>
      <c r="TEY10" s="11"/>
      <c r="TEZ10" s="12"/>
      <c r="TFA10" s="12"/>
      <c r="TFB10" s="12"/>
      <c r="TFC10" s="13"/>
      <c r="TFD10" s="9"/>
      <c r="TFE10" s="9"/>
      <c r="TFF10" s="9"/>
      <c r="TFG10" s="9"/>
      <c r="TFH10" s="10"/>
      <c r="TFI10" s="11"/>
      <c r="TFJ10" s="12"/>
      <c r="TFK10" s="12"/>
      <c r="TFL10" s="12"/>
      <c r="TFM10" s="13"/>
      <c r="TFN10" s="9"/>
      <c r="TFO10" s="9"/>
      <c r="TFP10" s="9"/>
      <c r="TFQ10" s="9"/>
      <c r="TFR10" s="10"/>
      <c r="TFS10" s="11"/>
      <c r="TFT10" s="12"/>
      <c r="TFU10" s="12"/>
      <c r="TFV10" s="12"/>
      <c r="TFW10" s="13"/>
      <c r="TFX10" s="9"/>
      <c r="TFY10" s="9"/>
      <c r="TFZ10" s="9"/>
      <c r="TGA10" s="9"/>
      <c r="TGB10" s="10"/>
      <c r="TGC10" s="11"/>
      <c r="TGD10" s="12"/>
      <c r="TGE10" s="12"/>
      <c r="TGF10" s="12"/>
      <c r="TGG10" s="13"/>
      <c r="TGH10" s="9"/>
      <c r="TGI10" s="9"/>
      <c r="TGJ10" s="9"/>
      <c r="TGK10" s="9"/>
      <c r="TGL10" s="10"/>
      <c r="TGM10" s="11"/>
      <c r="TGN10" s="12"/>
      <c r="TGO10" s="12"/>
      <c r="TGP10" s="12"/>
      <c r="TGQ10" s="13"/>
      <c r="TGR10" s="9"/>
      <c r="TGS10" s="9"/>
      <c r="TGT10" s="9"/>
      <c r="TGU10" s="9"/>
      <c r="TGV10" s="10"/>
      <c r="TGW10" s="11"/>
      <c r="TGX10" s="12"/>
      <c r="TGY10" s="12"/>
      <c r="TGZ10" s="12"/>
      <c r="THA10" s="13"/>
      <c r="THB10" s="9"/>
      <c r="THC10" s="9"/>
      <c r="THD10" s="9"/>
      <c r="THE10" s="9"/>
      <c r="THF10" s="10"/>
      <c r="THG10" s="11"/>
      <c r="THH10" s="12"/>
      <c r="THI10" s="12"/>
      <c r="THJ10" s="12"/>
      <c r="THK10" s="13"/>
      <c r="THL10" s="9"/>
      <c r="THM10" s="9"/>
      <c r="THN10" s="9"/>
      <c r="THO10" s="9"/>
      <c r="THP10" s="10"/>
      <c r="THQ10" s="11"/>
      <c r="THR10" s="12"/>
      <c r="THS10" s="12"/>
      <c r="THT10" s="12"/>
      <c r="THU10" s="13"/>
      <c r="THV10" s="9"/>
      <c r="THW10" s="9"/>
      <c r="THX10" s="9"/>
      <c r="THY10" s="9"/>
      <c r="THZ10" s="10"/>
      <c r="TIA10" s="11"/>
      <c r="TIB10" s="12"/>
      <c r="TIC10" s="12"/>
      <c r="TID10" s="12"/>
      <c r="TIE10" s="13"/>
      <c r="TIF10" s="9"/>
      <c r="TIG10" s="9"/>
      <c r="TIH10" s="9"/>
      <c r="TII10" s="9"/>
      <c r="TIJ10" s="10"/>
      <c r="TIK10" s="11"/>
      <c r="TIL10" s="12"/>
      <c r="TIM10" s="12"/>
      <c r="TIN10" s="12"/>
      <c r="TIO10" s="13"/>
      <c r="TIP10" s="9"/>
      <c r="TIQ10" s="9"/>
      <c r="TIR10" s="9"/>
      <c r="TIS10" s="9"/>
      <c r="TIT10" s="10"/>
      <c r="TIU10" s="11"/>
      <c r="TIV10" s="12"/>
      <c r="TIW10" s="12"/>
      <c r="TIX10" s="12"/>
      <c r="TIY10" s="13"/>
      <c r="TIZ10" s="9"/>
      <c r="TJA10" s="9"/>
      <c r="TJB10" s="9"/>
      <c r="TJC10" s="9"/>
      <c r="TJD10" s="10"/>
      <c r="TJE10" s="11"/>
      <c r="TJF10" s="12"/>
      <c r="TJG10" s="12"/>
      <c r="TJH10" s="12"/>
      <c r="TJI10" s="13"/>
      <c r="TJJ10" s="9"/>
      <c r="TJK10" s="9"/>
      <c r="TJL10" s="9"/>
      <c r="TJM10" s="9"/>
      <c r="TJN10" s="10"/>
      <c r="TJO10" s="11"/>
      <c r="TJP10" s="12"/>
      <c r="TJQ10" s="12"/>
      <c r="TJR10" s="12"/>
      <c r="TJS10" s="13"/>
      <c r="TJT10" s="9"/>
      <c r="TJU10" s="9"/>
      <c r="TJV10" s="9"/>
      <c r="TJW10" s="9"/>
      <c r="TJX10" s="10"/>
      <c r="TJY10" s="11"/>
      <c r="TJZ10" s="12"/>
      <c r="TKA10" s="12"/>
      <c r="TKB10" s="12"/>
      <c r="TKC10" s="13"/>
      <c r="TKD10" s="9"/>
      <c r="TKE10" s="9"/>
      <c r="TKF10" s="9"/>
      <c r="TKG10" s="9"/>
      <c r="TKH10" s="10"/>
      <c r="TKI10" s="11"/>
      <c r="TKJ10" s="12"/>
      <c r="TKK10" s="12"/>
      <c r="TKL10" s="12"/>
      <c r="TKM10" s="13"/>
      <c r="TKN10" s="9"/>
      <c r="TKO10" s="9"/>
      <c r="TKP10" s="9"/>
      <c r="TKQ10" s="9"/>
      <c r="TKR10" s="10"/>
      <c r="TKS10" s="11"/>
      <c r="TKT10" s="12"/>
      <c r="TKU10" s="12"/>
      <c r="TKV10" s="12"/>
      <c r="TKW10" s="13"/>
      <c r="TKX10" s="9"/>
      <c r="TKY10" s="9"/>
      <c r="TKZ10" s="9"/>
      <c r="TLA10" s="9"/>
      <c r="TLB10" s="10"/>
      <c r="TLC10" s="11"/>
      <c r="TLD10" s="12"/>
      <c r="TLE10" s="12"/>
      <c r="TLF10" s="12"/>
      <c r="TLG10" s="13"/>
      <c r="TLH10" s="9"/>
      <c r="TLI10" s="9"/>
      <c r="TLJ10" s="9"/>
      <c r="TLK10" s="9"/>
      <c r="TLL10" s="10"/>
      <c r="TLM10" s="11"/>
      <c r="TLN10" s="12"/>
      <c r="TLO10" s="12"/>
      <c r="TLP10" s="12"/>
      <c r="TLQ10" s="13"/>
      <c r="TLR10" s="9"/>
      <c r="TLS10" s="9"/>
      <c r="TLT10" s="9"/>
      <c r="TLU10" s="9"/>
      <c r="TLV10" s="10"/>
      <c r="TLW10" s="11"/>
      <c r="TLX10" s="12"/>
      <c r="TLY10" s="12"/>
      <c r="TLZ10" s="12"/>
      <c r="TMA10" s="13"/>
      <c r="TMB10" s="9"/>
      <c r="TMC10" s="9"/>
      <c r="TMD10" s="9"/>
      <c r="TME10" s="9"/>
      <c r="TMF10" s="10"/>
      <c r="TMG10" s="11"/>
      <c r="TMH10" s="12"/>
      <c r="TMI10" s="12"/>
      <c r="TMJ10" s="12"/>
      <c r="TMK10" s="13"/>
      <c r="TML10" s="9"/>
      <c r="TMM10" s="9"/>
      <c r="TMN10" s="9"/>
      <c r="TMO10" s="9"/>
      <c r="TMP10" s="10"/>
      <c r="TMQ10" s="11"/>
      <c r="TMR10" s="12"/>
      <c r="TMS10" s="12"/>
      <c r="TMT10" s="12"/>
      <c r="TMU10" s="13"/>
      <c r="TMV10" s="9"/>
      <c r="TMW10" s="9"/>
      <c r="TMX10" s="9"/>
      <c r="TMY10" s="9"/>
      <c r="TMZ10" s="10"/>
      <c r="TNA10" s="11"/>
      <c r="TNB10" s="12"/>
      <c r="TNC10" s="12"/>
      <c r="TND10" s="12"/>
      <c r="TNE10" s="13"/>
      <c r="TNF10" s="9"/>
      <c r="TNG10" s="9"/>
      <c r="TNH10" s="9"/>
      <c r="TNI10" s="9"/>
      <c r="TNJ10" s="10"/>
      <c r="TNK10" s="11"/>
      <c r="TNL10" s="12"/>
      <c r="TNM10" s="12"/>
      <c r="TNN10" s="12"/>
      <c r="TNO10" s="13"/>
      <c r="TNP10" s="9"/>
      <c r="TNQ10" s="9"/>
      <c r="TNR10" s="9"/>
      <c r="TNS10" s="9"/>
      <c r="TNT10" s="10"/>
      <c r="TNU10" s="11"/>
      <c r="TNV10" s="12"/>
      <c r="TNW10" s="12"/>
      <c r="TNX10" s="12"/>
      <c r="TNY10" s="13"/>
      <c r="TNZ10" s="9"/>
      <c r="TOA10" s="9"/>
      <c r="TOB10" s="9"/>
      <c r="TOC10" s="9"/>
      <c r="TOD10" s="10"/>
      <c r="TOE10" s="11"/>
      <c r="TOF10" s="12"/>
      <c r="TOG10" s="12"/>
      <c r="TOH10" s="12"/>
      <c r="TOI10" s="13"/>
      <c r="TOJ10" s="9"/>
      <c r="TOK10" s="9"/>
      <c r="TOL10" s="9"/>
      <c r="TOM10" s="9"/>
      <c r="TON10" s="10"/>
      <c r="TOO10" s="11"/>
      <c r="TOP10" s="12"/>
      <c r="TOQ10" s="12"/>
      <c r="TOR10" s="12"/>
      <c r="TOS10" s="13"/>
      <c r="TOT10" s="9"/>
      <c r="TOU10" s="9"/>
      <c r="TOV10" s="9"/>
      <c r="TOW10" s="9"/>
      <c r="TOX10" s="10"/>
      <c r="TOY10" s="11"/>
      <c r="TOZ10" s="12"/>
      <c r="TPA10" s="12"/>
      <c r="TPB10" s="12"/>
      <c r="TPC10" s="13"/>
      <c r="TPD10" s="9"/>
      <c r="TPE10" s="9"/>
      <c r="TPF10" s="9"/>
      <c r="TPG10" s="9"/>
      <c r="TPH10" s="10"/>
      <c r="TPI10" s="11"/>
      <c r="TPJ10" s="12"/>
      <c r="TPK10" s="12"/>
      <c r="TPL10" s="12"/>
      <c r="TPM10" s="13"/>
      <c r="TPN10" s="9"/>
      <c r="TPO10" s="9"/>
      <c r="TPP10" s="9"/>
      <c r="TPQ10" s="9"/>
      <c r="TPR10" s="10"/>
      <c r="TPS10" s="11"/>
      <c r="TPT10" s="12"/>
      <c r="TPU10" s="12"/>
      <c r="TPV10" s="12"/>
      <c r="TPW10" s="13"/>
      <c r="TPX10" s="9"/>
      <c r="TPY10" s="9"/>
      <c r="TPZ10" s="9"/>
      <c r="TQA10" s="9"/>
      <c r="TQB10" s="10"/>
      <c r="TQC10" s="11"/>
      <c r="TQD10" s="12"/>
      <c r="TQE10" s="12"/>
      <c r="TQF10" s="12"/>
      <c r="TQG10" s="13"/>
      <c r="TQH10" s="9"/>
      <c r="TQI10" s="9"/>
      <c r="TQJ10" s="9"/>
      <c r="TQK10" s="9"/>
      <c r="TQL10" s="10"/>
      <c r="TQM10" s="11"/>
      <c r="TQN10" s="12"/>
      <c r="TQO10" s="12"/>
      <c r="TQP10" s="12"/>
      <c r="TQQ10" s="13"/>
      <c r="TQR10" s="9"/>
      <c r="TQS10" s="9"/>
      <c r="TQT10" s="9"/>
      <c r="TQU10" s="9"/>
      <c r="TQV10" s="10"/>
      <c r="TQW10" s="11"/>
      <c r="TQX10" s="12"/>
      <c r="TQY10" s="12"/>
      <c r="TQZ10" s="12"/>
      <c r="TRA10" s="13"/>
      <c r="TRB10" s="9"/>
      <c r="TRC10" s="9"/>
      <c r="TRD10" s="9"/>
      <c r="TRE10" s="9"/>
      <c r="TRF10" s="10"/>
      <c r="TRG10" s="11"/>
      <c r="TRH10" s="12"/>
      <c r="TRI10" s="12"/>
      <c r="TRJ10" s="12"/>
      <c r="TRK10" s="13"/>
      <c r="TRL10" s="9"/>
      <c r="TRM10" s="9"/>
      <c r="TRN10" s="9"/>
      <c r="TRO10" s="9"/>
      <c r="TRP10" s="10"/>
      <c r="TRQ10" s="11"/>
      <c r="TRR10" s="12"/>
      <c r="TRS10" s="12"/>
      <c r="TRT10" s="12"/>
      <c r="TRU10" s="13"/>
      <c r="TRV10" s="9"/>
      <c r="TRW10" s="9"/>
      <c r="TRX10" s="9"/>
      <c r="TRY10" s="9"/>
      <c r="TRZ10" s="10"/>
      <c r="TSA10" s="11"/>
      <c r="TSB10" s="12"/>
      <c r="TSC10" s="12"/>
      <c r="TSD10" s="12"/>
      <c r="TSE10" s="13"/>
      <c r="TSF10" s="9"/>
      <c r="TSG10" s="9"/>
      <c r="TSH10" s="9"/>
      <c r="TSI10" s="9"/>
      <c r="TSJ10" s="10"/>
      <c r="TSK10" s="11"/>
      <c r="TSL10" s="12"/>
      <c r="TSM10" s="12"/>
      <c r="TSN10" s="12"/>
      <c r="TSO10" s="13"/>
      <c r="TSP10" s="9"/>
      <c r="TSQ10" s="9"/>
      <c r="TSR10" s="9"/>
      <c r="TSS10" s="9"/>
      <c r="TST10" s="10"/>
      <c r="TSU10" s="11"/>
      <c r="TSV10" s="12"/>
      <c r="TSW10" s="12"/>
      <c r="TSX10" s="12"/>
      <c r="TSY10" s="13"/>
      <c r="TSZ10" s="9"/>
      <c r="TTA10" s="9"/>
      <c r="TTB10" s="9"/>
      <c r="TTC10" s="9"/>
      <c r="TTD10" s="10"/>
      <c r="TTE10" s="11"/>
      <c r="TTF10" s="12"/>
      <c r="TTG10" s="12"/>
      <c r="TTH10" s="12"/>
      <c r="TTI10" s="13"/>
      <c r="TTJ10" s="9"/>
      <c r="TTK10" s="9"/>
      <c r="TTL10" s="9"/>
      <c r="TTM10" s="9"/>
      <c r="TTN10" s="10"/>
      <c r="TTO10" s="11"/>
      <c r="TTP10" s="12"/>
      <c r="TTQ10" s="12"/>
      <c r="TTR10" s="12"/>
      <c r="TTS10" s="13"/>
      <c r="TTT10" s="9"/>
      <c r="TTU10" s="9"/>
      <c r="TTV10" s="9"/>
      <c r="TTW10" s="9"/>
      <c r="TTX10" s="10"/>
      <c r="TTY10" s="11"/>
      <c r="TTZ10" s="12"/>
      <c r="TUA10" s="12"/>
      <c r="TUB10" s="12"/>
      <c r="TUC10" s="13"/>
      <c r="TUD10" s="9"/>
      <c r="TUE10" s="9"/>
      <c r="TUF10" s="9"/>
      <c r="TUG10" s="9"/>
      <c r="TUH10" s="10"/>
      <c r="TUI10" s="11"/>
      <c r="TUJ10" s="12"/>
      <c r="TUK10" s="12"/>
      <c r="TUL10" s="12"/>
      <c r="TUM10" s="13"/>
      <c r="TUN10" s="9"/>
      <c r="TUO10" s="9"/>
      <c r="TUP10" s="9"/>
      <c r="TUQ10" s="9"/>
      <c r="TUR10" s="10"/>
      <c r="TUS10" s="11"/>
      <c r="TUT10" s="12"/>
      <c r="TUU10" s="12"/>
      <c r="TUV10" s="12"/>
      <c r="TUW10" s="13"/>
      <c r="TUX10" s="9"/>
      <c r="TUY10" s="9"/>
      <c r="TUZ10" s="9"/>
      <c r="TVA10" s="9"/>
      <c r="TVB10" s="10"/>
      <c r="TVC10" s="11"/>
      <c r="TVD10" s="12"/>
      <c r="TVE10" s="12"/>
      <c r="TVF10" s="12"/>
      <c r="TVG10" s="13"/>
      <c r="TVH10" s="9"/>
      <c r="TVI10" s="9"/>
      <c r="TVJ10" s="9"/>
      <c r="TVK10" s="9"/>
      <c r="TVL10" s="10"/>
      <c r="TVM10" s="11"/>
      <c r="TVN10" s="12"/>
      <c r="TVO10" s="12"/>
      <c r="TVP10" s="12"/>
      <c r="TVQ10" s="13"/>
      <c r="TVR10" s="9"/>
      <c r="TVS10" s="9"/>
      <c r="TVT10" s="9"/>
      <c r="TVU10" s="9"/>
      <c r="TVV10" s="10"/>
      <c r="TVW10" s="11"/>
      <c r="TVX10" s="12"/>
      <c r="TVY10" s="12"/>
      <c r="TVZ10" s="12"/>
      <c r="TWA10" s="13"/>
      <c r="TWB10" s="9"/>
      <c r="TWC10" s="9"/>
      <c r="TWD10" s="9"/>
      <c r="TWE10" s="9"/>
      <c r="TWF10" s="10"/>
      <c r="TWG10" s="11"/>
      <c r="TWH10" s="12"/>
      <c r="TWI10" s="12"/>
      <c r="TWJ10" s="12"/>
      <c r="TWK10" s="13"/>
      <c r="TWL10" s="9"/>
      <c r="TWM10" s="9"/>
      <c r="TWN10" s="9"/>
      <c r="TWO10" s="9"/>
      <c r="TWP10" s="10"/>
      <c r="TWQ10" s="11"/>
      <c r="TWR10" s="12"/>
      <c r="TWS10" s="12"/>
      <c r="TWT10" s="12"/>
      <c r="TWU10" s="13"/>
      <c r="TWV10" s="9"/>
      <c r="TWW10" s="9"/>
      <c r="TWX10" s="9"/>
      <c r="TWY10" s="9"/>
      <c r="TWZ10" s="10"/>
      <c r="TXA10" s="11"/>
      <c r="TXB10" s="12"/>
      <c r="TXC10" s="12"/>
      <c r="TXD10" s="12"/>
      <c r="TXE10" s="13"/>
      <c r="TXF10" s="9"/>
      <c r="TXG10" s="9"/>
      <c r="TXH10" s="9"/>
      <c r="TXI10" s="9"/>
      <c r="TXJ10" s="10"/>
      <c r="TXK10" s="11"/>
      <c r="TXL10" s="12"/>
      <c r="TXM10" s="12"/>
      <c r="TXN10" s="12"/>
      <c r="TXO10" s="13"/>
      <c r="TXP10" s="9"/>
      <c r="TXQ10" s="9"/>
      <c r="TXR10" s="9"/>
      <c r="TXS10" s="9"/>
      <c r="TXT10" s="10"/>
      <c r="TXU10" s="11"/>
      <c r="TXV10" s="12"/>
      <c r="TXW10" s="12"/>
      <c r="TXX10" s="12"/>
      <c r="TXY10" s="13"/>
      <c r="TXZ10" s="9"/>
      <c r="TYA10" s="9"/>
      <c r="TYB10" s="9"/>
      <c r="TYC10" s="9"/>
      <c r="TYD10" s="10"/>
      <c r="TYE10" s="11"/>
      <c r="TYF10" s="12"/>
      <c r="TYG10" s="12"/>
      <c r="TYH10" s="12"/>
      <c r="TYI10" s="13"/>
      <c r="TYJ10" s="9"/>
      <c r="TYK10" s="9"/>
      <c r="TYL10" s="9"/>
      <c r="TYM10" s="9"/>
      <c r="TYN10" s="10"/>
      <c r="TYO10" s="11"/>
      <c r="TYP10" s="12"/>
      <c r="TYQ10" s="12"/>
      <c r="TYR10" s="12"/>
      <c r="TYS10" s="13"/>
      <c r="TYT10" s="9"/>
      <c r="TYU10" s="9"/>
      <c r="TYV10" s="9"/>
      <c r="TYW10" s="9"/>
      <c r="TYX10" s="10"/>
      <c r="TYY10" s="11"/>
      <c r="TYZ10" s="12"/>
      <c r="TZA10" s="12"/>
      <c r="TZB10" s="12"/>
      <c r="TZC10" s="13"/>
      <c r="TZD10" s="9"/>
      <c r="TZE10" s="9"/>
      <c r="TZF10" s="9"/>
      <c r="TZG10" s="9"/>
      <c r="TZH10" s="10"/>
      <c r="TZI10" s="11"/>
      <c r="TZJ10" s="12"/>
      <c r="TZK10" s="12"/>
      <c r="TZL10" s="12"/>
      <c r="TZM10" s="13"/>
      <c r="TZN10" s="9"/>
      <c r="TZO10" s="9"/>
      <c r="TZP10" s="9"/>
      <c r="TZQ10" s="9"/>
      <c r="TZR10" s="10"/>
      <c r="TZS10" s="11"/>
      <c r="TZT10" s="12"/>
      <c r="TZU10" s="12"/>
      <c r="TZV10" s="12"/>
      <c r="TZW10" s="13"/>
      <c r="TZX10" s="9"/>
      <c r="TZY10" s="9"/>
      <c r="TZZ10" s="9"/>
      <c r="UAA10" s="9"/>
      <c r="UAB10" s="10"/>
      <c r="UAC10" s="11"/>
      <c r="UAD10" s="12"/>
      <c r="UAE10" s="12"/>
      <c r="UAF10" s="12"/>
      <c r="UAG10" s="13"/>
      <c r="UAH10" s="9"/>
      <c r="UAI10" s="9"/>
      <c r="UAJ10" s="9"/>
      <c r="UAK10" s="9"/>
      <c r="UAL10" s="10"/>
      <c r="UAM10" s="11"/>
      <c r="UAN10" s="12"/>
      <c r="UAO10" s="12"/>
      <c r="UAP10" s="12"/>
      <c r="UAQ10" s="13"/>
      <c r="UAR10" s="9"/>
      <c r="UAS10" s="9"/>
      <c r="UAT10" s="9"/>
      <c r="UAU10" s="9"/>
      <c r="UAV10" s="10"/>
      <c r="UAW10" s="11"/>
      <c r="UAX10" s="12"/>
      <c r="UAY10" s="12"/>
      <c r="UAZ10" s="12"/>
      <c r="UBA10" s="13"/>
      <c r="UBB10" s="9"/>
      <c r="UBC10" s="9"/>
      <c r="UBD10" s="9"/>
      <c r="UBE10" s="9"/>
      <c r="UBF10" s="10"/>
      <c r="UBG10" s="11"/>
      <c r="UBH10" s="12"/>
      <c r="UBI10" s="12"/>
      <c r="UBJ10" s="12"/>
      <c r="UBK10" s="13"/>
      <c r="UBL10" s="9"/>
      <c r="UBM10" s="9"/>
      <c r="UBN10" s="9"/>
      <c r="UBO10" s="9"/>
      <c r="UBP10" s="10"/>
      <c r="UBQ10" s="11"/>
      <c r="UBR10" s="12"/>
      <c r="UBS10" s="12"/>
      <c r="UBT10" s="12"/>
      <c r="UBU10" s="13"/>
      <c r="UBV10" s="9"/>
      <c r="UBW10" s="9"/>
      <c r="UBX10" s="9"/>
      <c r="UBY10" s="9"/>
      <c r="UBZ10" s="10"/>
      <c r="UCA10" s="11"/>
      <c r="UCB10" s="12"/>
      <c r="UCC10" s="12"/>
      <c r="UCD10" s="12"/>
      <c r="UCE10" s="13"/>
      <c r="UCF10" s="9"/>
      <c r="UCG10" s="9"/>
      <c r="UCH10" s="9"/>
      <c r="UCI10" s="9"/>
      <c r="UCJ10" s="10"/>
      <c r="UCK10" s="11"/>
      <c r="UCL10" s="12"/>
      <c r="UCM10" s="12"/>
      <c r="UCN10" s="12"/>
      <c r="UCO10" s="13"/>
      <c r="UCP10" s="9"/>
      <c r="UCQ10" s="9"/>
      <c r="UCR10" s="9"/>
      <c r="UCS10" s="9"/>
      <c r="UCT10" s="10"/>
      <c r="UCU10" s="11"/>
      <c r="UCV10" s="12"/>
      <c r="UCW10" s="12"/>
      <c r="UCX10" s="12"/>
      <c r="UCY10" s="13"/>
      <c r="UCZ10" s="9"/>
      <c r="UDA10" s="9"/>
      <c r="UDB10" s="9"/>
      <c r="UDC10" s="9"/>
      <c r="UDD10" s="10"/>
      <c r="UDE10" s="11"/>
      <c r="UDF10" s="12"/>
      <c r="UDG10" s="12"/>
      <c r="UDH10" s="12"/>
      <c r="UDI10" s="13"/>
      <c r="UDJ10" s="9"/>
      <c r="UDK10" s="9"/>
      <c r="UDL10" s="9"/>
      <c r="UDM10" s="9"/>
      <c r="UDN10" s="10"/>
      <c r="UDO10" s="11"/>
      <c r="UDP10" s="12"/>
      <c r="UDQ10" s="12"/>
      <c r="UDR10" s="12"/>
      <c r="UDS10" s="13"/>
      <c r="UDT10" s="9"/>
      <c r="UDU10" s="9"/>
      <c r="UDV10" s="9"/>
      <c r="UDW10" s="9"/>
      <c r="UDX10" s="10"/>
      <c r="UDY10" s="11"/>
      <c r="UDZ10" s="12"/>
      <c r="UEA10" s="12"/>
      <c r="UEB10" s="12"/>
      <c r="UEC10" s="13"/>
      <c r="UED10" s="9"/>
      <c r="UEE10" s="9"/>
      <c r="UEF10" s="9"/>
      <c r="UEG10" s="9"/>
      <c r="UEH10" s="10"/>
      <c r="UEI10" s="11"/>
      <c r="UEJ10" s="12"/>
      <c r="UEK10" s="12"/>
      <c r="UEL10" s="12"/>
      <c r="UEM10" s="13"/>
      <c r="UEN10" s="9"/>
      <c r="UEO10" s="9"/>
      <c r="UEP10" s="9"/>
      <c r="UEQ10" s="9"/>
      <c r="UER10" s="10"/>
      <c r="UES10" s="11"/>
      <c r="UET10" s="12"/>
      <c r="UEU10" s="12"/>
      <c r="UEV10" s="12"/>
      <c r="UEW10" s="13"/>
      <c r="UEX10" s="9"/>
      <c r="UEY10" s="9"/>
      <c r="UEZ10" s="9"/>
      <c r="UFA10" s="9"/>
      <c r="UFB10" s="10"/>
      <c r="UFC10" s="11"/>
      <c r="UFD10" s="12"/>
      <c r="UFE10" s="12"/>
      <c r="UFF10" s="12"/>
      <c r="UFG10" s="13"/>
      <c r="UFH10" s="9"/>
      <c r="UFI10" s="9"/>
      <c r="UFJ10" s="9"/>
      <c r="UFK10" s="9"/>
      <c r="UFL10" s="10"/>
      <c r="UFM10" s="11"/>
      <c r="UFN10" s="12"/>
      <c r="UFO10" s="12"/>
      <c r="UFP10" s="12"/>
      <c r="UFQ10" s="13"/>
      <c r="UFR10" s="9"/>
      <c r="UFS10" s="9"/>
      <c r="UFT10" s="9"/>
      <c r="UFU10" s="9"/>
      <c r="UFV10" s="10"/>
      <c r="UFW10" s="11"/>
      <c r="UFX10" s="12"/>
      <c r="UFY10" s="12"/>
      <c r="UFZ10" s="12"/>
      <c r="UGA10" s="13"/>
      <c r="UGB10" s="9"/>
      <c r="UGC10" s="9"/>
      <c r="UGD10" s="9"/>
      <c r="UGE10" s="9"/>
      <c r="UGF10" s="10"/>
      <c r="UGG10" s="11"/>
      <c r="UGH10" s="12"/>
      <c r="UGI10" s="12"/>
      <c r="UGJ10" s="12"/>
      <c r="UGK10" s="13"/>
      <c r="UGL10" s="9"/>
      <c r="UGM10" s="9"/>
      <c r="UGN10" s="9"/>
      <c r="UGO10" s="9"/>
      <c r="UGP10" s="10"/>
      <c r="UGQ10" s="11"/>
      <c r="UGR10" s="12"/>
      <c r="UGS10" s="12"/>
      <c r="UGT10" s="12"/>
      <c r="UGU10" s="13"/>
      <c r="UGV10" s="9"/>
      <c r="UGW10" s="9"/>
      <c r="UGX10" s="9"/>
      <c r="UGY10" s="9"/>
      <c r="UGZ10" s="10"/>
      <c r="UHA10" s="11"/>
      <c r="UHB10" s="12"/>
      <c r="UHC10" s="12"/>
      <c r="UHD10" s="12"/>
      <c r="UHE10" s="13"/>
      <c r="UHF10" s="9"/>
      <c r="UHG10" s="9"/>
      <c r="UHH10" s="9"/>
      <c r="UHI10" s="9"/>
      <c r="UHJ10" s="10"/>
      <c r="UHK10" s="11"/>
      <c r="UHL10" s="12"/>
      <c r="UHM10" s="12"/>
      <c r="UHN10" s="12"/>
      <c r="UHO10" s="13"/>
      <c r="UHP10" s="9"/>
      <c r="UHQ10" s="9"/>
      <c r="UHR10" s="9"/>
      <c r="UHS10" s="9"/>
      <c r="UHT10" s="10"/>
      <c r="UHU10" s="11"/>
      <c r="UHV10" s="12"/>
      <c r="UHW10" s="12"/>
      <c r="UHX10" s="12"/>
      <c r="UHY10" s="13"/>
      <c r="UHZ10" s="9"/>
      <c r="UIA10" s="9"/>
      <c r="UIB10" s="9"/>
      <c r="UIC10" s="9"/>
      <c r="UID10" s="10"/>
      <c r="UIE10" s="11"/>
      <c r="UIF10" s="12"/>
      <c r="UIG10" s="12"/>
      <c r="UIH10" s="12"/>
      <c r="UII10" s="13"/>
      <c r="UIJ10" s="9"/>
      <c r="UIK10" s="9"/>
      <c r="UIL10" s="9"/>
      <c r="UIM10" s="9"/>
      <c r="UIN10" s="10"/>
      <c r="UIO10" s="11"/>
      <c r="UIP10" s="12"/>
      <c r="UIQ10" s="12"/>
      <c r="UIR10" s="12"/>
      <c r="UIS10" s="13"/>
      <c r="UIT10" s="9"/>
      <c r="UIU10" s="9"/>
      <c r="UIV10" s="9"/>
      <c r="UIW10" s="9"/>
      <c r="UIX10" s="10"/>
      <c r="UIY10" s="11"/>
      <c r="UIZ10" s="12"/>
      <c r="UJA10" s="12"/>
      <c r="UJB10" s="12"/>
      <c r="UJC10" s="13"/>
      <c r="UJD10" s="9"/>
      <c r="UJE10" s="9"/>
      <c r="UJF10" s="9"/>
      <c r="UJG10" s="9"/>
      <c r="UJH10" s="10"/>
      <c r="UJI10" s="11"/>
      <c r="UJJ10" s="12"/>
      <c r="UJK10" s="12"/>
      <c r="UJL10" s="12"/>
      <c r="UJM10" s="13"/>
      <c r="UJN10" s="9"/>
      <c r="UJO10" s="9"/>
      <c r="UJP10" s="9"/>
      <c r="UJQ10" s="9"/>
      <c r="UJR10" s="10"/>
      <c r="UJS10" s="11"/>
      <c r="UJT10" s="12"/>
      <c r="UJU10" s="12"/>
      <c r="UJV10" s="12"/>
      <c r="UJW10" s="13"/>
      <c r="UJX10" s="9"/>
      <c r="UJY10" s="9"/>
      <c r="UJZ10" s="9"/>
      <c r="UKA10" s="9"/>
      <c r="UKB10" s="10"/>
      <c r="UKC10" s="11"/>
      <c r="UKD10" s="12"/>
      <c r="UKE10" s="12"/>
      <c r="UKF10" s="12"/>
      <c r="UKG10" s="13"/>
      <c r="UKH10" s="9"/>
      <c r="UKI10" s="9"/>
      <c r="UKJ10" s="9"/>
      <c r="UKK10" s="9"/>
      <c r="UKL10" s="10"/>
      <c r="UKM10" s="11"/>
      <c r="UKN10" s="12"/>
      <c r="UKO10" s="12"/>
      <c r="UKP10" s="12"/>
      <c r="UKQ10" s="13"/>
      <c r="UKR10" s="9"/>
      <c r="UKS10" s="9"/>
      <c r="UKT10" s="9"/>
      <c r="UKU10" s="9"/>
      <c r="UKV10" s="10"/>
      <c r="UKW10" s="11"/>
      <c r="UKX10" s="12"/>
      <c r="UKY10" s="12"/>
      <c r="UKZ10" s="12"/>
      <c r="ULA10" s="13"/>
      <c r="ULB10" s="9"/>
      <c r="ULC10" s="9"/>
      <c r="ULD10" s="9"/>
      <c r="ULE10" s="9"/>
      <c r="ULF10" s="10"/>
      <c r="ULG10" s="11"/>
      <c r="ULH10" s="12"/>
      <c r="ULI10" s="12"/>
      <c r="ULJ10" s="12"/>
      <c r="ULK10" s="13"/>
      <c r="ULL10" s="9"/>
      <c r="ULM10" s="9"/>
      <c r="ULN10" s="9"/>
      <c r="ULO10" s="9"/>
      <c r="ULP10" s="10"/>
      <c r="ULQ10" s="11"/>
      <c r="ULR10" s="12"/>
      <c r="ULS10" s="12"/>
      <c r="ULT10" s="12"/>
      <c r="ULU10" s="13"/>
      <c r="ULV10" s="9"/>
      <c r="ULW10" s="9"/>
      <c r="ULX10" s="9"/>
      <c r="ULY10" s="9"/>
      <c r="ULZ10" s="10"/>
      <c r="UMA10" s="11"/>
      <c r="UMB10" s="12"/>
      <c r="UMC10" s="12"/>
      <c r="UMD10" s="12"/>
      <c r="UME10" s="13"/>
      <c r="UMF10" s="9"/>
      <c r="UMG10" s="9"/>
      <c r="UMH10" s="9"/>
      <c r="UMI10" s="9"/>
      <c r="UMJ10" s="10"/>
      <c r="UMK10" s="11"/>
      <c r="UML10" s="12"/>
      <c r="UMM10" s="12"/>
      <c r="UMN10" s="12"/>
      <c r="UMO10" s="13"/>
      <c r="UMP10" s="9"/>
      <c r="UMQ10" s="9"/>
      <c r="UMR10" s="9"/>
      <c r="UMS10" s="9"/>
      <c r="UMT10" s="10"/>
      <c r="UMU10" s="11"/>
      <c r="UMV10" s="12"/>
      <c r="UMW10" s="12"/>
      <c r="UMX10" s="12"/>
      <c r="UMY10" s="13"/>
      <c r="UMZ10" s="9"/>
      <c r="UNA10" s="9"/>
      <c r="UNB10" s="9"/>
      <c r="UNC10" s="9"/>
      <c r="UND10" s="10"/>
      <c r="UNE10" s="11"/>
      <c r="UNF10" s="12"/>
      <c r="UNG10" s="12"/>
      <c r="UNH10" s="12"/>
      <c r="UNI10" s="13"/>
      <c r="UNJ10" s="9"/>
      <c r="UNK10" s="9"/>
      <c r="UNL10" s="9"/>
      <c r="UNM10" s="9"/>
      <c r="UNN10" s="10"/>
      <c r="UNO10" s="11"/>
      <c r="UNP10" s="12"/>
      <c r="UNQ10" s="12"/>
      <c r="UNR10" s="12"/>
      <c r="UNS10" s="13"/>
      <c r="UNT10" s="9"/>
      <c r="UNU10" s="9"/>
      <c r="UNV10" s="9"/>
      <c r="UNW10" s="9"/>
      <c r="UNX10" s="10"/>
      <c r="UNY10" s="11"/>
      <c r="UNZ10" s="12"/>
      <c r="UOA10" s="12"/>
      <c r="UOB10" s="12"/>
      <c r="UOC10" s="13"/>
      <c r="UOD10" s="9"/>
      <c r="UOE10" s="9"/>
      <c r="UOF10" s="9"/>
      <c r="UOG10" s="9"/>
      <c r="UOH10" s="10"/>
      <c r="UOI10" s="11"/>
      <c r="UOJ10" s="12"/>
      <c r="UOK10" s="12"/>
      <c r="UOL10" s="12"/>
      <c r="UOM10" s="13"/>
      <c r="UON10" s="9"/>
      <c r="UOO10" s="9"/>
      <c r="UOP10" s="9"/>
      <c r="UOQ10" s="9"/>
      <c r="UOR10" s="10"/>
      <c r="UOS10" s="11"/>
      <c r="UOT10" s="12"/>
      <c r="UOU10" s="12"/>
      <c r="UOV10" s="12"/>
      <c r="UOW10" s="13"/>
      <c r="UOX10" s="9"/>
      <c r="UOY10" s="9"/>
      <c r="UOZ10" s="9"/>
      <c r="UPA10" s="9"/>
      <c r="UPB10" s="10"/>
      <c r="UPC10" s="11"/>
      <c r="UPD10" s="12"/>
      <c r="UPE10" s="12"/>
      <c r="UPF10" s="12"/>
      <c r="UPG10" s="13"/>
      <c r="UPH10" s="9"/>
      <c r="UPI10" s="9"/>
      <c r="UPJ10" s="9"/>
      <c r="UPK10" s="9"/>
      <c r="UPL10" s="10"/>
      <c r="UPM10" s="11"/>
      <c r="UPN10" s="12"/>
      <c r="UPO10" s="12"/>
      <c r="UPP10" s="12"/>
      <c r="UPQ10" s="13"/>
      <c r="UPR10" s="9"/>
      <c r="UPS10" s="9"/>
      <c r="UPT10" s="9"/>
      <c r="UPU10" s="9"/>
      <c r="UPV10" s="10"/>
      <c r="UPW10" s="11"/>
      <c r="UPX10" s="12"/>
      <c r="UPY10" s="12"/>
      <c r="UPZ10" s="12"/>
      <c r="UQA10" s="13"/>
      <c r="UQB10" s="9"/>
      <c r="UQC10" s="9"/>
      <c r="UQD10" s="9"/>
      <c r="UQE10" s="9"/>
      <c r="UQF10" s="10"/>
      <c r="UQG10" s="11"/>
      <c r="UQH10" s="12"/>
      <c r="UQI10" s="12"/>
      <c r="UQJ10" s="12"/>
      <c r="UQK10" s="13"/>
      <c r="UQL10" s="9"/>
      <c r="UQM10" s="9"/>
      <c r="UQN10" s="9"/>
      <c r="UQO10" s="9"/>
      <c r="UQP10" s="10"/>
      <c r="UQQ10" s="11"/>
      <c r="UQR10" s="12"/>
      <c r="UQS10" s="12"/>
      <c r="UQT10" s="12"/>
      <c r="UQU10" s="13"/>
      <c r="UQV10" s="9"/>
      <c r="UQW10" s="9"/>
      <c r="UQX10" s="9"/>
      <c r="UQY10" s="9"/>
      <c r="UQZ10" s="10"/>
      <c r="URA10" s="11"/>
      <c r="URB10" s="12"/>
      <c r="URC10" s="12"/>
      <c r="URD10" s="12"/>
      <c r="URE10" s="13"/>
      <c r="URF10" s="9"/>
      <c r="URG10" s="9"/>
      <c r="URH10" s="9"/>
      <c r="URI10" s="9"/>
      <c r="URJ10" s="10"/>
      <c r="URK10" s="11"/>
      <c r="URL10" s="12"/>
      <c r="URM10" s="12"/>
      <c r="URN10" s="12"/>
      <c r="URO10" s="13"/>
      <c r="URP10" s="9"/>
      <c r="URQ10" s="9"/>
      <c r="URR10" s="9"/>
      <c r="URS10" s="9"/>
      <c r="URT10" s="10"/>
      <c r="URU10" s="11"/>
      <c r="URV10" s="12"/>
      <c r="URW10" s="12"/>
      <c r="URX10" s="12"/>
      <c r="URY10" s="13"/>
      <c r="URZ10" s="9"/>
      <c r="USA10" s="9"/>
      <c r="USB10" s="9"/>
      <c r="USC10" s="9"/>
      <c r="USD10" s="10"/>
      <c r="USE10" s="11"/>
      <c r="USF10" s="12"/>
      <c r="USG10" s="12"/>
      <c r="USH10" s="12"/>
      <c r="USI10" s="13"/>
      <c r="USJ10" s="9"/>
      <c r="USK10" s="9"/>
      <c r="USL10" s="9"/>
      <c r="USM10" s="9"/>
      <c r="USN10" s="10"/>
      <c r="USO10" s="11"/>
      <c r="USP10" s="12"/>
      <c r="USQ10" s="12"/>
      <c r="USR10" s="12"/>
      <c r="USS10" s="13"/>
      <c r="UST10" s="9"/>
      <c r="USU10" s="9"/>
      <c r="USV10" s="9"/>
      <c r="USW10" s="9"/>
      <c r="USX10" s="10"/>
      <c r="USY10" s="11"/>
      <c r="USZ10" s="12"/>
      <c r="UTA10" s="12"/>
      <c r="UTB10" s="12"/>
      <c r="UTC10" s="13"/>
      <c r="UTD10" s="9"/>
      <c r="UTE10" s="9"/>
      <c r="UTF10" s="9"/>
      <c r="UTG10" s="9"/>
      <c r="UTH10" s="10"/>
      <c r="UTI10" s="11"/>
      <c r="UTJ10" s="12"/>
      <c r="UTK10" s="12"/>
      <c r="UTL10" s="12"/>
      <c r="UTM10" s="13"/>
      <c r="UTN10" s="9"/>
      <c r="UTO10" s="9"/>
      <c r="UTP10" s="9"/>
      <c r="UTQ10" s="9"/>
      <c r="UTR10" s="10"/>
      <c r="UTS10" s="11"/>
      <c r="UTT10" s="12"/>
      <c r="UTU10" s="12"/>
      <c r="UTV10" s="12"/>
      <c r="UTW10" s="13"/>
      <c r="UTX10" s="9"/>
      <c r="UTY10" s="9"/>
      <c r="UTZ10" s="9"/>
      <c r="UUA10" s="9"/>
      <c r="UUB10" s="10"/>
      <c r="UUC10" s="11"/>
      <c r="UUD10" s="12"/>
      <c r="UUE10" s="12"/>
      <c r="UUF10" s="12"/>
      <c r="UUG10" s="13"/>
      <c r="UUH10" s="9"/>
      <c r="UUI10" s="9"/>
      <c r="UUJ10" s="9"/>
      <c r="UUK10" s="9"/>
      <c r="UUL10" s="10"/>
      <c r="UUM10" s="11"/>
      <c r="UUN10" s="12"/>
      <c r="UUO10" s="12"/>
      <c r="UUP10" s="12"/>
      <c r="UUQ10" s="13"/>
      <c r="UUR10" s="9"/>
      <c r="UUS10" s="9"/>
      <c r="UUT10" s="9"/>
      <c r="UUU10" s="9"/>
      <c r="UUV10" s="10"/>
      <c r="UUW10" s="11"/>
      <c r="UUX10" s="12"/>
      <c r="UUY10" s="12"/>
      <c r="UUZ10" s="12"/>
      <c r="UVA10" s="13"/>
      <c r="UVB10" s="9"/>
      <c r="UVC10" s="9"/>
      <c r="UVD10" s="9"/>
      <c r="UVE10" s="9"/>
      <c r="UVF10" s="10"/>
      <c r="UVG10" s="11"/>
      <c r="UVH10" s="12"/>
      <c r="UVI10" s="12"/>
      <c r="UVJ10" s="12"/>
      <c r="UVK10" s="13"/>
      <c r="UVL10" s="9"/>
      <c r="UVM10" s="9"/>
      <c r="UVN10" s="9"/>
      <c r="UVO10" s="9"/>
      <c r="UVP10" s="10"/>
      <c r="UVQ10" s="11"/>
      <c r="UVR10" s="12"/>
      <c r="UVS10" s="12"/>
      <c r="UVT10" s="12"/>
      <c r="UVU10" s="13"/>
      <c r="UVV10" s="9"/>
      <c r="UVW10" s="9"/>
      <c r="UVX10" s="9"/>
      <c r="UVY10" s="9"/>
      <c r="UVZ10" s="10"/>
      <c r="UWA10" s="11"/>
      <c r="UWB10" s="12"/>
      <c r="UWC10" s="12"/>
      <c r="UWD10" s="12"/>
      <c r="UWE10" s="13"/>
      <c r="UWF10" s="9"/>
      <c r="UWG10" s="9"/>
      <c r="UWH10" s="9"/>
      <c r="UWI10" s="9"/>
      <c r="UWJ10" s="10"/>
      <c r="UWK10" s="11"/>
      <c r="UWL10" s="12"/>
      <c r="UWM10" s="12"/>
      <c r="UWN10" s="12"/>
      <c r="UWO10" s="13"/>
      <c r="UWP10" s="9"/>
      <c r="UWQ10" s="9"/>
      <c r="UWR10" s="9"/>
      <c r="UWS10" s="9"/>
      <c r="UWT10" s="10"/>
      <c r="UWU10" s="11"/>
      <c r="UWV10" s="12"/>
      <c r="UWW10" s="12"/>
      <c r="UWX10" s="12"/>
      <c r="UWY10" s="13"/>
      <c r="UWZ10" s="9"/>
      <c r="UXA10" s="9"/>
      <c r="UXB10" s="9"/>
      <c r="UXC10" s="9"/>
      <c r="UXD10" s="10"/>
      <c r="UXE10" s="11"/>
      <c r="UXF10" s="12"/>
      <c r="UXG10" s="12"/>
      <c r="UXH10" s="12"/>
      <c r="UXI10" s="13"/>
      <c r="UXJ10" s="9"/>
      <c r="UXK10" s="9"/>
      <c r="UXL10" s="9"/>
      <c r="UXM10" s="9"/>
      <c r="UXN10" s="10"/>
      <c r="UXO10" s="11"/>
      <c r="UXP10" s="12"/>
      <c r="UXQ10" s="12"/>
      <c r="UXR10" s="12"/>
      <c r="UXS10" s="13"/>
      <c r="UXT10" s="9"/>
      <c r="UXU10" s="9"/>
      <c r="UXV10" s="9"/>
      <c r="UXW10" s="9"/>
      <c r="UXX10" s="10"/>
      <c r="UXY10" s="11"/>
      <c r="UXZ10" s="12"/>
      <c r="UYA10" s="12"/>
      <c r="UYB10" s="12"/>
      <c r="UYC10" s="13"/>
      <c r="UYD10" s="9"/>
      <c r="UYE10" s="9"/>
      <c r="UYF10" s="9"/>
      <c r="UYG10" s="9"/>
      <c r="UYH10" s="10"/>
      <c r="UYI10" s="11"/>
      <c r="UYJ10" s="12"/>
      <c r="UYK10" s="12"/>
      <c r="UYL10" s="12"/>
      <c r="UYM10" s="13"/>
      <c r="UYN10" s="9"/>
      <c r="UYO10" s="9"/>
      <c r="UYP10" s="9"/>
      <c r="UYQ10" s="9"/>
      <c r="UYR10" s="10"/>
      <c r="UYS10" s="11"/>
      <c r="UYT10" s="12"/>
      <c r="UYU10" s="12"/>
      <c r="UYV10" s="12"/>
      <c r="UYW10" s="13"/>
      <c r="UYX10" s="9"/>
      <c r="UYY10" s="9"/>
      <c r="UYZ10" s="9"/>
      <c r="UZA10" s="9"/>
      <c r="UZB10" s="10"/>
      <c r="UZC10" s="11"/>
      <c r="UZD10" s="12"/>
      <c r="UZE10" s="12"/>
      <c r="UZF10" s="12"/>
      <c r="UZG10" s="13"/>
      <c r="UZH10" s="9"/>
      <c r="UZI10" s="9"/>
      <c r="UZJ10" s="9"/>
      <c r="UZK10" s="9"/>
      <c r="UZL10" s="10"/>
      <c r="UZM10" s="11"/>
      <c r="UZN10" s="12"/>
      <c r="UZO10" s="12"/>
      <c r="UZP10" s="12"/>
      <c r="UZQ10" s="13"/>
      <c r="UZR10" s="9"/>
      <c r="UZS10" s="9"/>
      <c r="UZT10" s="9"/>
      <c r="UZU10" s="9"/>
      <c r="UZV10" s="10"/>
      <c r="UZW10" s="11"/>
      <c r="UZX10" s="12"/>
      <c r="UZY10" s="12"/>
      <c r="UZZ10" s="12"/>
      <c r="VAA10" s="13"/>
      <c r="VAB10" s="9"/>
      <c r="VAC10" s="9"/>
      <c r="VAD10" s="9"/>
      <c r="VAE10" s="9"/>
      <c r="VAF10" s="10"/>
      <c r="VAG10" s="11"/>
      <c r="VAH10" s="12"/>
      <c r="VAI10" s="12"/>
      <c r="VAJ10" s="12"/>
      <c r="VAK10" s="13"/>
      <c r="VAL10" s="9"/>
      <c r="VAM10" s="9"/>
      <c r="VAN10" s="9"/>
      <c r="VAO10" s="9"/>
      <c r="VAP10" s="10"/>
      <c r="VAQ10" s="11"/>
      <c r="VAR10" s="12"/>
      <c r="VAS10" s="12"/>
      <c r="VAT10" s="12"/>
      <c r="VAU10" s="13"/>
      <c r="VAV10" s="9"/>
      <c r="VAW10" s="9"/>
      <c r="VAX10" s="9"/>
      <c r="VAY10" s="9"/>
      <c r="VAZ10" s="10"/>
      <c r="VBA10" s="11"/>
      <c r="VBB10" s="12"/>
      <c r="VBC10" s="12"/>
      <c r="VBD10" s="12"/>
      <c r="VBE10" s="13"/>
      <c r="VBF10" s="9"/>
      <c r="VBG10" s="9"/>
      <c r="VBH10" s="9"/>
      <c r="VBI10" s="9"/>
      <c r="VBJ10" s="10"/>
      <c r="VBK10" s="11"/>
      <c r="VBL10" s="12"/>
      <c r="VBM10" s="12"/>
      <c r="VBN10" s="12"/>
      <c r="VBO10" s="13"/>
      <c r="VBP10" s="9"/>
      <c r="VBQ10" s="9"/>
      <c r="VBR10" s="9"/>
      <c r="VBS10" s="9"/>
      <c r="VBT10" s="10"/>
      <c r="VBU10" s="11"/>
      <c r="VBV10" s="12"/>
      <c r="VBW10" s="12"/>
      <c r="VBX10" s="12"/>
      <c r="VBY10" s="13"/>
      <c r="VBZ10" s="9"/>
      <c r="VCA10" s="9"/>
      <c r="VCB10" s="9"/>
      <c r="VCC10" s="9"/>
      <c r="VCD10" s="10"/>
      <c r="VCE10" s="11"/>
      <c r="VCF10" s="12"/>
      <c r="VCG10" s="12"/>
      <c r="VCH10" s="12"/>
      <c r="VCI10" s="13"/>
      <c r="VCJ10" s="9"/>
      <c r="VCK10" s="9"/>
      <c r="VCL10" s="9"/>
      <c r="VCM10" s="9"/>
      <c r="VCN10" s="10"/>
      <c r="VCO10" s="11"/>
      <c r="VCP10" s="12"/>
      <c r="VCQ10" s="12"/>
      <c r="VCR10" s="12"/>
      <c r="VCS10" s="13"/>
      <c r="VCT10" s="9"/>
      <c r="VCU10" s="9"/>
      <c r="VCV10" s="9"/>
      <c r="VCW10" s="9"/>
      <c r="VCX10" s="10"/>
      <c r="VCY10" s="11"/>
      <c r="VCZ10" s="12"/>
      <c r="VDA10" s="12"/>
      <c r="VDB10" s="12"/>
      <c r="VDC10" s="13"/>
      <c r="VDD10" s="9"/>
      <c r="VDE10" s="9"/>
      <c r="VDF10" s="9"/>
      <c r="VDG10" s="9"/>
      <c r="VDH10" s="10"/>
      <c r="VDI10" s="11"/>
      <c r="VDJ10" s="12"/>
      <c r="VDK10" s="12"/>
      <c r="VDL10" s="12"/>
      <c r="VDM10" s="13"/>
      <c r="VDN10" s="9"/>
      <c r="VDO10" s="9"/>
      <c r="VDP10" s="9"/>
      <c r="VDQ10" s="9"/>
      <c r="VDR10" s="10"/>
      <c r="VDS10" s="11"/>
      <c r="VDT10" s="12"/>
      <c r="VDU10" s="12"/>
      <c r="VDV10" s="12"/>
      <c r="VDW10" s="13"/>
      <c r="VDX10" s="9"/>
      <c r="VDY10" s="9"/>
      <c r="VDZ10" s="9"/>
      <c r="VEA10" s="9"/>
      <c r="VEB10" s="10"/>
      <c r="VEC10" s="11"/>
      <c r="VED10" s="12"/>
      <c r="VEE10" s="12"/>
      <c r="VEF10" s="12"/>
      <c r="VEG10" s="13"/>
      <c r="VEH10" s="9"/>
      <c r="VEI10" s="9"/>
      <c r="VEJ10" s="9"/>
      <c r="VEK10" s="9"/>
      <c r="VEL10" s="10"/>
      <c r="VEM10" s="11"/>
      <c r="VEN10" s="12"/>
      <c r="VEO10" s="12"/>
      <c r="VEP10" s="12"/>
      <c r="VEQ10" s="13"/>
      <c r="VER10" s="9"/>
      <c r="VES10" s="9"/>
      <c r="VET10" s="9"/>
      <c r="VEU10" s="9"/>
      <c r="VEV10" s="10"/>
      <c r="VEW10" s="11"/>
      <c r="VEX10" s="12"/>
      <c r="VEY10" s="12"/>
      <c r="VEZ10" s="12"/>
      <c r="VFA10" s="13"/>
      <c r="VFB10" s="9"/>
      <c r="VFC10" s="9"/>
      <c r="VFD10" s="9"/>
      <c r="VFE10" s="9"/>
      <c r="VFF10" s="10"/>
      <c r="VFG10" s="11"/>
      <c r="VFH10" s="12"/>
      <c r="VFI10" s="12"/>
      <c r="VFJ10" s="12"/>
      <c r="VFK10" s="13"/>
      <c r="VFL10" s="9"/>
      <c r="VFM10" s="9"/>
      <c r="VFN10" s="9"/>
      <c r="VFO10" s="9"/>
      <c r="VFP10" s="10"/>
      <c r="VFQ10" s="11"/>
      <c r="VFR10" s="12"/>
      <c r="VFS10" s="12"/>
      <c r="VFT10" s="12"/>
      <c r="VFU10" s="13"/>
      <c r="VFV10" s="9"/>
      <c r="VFW10" s="9"/>
      <c r="VFX10" s="9"/>
      <c r="VFY10" s="9"/>
      <c r="VFZ10" s="10"/>
      <c r="VGA10" s="11"/>
      <c r="VGB10" s="12"/>
      <c r="VGC10" s="12"/>
      <c r="VGD10" s="12"/>
      <c r="VGE10" s="13"/>
      <c r="VGF10" s="9"/>
      <c r="VGG10" s="9"/>
      <c r="VGH10" s="9"/>
      <c r="VGI10" s="9"/>
      <c r="VGJ10" s="10"/>
      <c r="VGK10" s="11"/>
      <c r="VGL10" s="12"/>
      <c r="VGM10" s="12"/>
      <c r="VGN10" s="12"/>
      <c r="VGO10" s="13"/>
      <c r="VGP10" s="9"/>
      <c r="VGQ10" s="9"/>
      <c r="VGR10" s="9"/>
      <c r="VGS10" s="9"/>
      <c r="VGT10" s="10"/>
      <c r="VGU10" s="11"/>
      <c r="VGV10" s="12"/>
      <c r="VGW10" s="12"/>
      <c r="VGX10" s="12"/>
      <c r="VGY10" s="13"/>
      <c r="VGZ10" s="9"/>
      <c r="VHA10" s="9"/>
      <c r="VHB10" s="9"/>
      <c r="VHC10" s="9"/>
      <c r="VHD10" s="10"/>
      <c r="VHE10" s="11"/>
      <c r="VHF10" s="12"/>
      <c r="VHG10" s="12"/>
      <c r="VHH10" s="12"/>
      <c r="VHI10" s="13"/>
      <c r="VHJ10" s="9"/>
      <c r="VHK10" s="9"/>
      <c r="VHL10" s="9"/>
      <c r="VHM10" s="9"/>
      <c r="VHN10" s="10"/>
      <c r="VHO10" s="11"/>
      <c r="VHP10" s="12"/>
      <c r="VHQ10" s="12"/>
      <c r="VHR10" s="12"/>
      <c r="VHS10" s="13"/>
      <c r="VHT10" s="9"/>
      <c r="VHU10" s="9"/>
      <c r="VHV10" s="9"/>
      <c r="VHW10" s="9"/>
      <c r="VHX10" s="10"/>
      <c r="VHY10" s="11"/>
      <c r="VHZ10" s="12"/>
      <c r="VIA10" s="12"/>
      <c r="VIB10" s="12"/>
      <c r="VIC10" s="13"/>
      <c r="VID10" s="9"/>
      <c r="VIE10" s="9"/>
      <c r="VIF10" s="9"/>
      <c r="VIG10" s="9"/>
      <c r="VIH10" s="10"/>
      <c r="VII10" s="11"/>
      <c r="VIJ10" s="12"/>
      <c r="VIK10" s="12"/>
      <c r="VIL10" s="12"/>
      <c r="VIM10" s="13"/>
      <c r="VIN10" s="9"/>
      <c r="VIO10" s="9"/>
      <c r="VIP10" s="9"/>
      <c r="VIQ10" s="9"/>
      <c r="VIR10" s="10"/>
      <c r="VIS10" s="11"/>
      <c r="VIT10" s="12"/>
      <c r="VIU10" s="12"/>
      <c r="VIV10" s="12"/>
      <c r="VIW10" s="13"/>
      <c r="VIX10" s="9"/>
      <c r="VIY10" s="9"/>
      <c r="VIZ10" s="9"/>
      <c r="VJA10" s="9"/>
      <c r="VJB10" s="10"/>
      <c r="VJC10" s="11"/>
      <c r="VJD10" s="12"/>
      <c r="VJE10" s="12"/>
      <c r="VJF10" s="12"/>
      <c r="VJG10" s="13"/>
      <c r="VJH10" s="9"/>
      <c r="VJI10" s="9"/>
      <c r="VJJ10" s="9"/>
      <c r="VJK10" s="9"/>
      <c r="VJL10" s="10"/>
      <c r="VJM10" s="11"/>
      <c r="VJN10" s="12"/>
      <c r="VJO10" s="12"/>
      <c r="VJP10" s="12"/>
      <c r="VJQ10" s="13"/>
      <c r="VJR10" s="9"/>
      <c r="VJS10" s="9"/>
      <c r="VJT10" s="9"/>
      <c r="VJU10" s="9"/>
      <c r="VJV10" s="10"/>
      <c r="VJW10" s="11"/>
      <c r="VJX10" s="12"/>
      <c r="VJY10" s="12"/>
      <c r="VJZ10" s="12"/>
      <c r="VKA10" s="13"/>
      <c r="VKB10" s="9"/>
      <c r="VKC10" s="9"/>
      <c r="VKD10" s="9"/>
      <c r="VKE10" s="9"/>
      <c r="VKF10" s="10"/>
      <c r="VKG10" s="11"/>
      <c r="VKH10" s="12"/>
      <c r="VKI10" s="12"/>
      <c r="VKJ10" s="12"/>
      <c r="VKK10" s="13"/>
      <c r="VKL10" s="9"/>
      <c r="VKM10" s="9"/>
      <c r="VKN10" s="9"/>
      <c r="VKO10" s="9"/>
      <c r="VKP10" s="10"/>
      <c r="VKQ10" s="11"/>
      <c r="VKR10" s="12"/>
      <c r="VKS10" s="12"/>
      <c r="VKT10" s="12"/>
      <c r="VKU10" s="13"/>
      <c r="VKV10" s="9"/>
      <c r="VKW10" s="9"/>
      <c r="VKX10" s="9"/>
      <c r="VKY10" s="9"/>
      <c r="VKZ10" s="10"/>
      <c r="VLA10" s="11"/>
      <c r="VLB10" s="12"/>
      <c r="VLC10" s="12"/>
      <c r="VLD10" s="12"/>
      <c r="VLE10" s="13"/>
      <c r="VLF10" s="9"/>
      <c r="VLG10" s="9"/>
      <c r="VLH10" s="9"/>
      <c r="VLI10" s="9"/>
      <c r="VLJ10" s="10"/>
      <c r="VLK10" s="11"/>
      <c r="VLL10" s="12"/>
      <c r="VLM10" s="12"/>
      <c r="VLN10" s="12"/>
      <c r="VLO10" s="13"/>
      <c r="VLP10" s="9"/>
      <c r="VLQ10" s="9"/>
      <c r="VLR10" s="9"/>
      <c r="VLS10" s="9"/>
      <c r="VLT10" s="10"/>
      <c r="VLU10" s="11"/>
      <c r="VLV10" s="12"/>
      <c r="VLW10" s="12"/>
      <c r="VLX10" s="12"/>
      <c r="VLY10" s="13"/>
      <c r="VLZ10" s="9"/>
      <c r="VMA10" s="9"/>
      <c r="VMB10" s="9"/>
      <c r="VMC10" s="9"/>
      <c r="VMD10" s="10"/>
      <c r="VME10" s="11"/>
      <c r="VMF10" s="12"/>
      <c r="VMG10" s="12"/>
      <c r="VMH10" s="12"/>
      <c r="VMI10" s="13"/>
      <c r="VMJ10" s="9"/>
      <c r="VMK10" s="9"/>
      <c r="VML10" s="9"/>
      <c r="VMM10" s="9"/>
      <c r="VMN10" s="10"/>
      <c r="VMO10" s="11"/>
      <c r="VMP10" s="12"/>
      <c r="VMQ10" s="12"/>
      <c r="VMR10" s="12"/>
      <c r="VMS10" s="13"/>
      <c r="VMT10" s="9"/>
      <c r="VMU10" s="9"/>
      <c r="VMV10" s="9"/>
      <c r="VMW10" s="9"/>
      <c r="VMX10" s="10"/>
      <c r="VMY10" s="11"/>
      <c r="VMZ10" s="12"/>
      <c r="VNA10" s="12"/>
      <c r="VNB10" s="12"/>
      <c r="VNC10" s="13"/>
      <c r="VND10" s="9"/>
      <c r="VNE10" s="9"/>
      <c r="VNF10" s="9"/>
      <c r="VNG10" s="9"/>
      <c r="VNH10" s="10"/>
      <c r="VNI10" s="11"/>
      <c r="VNJ10" s="12"/>
      <c r="VNK10" s="12"/>
      <c r="VNL10" s="12"/>
      <c r="VNM10" s="13"/>
      <c r="VNN10" s="9"/>
      <c r="VNO10" s="9"/>
      <c r="VNP10" s="9"/>
      <c r="VNQ10" s="9"/>
      <c r="VNR10" s="10"/>
      <c r="VNS10" s="11"/>
      <c r="VNT10" s="12"/>
      <c r="VNU10" s="12"/>
      <c r="VNV10" s="12"/>
      <c r="VNW10" s="13"/>
      <c r="VNX10" s="9"/>
      <c r="VNY10" s="9"/>
      <c r="VNZ10" s="9"/>
      <c r="VOA10" s="9"/>
      <c r="VOB10" s="10"/>
      <c r="VOC10" s="11"/>
      <c r="VOD10" s="12"/>
      <c r="VOE10" s="12"/>
      <c r="VOF10" s="12"/>
      <c r="VOG10" s="13"/>
      <c r="VOH10" s="9"/>
      <c r="VOI10" s="9"/>
      <c r="VOJ10" s="9"/>
      <c r="VOK10" s="9"/>
      <c r="VOL10" s="10"/>
      <c r="VOM10" s="11"/>
      <c r="VON10" s="12"/>
      <c r="VOO10" s="12"/>
      <c r="VOP10" s="12"/>
      <c r="VOQ10" s="13"/>
      <c r="VOR10" s="9"/>
      <c r="VOS10" s="9"/>
      <c r="VOT10" s="9"/>
      <c r="VOU10" s="9"/>
      <c r="VOV10" s="10"/>
      <c r="VOW10" s="11"/>
      <c r="VOX10" s="12"/>
      <c r="VOY10" s="12"/>
      <c r="VOZ10" s="12"/>
      <c r="VPA10" s="13"/>
      <c r="VPB10" s="9"/>
      <c r="VPC10" s="9"/>
      <c r="VPD10" s="9"/>
      <c r="VPE10" s="9"/>
      <c r="VPF10" s="10"/>
      <c r="VPG10" s="11"/>
      <c r="VPH10" s="12"/>
      <c r="VPI10" s="12"/>
      <c r="VPJ10" s="12"/>
      <c r="VPK10" s="13"/>
      <c r="VPL10" s="9"/>
      <c r="VPM10" s="9"/>
      <c r="VPN10" s="9"/>
      <c r="VPO10" s="9"/>
      <c r="VPP10" s="10"/>
      <c r="VPQ10" s="11"/>
      <c r="VPR10" s="12"/>
      <c r="VPS10" s="12"/>
      <c r="VPT10" s="12"/>
      <c r="VPU10" s="13"/>
      <c r="VPV10" s="9"/>
      <c r="VPW10" s="9"/>
      <c r="VPX10" s="9"/>
      <c r="VPY10" s="9"/>
      <c r="VPZ10" s="10"/>
      <c r="VQA10" s="11"/>
      <c r="VQB10" s="12"/>
      <c r="VQC10" s="12"/>
      <c r="VQD10" s="12"/>
      <c r="VQE10" s="13"/>
      <c r="VQF10" s="9"/>
      <c r="VQG10" s="9"/>
      <c r="VQH10" s="9"/>
      <c r="VQI10" s="9"/>
      <c r="VQJ10" s="10"/>
      <c r="VQK10" s="11"/>
      <c r="VQL10" s="12"/>
      <c r="VQM10" s="12"/>
      <c r="VQN10" s="12"/>
      <c r="VQO10" s="13"/>
      <c r="VQP10" s="9"/>
      <c r="VQQ10" s="9"/>
      <c r="VQR10" s="9"/>
      <c r="VQS10" s="9"/>
      <c r="VQT10" s="10"/>
      <c r="VQU10" s="11"/>
      <c r="VQV10" s="12"/>
      <c r="VQW10" s="12"/>
      <c r="VQX10" s="12"/>
      <c r="VQY10" s="13"/>
      <c r="VQZ10" s="9"/>
      <c r="VRA10" s="9"/>
      <c r="VRB10" s="9"/>
      <c r="VRC10" s="9"/>
      <c r="VRD10" s="10"/>
      <c r="VRE10" s="11"/>
      <c r="VRF10" s="12"/>
      <c r="VRG10" s="12"/>
      <c r="VRH10" s="12"/>
      <c r="VRI10" s="13"/>
      <c r="VRJ10" s="9"/>
      <c r="VRK10" s="9"/>
      <c r="VRL10" s="9"/>
      <c r="VRM10" s="9"/>
      <c r="VRN10" s="10"/>
      <c r="VRO10" s="11"/>
      <c r="VRP10" s="12"/>
      <c r="VRQ10" s="12"/>
      <c r="VRR10" s="12"/>
      <c r="VRS10" s="13"/>
      <c r="VRT10" s="9"/>
      <c r="VRU10" s="9"/>
      <c r="VRV10" s="9"/>
      <c r="VRW10" s="9"/>
      <c r="VRX10" s="10"/>
      <c r="VRY10" s="11"/>
      <c r="VRZ10" s="12"/>
      <c r="VSA10" s="12"/>
      <c r="VSB10" s="12"/>
      <c r="VSC10" s="13"/>
      <c r="VSD10" s="9"/>
      <c r="VSE10" s="9"/>
      <c r="VSF10" s="9"/>
      <c r="VSG10" s="9"/>
      <c r="VSH10" s="10"/>
      <c r="VSI10" s="11"/>
      <c r="VSJ10" s="12"/>
      <c r="VSK10" s="12"/>
      <c r="VSL10" s="12"/>
      <c r="VSM10" s="13"/>
      <c r="VSN10" s="9"/>
      <c r="VSO10" s="9"/>
      <c r="VSP10" s="9"/>
      <c r="VSQ10" s="9"/>
      <c r="VSR10" s="10"/>
      <c r="VSS10" s="11"/>
      <c r="VST10" s="12"/>
      <c r="VSU10" s="12"/>
      <c r="VSV10" s="12"/>
      <c r="VSW10" s="13"/>
      <c r="VSX10" s="9"/>
      <c r="VSY10" s="9"/>
      <c r="VSZ10" s="9"/>
      <c r="VTA10" s="9"/>
      <c r="VTB10" s="10"/>
      <c r="VTC10" s="11"/>
      <c r="VTD10" s="12"/>
      <c r="VTE10" s="12"/>
      <c r="VTF10" s="12"/>
      <c r="VTG10" s="13"/>
      <c r="VTH10" s="9"/>
      <c r="VTI10" s="9"/>
      <c r="VTJ10" s="9"/>
      <c r="VTK10" s="9"/>
      <c r="VTL10" s="10"/>
      <c r="VTM10" s="11"/>
      <c r="VTN10" s="12"/>
      <c r="VTO10" s="12"/>
      <c r="VTP10" s="12"/>
      <c r="VTQ10" s="13"/>
      <c r="VTR10" s="9"/>
      <c r="VTS10" s="9"/>
      <c r="VTT10" s="9"/>
      <c r="VTU10" s="9"/>
      <c r="VTV10" s="10"/>
      <c r="VTW10" s="11"/>
      <c r="VTX10" s="12"/>
      <c r="VTY10" s="12"/>
      <c r="VTZ10" s="12"/>
      <c r="VUA10" s="13"/>
      <c r="VUB10" s="9"/>
      <c r="VUC10" s="9"/>
      <c r="VUD10" s="9"/>
      <c r="VUE10" s="9"/>
      <c r="VUF10" s="10"/>
      <c r="VUG10" s="11"/>
      <c r="VUH10" s="12"/>
      <c r="VUI10" s="12"/>
      <c r="VUJ10" s="12"/>
      <c r="VUK10" s="13"/>
      <c r="VUL10" s="9"/>
      <c r="VUM10" s="9"/>
      <c r="VUN10" s="9"/>
      <c r="VUO10" s="9"/>
      <c r="VUP10" s="10"/>
      <c r="VUQ10" s="11"/>
      <c r="VUR10" s="12"/>
      <c r="VUS10" s="12"/>
      <c r="VUT10" s="12"/>
      <c r="VUU10" s="13"/>
      <c r="VUV10" s="9"/>
      <c r="VUW10" s="9"/>
      <c r="VUX10" s="9"/>
      <c r="VUY10" s="9"/>
      <c r="VUZ10" s="10"/>
      <c r="VVA10" s="11"/>
      <c r="VVB10" s="12"/>
      <c r="VVC10" s="12"/>
      <c r="VVD10" s="12"/>
      <c r="VVE10" s="13"/>
      <c r="VVF10" s="9"/>
      <c r="VVG10" s="9"/>
      <c r="VVH10" s="9"/>
      <c r="VVI10" s="9"/>
      <c r="VVJ10" s="10"/>
      <c r="VVK10" s="11"/>
      <c r="VVL10" s="12"/>
      <c r="VVM10" s="12"/>
      <c r="VVN10" s="12"/>
      <c r="VVO10" s="13"/>
      <c r="VVP10" s="9"/>
      <c r="VVQ10" s="9"/>
      <c r="VVR10" s="9"/>
      <c r="VVS10" s="9"/>
      <c r="VVT10" s="10"/>
      <c r="VVU10" s="11"/>
      <c r="VVV10" s="12"/>
      <c r="VVW10" s="12"/>
      <c r="VVX10" s="12"/>
      <c r="VVY10" s="13"/>
      <c r="VVZ10" s="9"/>
      <c r="VWA10" s="9"/>
      <c r="VWB10" s="9"/>
      <c r="VWC10" s="9"/>
      <c r="VWD10" s="10"/>
      <c r="VWE10" s="11"/>
      <c r="VWF10" s="12"/>
      <c r="VWG10" s="12"/>
      <c r="VWH10" s="12"/>
      <c r="VWI10" s="13"/>
      <c r="VWJ10" s="9"/>
      <c r="VWK10" s="9"/>
      <c r="VWL10" s="9"/>
      <c r="VWM10" s="9"/>
      <c r="VWN10" s="10"/>
      <c r="VWO10" s="11"/>
      <c r="VWP10" s="12"/>
      <c r="VWQ10" s="12"/>
      <c r="VWR10" s="12"/>
      <c r="VWS10" s="13"/>
      <c r="VWT10" s="9"/>
      <c r="VWU10" s="9"/>
      <c r="VWV10" s="9"/>
      <c r="VWW10" s="9"/>
      <c r="VWX10" s="10"/>
      <c r="VWY10" s="11"/>
      <c r="VWZ10" s="12"/>
      <c r="VXA10" s="12"/>
      <c r="VXB10" s="12"/>
      <c r="VXC10" s="13"/>
      <c r="VXD10" s="9"/>
      <c r="VXE10" s="9"/>
      <c r="VXF10" s="9"/>
      <c r="VXG10" s="9"/>
      <c r="VXH10" s="10"/>
      <c r="VXI10" s="11"/>
      <c r="VXJ10" s="12"/>
      <c r="VXK10" s="12"/>
      <c r="VXL10" s="12"/>
      <c r="VXM10" s="13"/>
      <c r="VXN10" s="9"/>
      <c r="VXO10" s="9"/>
      <c r="VXP10" s="9"/>
      <c r="VXQ10" s="9"/>
      <c r="VXR10" s="10"/>
      <c r="VXS10" s="11"/>
      <c r="VXT10" s="12"/>
      <c r="VXU10" s="12"/>
      <c r="VXV10" s="12"/>
      <c r="VXW10" s="13"/>
      <c r="VXX10" s="9"/>
      <c r="VXY10" s="9"/>
      <c r="VXZ10" s="9"/>
      <c r="VYA10" s="9"/>
      <c r="VYB10" s="10"/>
      <c r="VYC10" s="11"/>
      <c r="VYD10" s="12"/>
      <c r="VYE10" s="12"/>
      <c r="VYF10" s="12"/>
      <c r="VYG10" s="13"/>
      <c r="VYH10" s="9"/>
      <c r="VYI10" s="9"/>
      <c r="VYJ10" s="9"/>
      <c r="VYK10" s="9"/>
      <c r="VYL10" s="10"/>
      <c r="VYM10" s="11"/>
      <c r="VYN10" s="12"/>
      <c r="VYO10" s="12"/>
      <c r="VYP10" s="12"/>
      <c r="VYQ10" s="13"/>
      <c r="VYR10" s="9"/>
      <c r="VYS10" s="9"/>
      <c r="VYT10" s="9"/>
      <c r="VYU10" s="9"/>
      <c r="VYV10" s="10"/>
      <c r="VYW10" s="11"/>
      <c r="VYX10" s="12"/>
      <c r="VYY10" s="12"/>
      <c r="VYZ10" s="12"/>
      <c r="VZA10" s="13"/>
      <c r="VZB10" s="9"/>
      <c r="VZC10" s="9"/>
      <c r="VZD10" s="9"/>
      <c r="VZE10" s="9"/>
      <c r="VZF10" s="10"/>
      <c r="VZG10" s="11"/>
      <c r="VZH10" s="12"/>
      <c r="VZI10" s="12"/>
      <c r="VZJ10" s="12"/>
      <c r="VZK10" s="13"/>
      <c r="VZL10" s="9"/>
      <c r="VZM10" s="9"/>
      <c r="VZN10" s="9"/>
      <c r="VZO10" s="9"/>
      <c r="VZP10" s="10"/>
      <c r="VZQ10" s="11"/>
      <c r="VZR10" s="12"/>
      <c r="VZS10" s="12"/>
      <c r="VZT10" s="12"/>
      <c r="VZU10" s="13"/>
      <c r="VZV10" s="9"/>
      <c r="VZW10" s="9"/>
      <c r="VZX10" s="9"/>
      <c r="VZY10" s="9"/>
      <c r="VZZ10" s="10"/>
      <c r="WAA10" s="11"/>
      <c r="WAB10" s="12"/>
      <c r="WAC10" s="12"/>
      <c r="WAD10" s="12"/>
      <c r="WAE10" s="13"/>
      <c r="WAF10" s="9"/>
      <c r="WAG10" s="9"/>
      <c r="WAH10" s="9"/>
      <c r="WAI10" s="9"/>
      <c r="WAJ10" s="10"/>
      <c r="WAK10" s="11"/>
      <c r="WAL10" s="12"/>
      <c r="WAM10" s="12"/>
      <c r="WAN10" s="12"/>
      <c r="WAO10" s="13"/>
      <c r="WAP10" s="9"/>
      <c r="WAQ10" s="9"/>
      <c r="WAR10" s="9"/>
      <c r="WAS10" s="9"/>
      <c r="WAT10" s="10"/>
      <c r="WAU10" s="11"/>
      <c r="WAV10" s="12"/>
      <c r="WAW10" s="12"/>
      <c r="WAX10" s="12"/>
      <c r="WAY10" s="13"/>
      <c r="WAZ10" s="9"/>
      <c r="WBA10" s="9"/>
      <c r="WBB10" s="9"/>
      <c r="WBC10" s="9"/>
      <c r="WBD10" s="10"/>
      <c r="WBE10" s="11"/>
      <c r="WBF10" s="12"/>
      <c r="WBG10" s="12"/>
      <c r="WBH10" s="12"/>
      <c r="WBI10" s="13"/>
      <c r="WBJ10" s="9"/>
      <c r="WBK10" s="9"/>
      <c r="WBL10" s="9"/>
      <c r="WBM10" s="9"/>
      <c r="WBN10" s="10"/>
      <c r="WBO10" s="11"/>
      <c r="WBP10" s="12"/>
      <c r="WBQ10" s="12"/>
      <c r="WBR10" s="12"/>
      <c r="WBS10" s="13"/>
      <c r="WBT10" s="9"/>
      <c r="WBU10" s="9"/>
      <c r="WBV10" s="9"/>
      <c r="WBW10" s="9"/>
      <c r="WBX10" s="10"/>
      <c r="WBY10" s="11"/>
      <c r="WBZ10" s="12"/>
      <c r="WCA10" s="12"/>
      <c r="WCB10" s="12"/>
      <c r="WCC10" s="13"/>
      <c r="WCD10" s="9"/>
      <c r="WCE10" s="9"/>
      <c r="WCF10" s="9"/>
      <c r="WCG10" s="9"/>
      <c r="WCH10" s="10"/>
      <c r="WCI10" s="11"/>
      <c r="WCJ10" s="12"/>
      <c r="WCK10" s="12"/>
      <c r="WCL10" s="12"/>
      <c r="WCM10" s="13"/>
      <c r="WCN10" s="9"/>
      <c r="WCO10" s="9"/>
      <c r="WCP10" s="9"/>
      <c r="WCQ10" s="9"/>
      <c r="WCR10" s="10"/>
      <c r="WCS10" s="11"/>
      <c r="WCT10" s="12"/>
      <c r="WCU10" s="12"/>
      <c r="WCV10" s="12"/>
      <c r="WCW10" s="13"/>
      <c r="WCX10" s="9"/>
      <c r="WCY10" s="9"/>
      <c r="WCZ10" s="9"/>
      <c r="WDA10" s="9"/>
      <c r="WDB10" s="10"/>
      <c r="WDC10" s="11"/>
      <c r="WDD10" s="12"/>
      <c r="WDE10" s="12"/>
      <c r="WDF10" s="12"/>
      <c r="WDG10" s="13"/>
      <c r="WDH10" s="9"/>
      <c r="WDI10" s="9"/>
      <c r="WDJ10" s="9"/>
      <c r="WDK10" s="9"/>
      <c r="WDL10" s="10"/>
      <c r="WDM10" s="11"/>
      <c r="WDN10" s="12"/>
      <c r="WDO10" s="12"/>
      <c r="WDP10" s="12"/>
      <c r="WDQ10" s="13"/>
      <c r="WDR10" s="9"/>
      <c r="WDS10" s="9"/>
      <c r="WDT10" s="9"/>
      <c r="WDU10" s="9"/>
      <c r="WDV10" s="10"/>
      <c r="WDW10" s="11"/>
      <c r="WDX10" s="12"/>
      <c r="WDY10" s="12"/>
      <c r="WDZ10" s="12"/>
      <c r="WEA10" s="13"/>
      <c r="WEB10" s="9"/>
      <c r="WEC10" s="9"/>
      <c r="WED10" s="9"/>
      <c r="WEE10" s="9"/>
      <c r="WEF10" s="10"/>
      <c r="WEG10" s="11"/>
      <c r="WEH10" s="12"/>
      <c r="WEI10" s="12"/>
      <c r="WEJ10" s="12"/>
      <c r="WEK10" s="13"/>
      <c r="WEL10" s="9"/>
      <c r="WEM10" s="9"/>
      <c r="WEN10" s="9"/>
      <c r="WEO10" s="9"/>
      <c r="WEP10" s="10"/>
      <c r="WEQ10" s="11"/>
      <c r="WER10" s="12"/>
      <c r="WES10" s="12"/>
      <c r="WET10" s="12"/>
      <c r="WEU10" s="13"/>
      <c r="WEV10" s="9"/>
      <c r="WEW10" s="9"/>
      <c r="WEX10" s="9"/>
      <c r="WEY10" s="9"/>
      <c r="WEZ10" s="10"/>
      <c r="WFA10" s="11"/>
      <c r="WFB10" s="12"/>
      <c r="WFC10" s="12"/>
      <c r="WFD10" s="12"/>
      <c r="WFE10" s="13"/>
      <c r="WFF10" s="9"/>
      <c r="WFG10" s="9"/>
      <c r="WFH10" s="9"/>
      <c r="WFI10" s="9"/>
      <c r="WFJ10" s="10"/>
      <c r="WFK10" s="11"/>
      <c r="WFL10" s="12"/>
      <c r="WFM10" s="12"/>
      <c r="WFN10" s="12"/>
      <c r="WFO10" s="13"/>
      <c r="WFP10" s="9"/>
      <c r="WFQ10" s="9"/>
      <c r="WFR10" s="9"/>
      <c r="WFS10" s="9"/>
      <c r="WFT10" s="10"/>
      <c r="WFU10" s="11"/>
      <c r="WFV10" s="12"/>
      <c r="WFW10" s="12"/>
      <c r="WFX10" s="12"/>
      <c r="WFY10" s="13"/>
      <c r="WFZ10" s="9"/>
      <c r="WGA10" s="9"/>
      <c r="WGB10" s="9"/>
      <c r="WGC10" s="9"/>
      <c r="WGD10" s="10"/>
      <c r="WGE10" s="11"/>
      <c r="WGF10" s="12"/>
      <c r="WGG10" s="12"/>
      <c r="WGH10" s="12"/>
      <c r="WGI10" s="13"/>
      <c r="WGJ10" s="9"/>
      <c r="WGK10" s="9"/>
      <c r="WGL10" s="9"/>
      <c r="WGM10" s="9"/>
      <c r="WGN10" s="10"/>
      <c r="WGO10" s="11"/>
      <c r="WGP10" s="12"/>
      <c r="WGQ10" s="12"/>
      <c r="WGR10" s="12"/>
      <c r="WGS10" s="13"/>
      <c r="WGT10" s="9"/>
      <c r="WGU10" s="9"/>
      <c r="WGV10" s="9"/>
      <c r="WGW10" s="9"/>
      <c r="WGX10" s="10"/>
      <c r="WGY10" s="11"/>
      <c r="WGZ10" s="12"/>
      <c r="WHA10" s="12"/>
      <c r="WHB10" s="12"/>
      <c r="WHC10" s="13"/>
      <c r="WHD10" s="9"/>
      <c r="WHE10" s="9"/>
      <c r="WHF10" s="9"/>
      <c r="WHG10" s="9"/>
      <c r="WHH10" s="10"/>
      <c r="WHI10" s="11"/>
      <c r="WHJ10" s="12"/>
      <c r="WHK10" s="12"/>
      <c r="WHL10" s="12"/>
      <c r="WHM10" s="13"/>
      <c r="WHN10" s="9"/>
      <c r="WHO10" s="9"/>
      <c r="WHP10" s="9"/>
      <c r="WHQ10" s="9"/>
      <c r="WHR10" s="10"/>
      <c r="WHS10" s="11"/>
      <c r="WHT10" s="12"/>
      <c r="WHU10" s="12"/>
      <c r="WHV10" s="12"/>
      <c r="WHW10" s="13"/>
      <c r="WHX10" s="9"/>
      <c r="WHY10" s="9"/>
      <c r="WHZ10" s="9"/>
      <c r="WIA10" s="9"/>
      <c r="WIB10" s="10"/>
      <c r="WIC10" s="11"/>
      <c r="WID10" s="12"/>
      <c r="WIE10" s="12"/>
      <c r="WIF10" s="12"/>
      <c r="WIG10" s="13"/>
      <c r="WIH10" s="9"/>
      <c r="WII10" s="9"/>
      <c r="WIJ10" s="9"/>
      <c r="WIK10" s="9"/>
      <c r="WIL10" s="10"/>
      <c r="WIM10" s="11"/>
      <c r="WIN10" s="12"/>
      <c r="WIO10" s="12"/>
      <c r="WIP10" s="12"/>
      <c r="WIQ10" s="13"/>
      <c r="WIR10" s="9"/>
      <c r="WIS10" s="9"/>
      <c r="WIT10" s="9"/>
      <c r="WIU10" s="9"/>
      <c r="WIV10" s="10"/>
      <c r="WIW10" s="11"/>
      <c r="WIX10" s="12"/>
      <c r="WIY10" s="12"/>
      <c r="WIZ10" s="12"/>
      <c r="WJA10" s="13"/>
      <c r="WJB10" s="9"/>
      <c r="WJC10" s="9"/>
      <c r="WJD10" s="9"/>
      <c r="WJE10" s="9"/>
      <c r="WJF10" s="10"/>
      <c r="WJG10" s="11"/>
      <c r="WJH10" s="12"/>
      <c r="WJI10" s="12"/>
      <c r="WJJ10" s="12"/>
      <c r="WJK10" s="13"/>
      <c r="WJL10" s="9"/>
      <c r="WJM10" s="9"/>
      <c r="WJN10" s="9"/>
      <c r="WJO10" s="9"/>
      <c r="WJP10" s="10"/>
      <c r="WJQ10" s="11"/>
      <c r="WJR10" s="12"/>
      <c r="WJS10" s="12"/>
      <c r="WJT10" s="12"/>
      <c r="WJU10" s="13"/>
      <c r="WJV10" s="9"/>
      <c r="WJW10" s="9"/>
      <c r="WJX10" s="9"/>
      <c r="WJY10" s="9"/>
      <c r="WJZ10" s="10"/>
      <c r="WKA10" s="11"/>
      <c r="WKB10" s="12"/>
      <c r="WKC10" s="12"/>
      <c r="WKD10" s="12"/>
      <c r="WKE10" s="13"/>
      <c r="WKF10" s="9"/>
      <c r="WKG10" s="9"/>
      <c r="WKH10" s="9"/>
      <c r="WKI10" s="9"/>
      <c r="WKJ10" s="10"/>
      <c r="WKK10" s="11"/>
      <c r="WKL10" s="12"/>
      <c r="WKM10" s="12"/>
      <c r="WKN10" s="12"/>
      <c r="WKO10" s="13"/>
      <c r="WKP10" s="9"/>
      <c r="WKQ10" s="9"/>
      <c r="WKR10" s="9"/>
      <c r="WKS10" s="9"/>
      <c r="WKT10" s="10"/>
      <c r="WKU10" s="11"/>
      <c r="WKV10" s="12"/>
      <c r="WKW10" s="12"/>
      <c r="WKX10" s="12"/>
      <c r="WKY10" s="13"/>
      <c r="WKZ10" s="9"/>
      <c r="WLA10" s="9"/>
      <c r="WLB10" s="9"/>
      <c r="WLC10" s="9"/>
      <c r="WLD10" s="10"/>
      <c r="WLE10" s="11"/>
      <c r="WLF10" s="12"/>
      <c r="WLG10" s="12"/>
      <c r="WLH10" s="12"/>
      <c r="WLI10" s="13"/>
      <c r="WLJ10" s="9"/>
      <c r="WLK10" s="9"/>
      <c r="WLL10" s="9"/>
      <c r="WLM10" s="9"/>
      <c r="WLN10" s="10"/>
      <c r="WLO10" s="11"/>
      <c r="WLP10" s="12"/>
      <c r="WLQ10" s="12"/>
      <c r="WLR10" s="12"/>
      <c r="WLS10" s="13"/>
      <c r="WLT10" s="9"/>
      <c r="WLU10" s="9"/>
      <c r="WLV10" s="9"/>
      <c r="WLW10" s="9"/>
      <c r="WLX10" s="10"/>
      <c r="WLY10" s="11"/>
      <c r="WLZ10" s="12"/>
      <c r="WMA10" s="12"/>
      <c r="WMB10" s="12"/>
      <c r="WMC10" s="13"/>
      <c r="WMD10" s="9"/>
      <c r="WME10" s="9"/>
      <c r="WMF10" s="9"/>
      <c r="WMG10" s="9"/>
      <c r="WMH10" s="10"/>
      <c r="WMI10" s="11"/>
      <c r="WMJ10" s="12"/>
      <c r="WMK10" s="12"/>
      <c r="WML10" s="12"/>
      <c r="WMM10" s="13"/>
      <c r="WMN10" s="9"/>
      <c r="WMO10" s="9"/>
      <c r="WMP10" s="9"/>
      <c r="WMQ10" s="9"/>
      <c r="WMR10" s="10"/>
      <c r="WMS10" s="11"/>
      <c r="WMT10" s="12"/>
      <c r="WMU10" s="12"/>
      <c r="WMV10" s="12"/>
      <c r="WMW10" s="13"/>
      <c r="WMX10" s="9"/>
      <c r="WMY10" s="9"/>
      <c r="WMZ10" s="9"/>
      <c r="WNA10" s="9"/>
      <c r="WNB10" s="10"/>
      <c r="WNC10" s="11"/>
      <c r="WND10" s="12"/>
      <c r="WNE10" s="12"/>
      <c r="WNF10" s="12"/>
      <c r="WNG10" s="13"/>
      <c r="WNH10" s="9"/>
      <c r="WNI10" s="9"/>
      <c r="WNJ10" s="9"/>
      <c r="WNK10" s="9"/>
      <c r="WNL10" s="10"/>
      <c r="WNM10" s="11"/>
      <c r="WNN10" s="12"/>
      <c r="WNO10" s="12"/>
      <c r="WNP10" s="12"/>
      <c r="WNQ10" s="13"/>
      <c r="WNR10" s="9"/>
      <c r="WNS10" s="9"/>
      <c r="WNT10" s="9"/>
      <c r="WNU10" s="9"/>
      <c r="WNV10" s="10"/>
      <c r="WNW10" s="11"/>
      <c r="WNX10" s="12"/>
      <c r="WNY10" s="12"/>
      <c r="WNZ10" s="12"/>
      <c r="WOA10" s="13"/>
      <c r="WOB10" s="9"/>
      <c r="WOC10" s="9"/>
      <c r="WOD10" s="9"/>
      <c r="WOE10" s="9"/>
      <c r="WOF10" s="10"/>
      <c r="WOG10" s="11"/>
      <c r="WOH10" s="12"/>
      <c r="WOI10" s="12"/>
      <c r="WOJ10" s="12"/>
      <c r="WOK10" s="13"/>
      <c r="WOL10" s="9"/>
      <c r="WOM10" s="9"/>
      <c r="WON10" s="9"/>
      <c r="WOO10" s="9"/>
      <c r="WOP10" s="10"/>
      <c r="WOQ10" s="11"/>
      <c r="WOR10" s="12"/>
      <c r="WOS10" s="12"/>
      <c r="WOT10" s="12"/>
      <c r="WOU10" s="13"/>
      <c r="WOV10" s="9"/>
      <c r="WOW10" s="9"/>
      <c r="WOX10" s="9"/>
      <c r="WOY10" s="9"/>
      <c r="WOZ10" s="10"/>
      <c r="WPA10" s="11"/>
      <c r="WPB10" s="12"/>
      <c r="WPC10" s="12"/>
      <c r="WPD10" s="12"/>
      <c r="WPE10" s="13"/>
      <c r="WPF10" s="9"/>
      <c r="WPG10" s="9"/>
      <c r="WPH10" s="9"/>
      <c r="WPI10" s="9"/>
      <c r="WPJ10" s="10"/>
      <c r="WPK10" s="11"/>
      <c r="WPL10" s="12"/>
      <c r="WPM10" s="12"/>
      <c r="WPN10" s="12"/>
      <c r="WPO10" s="13"/>
      <c r="WPP10" s="9"/>
      <c r="WPQ10" s="9"/>
      <c r="WPR10" s="9"/>
      <c r="WPS10" s="9"/>
      <c r="WPT10" s="10"/>
      <c r="WPU10" s="11"/>
      <c r="WPV10" s="12"/>
      <c r="WPW10" s="12"/>
      <c r="WPX10" s="12"/>
      <c r="WPY10" s="13"/>
      <c r="WPZ10" s="9"/>
      <c r="WQA10" s="9"/>
      <c r="WQB10" s="9"/>
      <c r="WQC10" s="9"/>
      <c r="WQD10" s="10"/>
      <c r="WQE10" s="11"/>
      <c r="WQF10" s="12"/>
      <c r="WQG10" s="12"/>
      <c r="WQH10" s="12"/>
      <c r="WQI10" s="13"/>
      <c r="WQJ10" s="9"/>
      <c r="WQK10" s="9"/>
      <c r="WQL10" s="9"/>
      <c r="WQM10" s="9"/>
      <c r="WQN10" s="10"/>
      <c r="WQO10" s="11"/>
      <c r="WQP10" s="12"/>
      <c r="WQQ10" s="12"/>
      <c r="WQR10" s="12"/>
      <c r="WQS10" s="13"/>
      <c r="WQT10" s="9"/>
      <c r="WQU10" s="9"/>
      <c r="WQV10" s="9"/>
      <c r="WQW10" s="9"/>
      <c r="WQX10" s="10"/>
      <c r="WQY10" s="11"/>
      <c r="WQZ10" s="12"/>
      <c r="WRA10" s="12"/>
      <c r="WRB10" s="12"/>
      <c r="WRC10" s="13"/>
      <c r="WRD10" s="9"/>
      <c r="WRE10" s="9"/>
      <c r="WRF10" s="9"/>
      <c r="WRG10" s="9"/>
      <c r="WRH10" s="10"/>
      <c r="WRI10" s="11"/>
      <c r="WRJ10" s="12"/>
      <c r="WRK10" s="12"/>
      <c r="WRL10" s="12"/>
      <c r="WRM10" s="13"/>
      <c r="WRN10" s="9"/>
      <c r="WRO10" s="9"/>
      <c r="WRP10" s="9"/>
      <c r="WRQ10" s="9"/>
      <c r="WRR10" s="10"/>
      <c r="WRS10" s="11"/>
      <c r="WRT10" s="12"/>
      <c r="WRU10" s="12"/>
      <c r="WRV10" s="12"/>
      <c r="WRW10" s="13"/>
      <c r="WRX10" s="9"/>
      <c r="WRY10" s="9"/>
      <c r="WRZ10" s="9"/>
      <c r="WSA10" s="9"/>
      <c r="WSB10" s="10"/>
      <c r="WSC10" s="11"/>
      <c r="WSD10" s="12"/>
      <c r="WSE10" s="12"/>
      <c r="WSF10" s="12"/>
      <c r="WSG10" s="13"/>
      <c r="WSH10" s="9"/>
      <c r="WSI10" s="9"/>
      <c r="WSJ10" s="9"/>
      <c r="WSK10" s="9"/>
      <c r="WSL10" s="10"/>
      <c r="WSM10" s="11"/>
      <c r="WSN10" s="12"/>
      <c r="WSO10" s="12"/>
      <c r="WSP10" s="12"/>
      <c r="WSQ10" s="13"/>
      <c r="WSR10" s="9"/>
      <c r="WSS10" s="9"/>
      <c r="WST10" s="9"/>
      <c r="WSU10" s="9"/>
      <c r="WSV10" s="10"/>
      <c r="WSW10" s="11"/>
      <c r="WSX10" s="12"/>
      <c r="WSY10" s="12"/>
      <c r="WSZ10" s="12"/>
      <c r="WTA10" s="13"/>
      <c r="WTB10" s="9"/>
      <c r="WTC10" s="9"/>
      <c r="WTD10" s="9"/>
      <c r="WTE10" s="9"/>
      <c r="WTF10" s="10"/>
      <c r="WTG10" s="11"/>
      <c r="WTH10" s="12"/>
      <c r="WTI10" s="12"/>
      <c r="WTJ10" s="12"/>
      <c r="WTK10" s="13"/>
      <c r="WTL10" s="9"/>
      <c r="WTM10" s="9"/>
      <c r="WTN10" s="9"/>
      <c r="WTO10" s="9"/>
      <c r="WTP10" s="10"/>
      <c r="WTQ10" s="11"/>
      <c r="WTR10" s="12"/>
      <c r="WTS10" s="12"/>
      <c r="WTT10" s="12"/>
      <c r="WTU10" s="13"/>
      <c r="WTV10" s="9"/>
      <c r="WTW10" s="9"/>
      <c r="WTX10" s="9"/>
      <c r="WTY10" s="9"/>
      <c r="WTZ10" s="10"/>
      <c r="WUA10" s="11"/>
      <c r="WUB10" s="12"/>
      <c r="WUC10" s="12"/>
      <c r="WUD10" s="12"/>
      <c r="WUE10" s="13"/>
      <c r="WUF10" s="9"/>
      <c r="WUG10" s="9"/>
      <c r="WUH10" s="9"/>
      <c r="WUI10" s="9"/>
      <c r="WUJ10" s="10"/>
      <c r="WUK10" s="11"/>
      <c r="WUL10" s="12"/>
      <c r="WUM10" s="12"/>
      <c r="WUN10" s="12"/>
      <c r="WUO10" s="13"/>
      <c r="WUP10" s="9"/>
      <c r="WUQ10" s="9"/>
      <c r="WUR10" s="9"/>
      <c r="WUS10" s="9"/>
      <c r="WUT10" s="10"/>
      <c r="WUU10" s="11"/>
      <c r="WUV10" s="12"/>
      <c r="WUW10" s="12"/>
      <c r="WUX10" s="12"/>
      <c r="WUY10" s="13"/>
      <c r="WUZ10" s="9"/>
      <c r="WVA10" s="9"/>
      <c r="WVB10" s="9"/>
      <c r="WVC10" s="9"/>
      <c r="WVD10" s="10"/>
      <c r="WVE10" s="11"/>
      <c r="WVF10" s="12"/>
      <c r="WVG10" s="12"/>
      <c r="WVH10" s="12"/>
      <c r="WVI10" s="13"/>
      <c r="WVJ10" s="9"/>
      <c r="WVK10" s="9"/>
      <c r="WVL10" s="9"/>
      <c r="WVM10" s="9"/>
      <c r="WVN10" s="10"/>
      <c r="WVO10" s="11"/>
      <c r="WVP10" s="12"/>
      <c r="WVQ10" s="12"/>
      <c r="WVR10" s="12"/>
      <c r="WVS10" s="13"/>
      <c r="WVT10" s="9"/>
      <c r="WVU10" s="9"/>
      <c r="WVV10" s="9"/>
      <c r="WVW10" s="9"/>
      <c r="WVX10" s="10"/>
      <c r="WVY10" s="11"/>
      <c r="WVZ10" s="12"/>
      <c r="WWA10" s="12"/>
      <c r="WWB10" s="12"/>
      <c r="WWC10" s="13"/>
      <c r="WWD10" s="9"/>
      <c r="WWE10" s="9"/>
      <c r="WWF10" s="9"/>
      <c r="WWG10" s="9"/>
      <c r="WWH10" s="10"/>
      <c r="WWI10" s="11"/>
      <c r="WWJ10" s="12"/>
      <c r="WWK10" s="12"/>
      <c r="WWL10" s="12"/>
      <c r="WWM10" s="13"/>
      <c r="WWN10" s="9"/>
      <c r="WWO10" s="9"/>
      <c r="WWP10" s="9"/>
      <c r="WWQ10" s="9"/>
      <c r="WWR10" s="10"/>
      <c r="WWS10" s="11"/>
      <c r="WWT10" s="12"/>
      <c r="WWU10" s="12"/>
      <c r="WWV10" s="12"/>
      <c r="WWW10" s="13"/>
      <c r="WWX10" s="9"/>
      <c r="WWY10" s="9"/>
      <c r="WWZ10" s="9"/>
      <c r="WXA10" s="9"/>
      <c r="WXB10" s="10"/>
      <c r="WXC10" s="11"/>
      <c r="WXD10" s="12"/>
      <c r="WXE10" s="12"/>
      <c r="WXF10" s="12"/>
      <c r="WXG10" s="13"/>
      <c r="WXH10" s="9"/>
      <c r="WXI10" s="9"/>
      <c r="WXJ10" s="9"/>
      <c r="WXK10" s="9"/>
      <c r="WXL10" s="10"/>
      <c r="WXM10" s="11"/>
      <c r="WXN10" s="12"/>
      <c r="WXO10" s="12"/>
      <c r="WXP10" s="12"/>
      <c r="WXQ10" s="13"/>
      <c r="WXR10" s="9"/>
      <c r="WXS10" s="9"/>
      <c r="WXT10" s="9"/>
      <c r="WXU10" s="9"/>
      <c r="WXV10" s="10"/>
      <c r="WXW10" s="11"/>
      <c r="WXX10" s="12"/>
      <c r="WXY10" s="12"/>
      <c r="WXZ10" s="12"/>
      <c r="WYA10" s="13"/>
      <c r="WYB10" s="9"/>
      <c r="WYC10" s="9"/>
      <c r="WYD10" s="9"/>
      <c r="WYE10" s="9"/>
      <c r="WYF10" s="10"/>
      <c r="WYG10" s="11"/>
      <c r="WYH10" s="12"/>
      <c r="WYI10" s="12"/>
      <c r="WYJ10" s="12"/>
      <c r="WYK10" s="13"/>
      <c r="WYL10" s="9"/>
      <c r="WYM10" s="9"/>
      <c r="WYN10" s="9"/>
      <c r="WYO10" s="9"/>
      <c r="WYP10" s="10"/>
      <c r="WYQ10" s="11"/>
      <c r="WYR10" s="12"/>
      <c r="WYS10" s="12"/>
      <c r="WYT10" s="12"/>
      <c r="WYU10" s="13"/>
      <c r="WYV10" s="9"/>
      <c r="WYW10" s="9"/>
      <c r="WYX10" s="9"/>
      <c r="WYY10" s="9"/>
      <c r="WYZ10" s="10"/>
      <c r="WZA10" s="11"/>
      <c r="WZB10" s="12"/>
      <c r="WZC10" s="12"/>
      <c r="WZD10" s="12"/>
      <c r="WZE10" s="13"/>
      <c r="WZF10" s="9"/>
      <c r="WZG10" s="9"/>
      <c r="WZH10" s="9"/>
      <c r="WZI10" s="9"/>
      <c r="WZJ10" s="10"/>
      <c r="WZK10" s="11"/>
      <c r="WZL10" s="12"/>
      <c r="WZM10" s="12"/>
      <c r="WZN10" s="12"/>
      <c r="WZO10" s="13"/>
      <c r="WZP10" s="9"/>
      <c r="WZQ10" s="9"/>
      <c r="WZR10" s="9"/>
      <c r="WZS10" s="9"/>
      <c r="WZT10" s="10"/>
      <c r="WZU10" s="11"/>
      <c r="WZV10" s="12"/>
      <c r="WZW10" s="12"/>
      <c r="WZX10" s="12"/>
      <c r="WZY10" s="13"/>
      <c r="WZZ10" s="9"/>
      <c r="XAA10" s="9"/>
      <c r="XAB10" s="9"/>
      <c r="XAC10" s="9"/>
      <c r="XAD10" s="10"/>
      <c r="XAE10" s="11"/>
      <c r="XAF10" s="12"/>
      <c r="XAG10" s="12"/>
      <c r="XAH10" s="12"/>
      <c r="XAI10" s="13"/>
      <c r="XAJ10" s="9"/>
      <c r="XAK10" s="9"/>
      <c r="XAL10" s="9"/>
      <c r="XAM10" s="9"/>
      <c r="XAN10" s="10"/>
      <c r="XAO10" s="11"/>
      <c r="XAP10" s="12"/>
      <c r="XAQ10" s="12"/>
      <c r="XAR10" s="12"/>
      <c r="XAS10" s="13"/>
      <c r="XAT10" s="9"/>
      <c r="XAU10" s="9"/>
      <c r="XAV10" s="9"/>
      <c r="XAW10" s="9"/>
      <c r="XAX10" s="10"/>
      <c r="XAY10" s="11"/>
      <c r="XAZ10" s="12"/>
      <c r="XBA10" s="12"/>
      <c r="XBB10" s="12"/>
      <c r="XBC10" s="13"/>
      <c r="XBD10" s="9"/>
      <c r="XBE10" s="9"/>
      <c r="XBF10" s="9"/>
      <c r="XBG10" s="9"/>
      <c r="XBH10" s="10"/>
      <c r="XBI10" s="11"/>
      <c r="XBJ10" s="12"/>
      <c r="XBK10" s="12"/>
      <c r="XBL10" s="12"/>
      <c r="XBM10" s="13"/>
      <c r="XBN10" s="9"/>
      <c r="XBO10" s="9"/>
      <c r="XBP10" s="9"/>
      <c r="XBQ10" s="9"/>
      <c r="XBR10" s="10"/>
      <c r="XBS10" s="11"/>
      <c r="XBT10" s="12"/>
      <c r="XBU10" s="12"/>
      <c r="XBV10" s="12"/>
      <c r="XBW10" s="13"/>
      <c r="XBX10" s="9"/>
      <c r="XBY10" s="9"/>
      <c r="XBZ10" s="9"/>
      <c r="XCA10" s="9"/>
      <c r="XCB10" s="10"/>
      <c r="XCC10" s="11"/>
      <c r="XCD10" s="12"/>
      <c r="XCE10" s="12"/>
      <c r="XCF10" s="12"/>
      <c r="XCG10" s="13"/>
      <c r="XCH10" s="9"/>
      <c r="XCI10" s="9"/>
      <c r="XCJ10" s="9"/>
      <c r="XCK10" s="9"/>
      <c r="XCL10" s="10"/>
      <c r="XCM10" s="11"/>
      <c r="XCN10" s="12"/>
      <c r="XCO10" s="12"/>
      <c r="XCP10" s="12"/>
      <c r="XCQ10" s="13"/>
      <c r="XCR10" s="9"/>
      <c r="XCS10" s="9"/>
      <c r="XCT10" s="9"/>
      <c r="XCU10" s="9"/>
      <c r="XCV10" s="10"/>
      <c r="XCW10" s="11"/>
      <c r="XCX10" s="12"/>
      <c r="XCY10" s="12"/>
      <c r="XCZ10" s="12"/>
      <c r="XDA10" s="13"/>
      <c r="XDB10" s="9"/>
      <c r="XDC10" s="9"/>
      <c r="XDD10" s="9"/>
      <c r="XDE10" s="9"/>
      <c r="XDF10" s="10"/>
      <c r="XDG10" s="11"/>
      <c r="XDH10" s="12"/>
      <c r="XDI10" s="12"/>
      <c r="XDJ10" s="12"/>
      <c r="XDK10" s="13"/>
      <c r="XDL10" s="9"/>
      <c r="XDM10" s="9"/>
      <c r="XDN10" s="9"/>
      <c r="XDO10" s="9"/>
      <c r="XDP10" s="10"/>
      <c r="XDQ10" s="11"/>
      <c r="XDR10" s="12"/>
      <c r="XDS10" s="12"/>
      <c r="XDT10" s="12"/>
      <c r="XDU10" s="13"/>
      <c r="XDV10" s="9"/>
      <c r="XDW10" s="9"/>
      <c r="XDX10" s="9"/>
      <c r="XDY10" s="9"/>
      <c r="XDZ10" s="10"/>
      <c r="XEA10" s="11"/>
      <c r="XEB10" s="12"/>
      <c r="XEC10" s="12"/>
      <c r="XED10" s="12"/>
      <c r="XEE10" s="13"/>
      <c r="XEF10" s="9"/>
      <c r="XEG10" s="9"/>
      <c r="XEH10" s="9"/>
      <c r="XEI10" s="9"/>
      <c r="XEJ10" s="10"/>
      <c r="XEK10" s="11"/>
      <c r="XEL10" s="12"/>
      <c r="XEM10" s="12"/>
      <c r="XEN10" s="12"/>
      <c r="XEO10" s="13"/>
      <c r="XEP10" s="9"/>
      <c r="XEQ10" s="9"/>
      <c r="XER10" s="9"/>
      <c r="XES10" s="9"/>
      <c r="XET10" s="10"/>
      <c r="XEU10" s="11"/>
      <c r="XEV10" s="12"/>
      <c r="XEW10" s="12"/>
      <c r="XEX10" s="12"/>
      <c r="XEY10" s="13"/>
      <c r="XEZ10" s="9"/>
      <c r="XFA10" s="9"/>
      <c r="XFB10" s="9"/>
      <c r="XFC10" s="9"/>
      <c r="XFD10" s="10"/>
    </row>
    <row r="11" spans="1:16384" x14ac:dyDescent="0.25">
      <c r="A11" t="s">
        <v>20</v>
      </c>
      <c r="B11" t="s">
        <v>21</v>
      </c>
      <c r="C11" t="s">
        <v>95</v>
      </c>
      <c r="D11" s="1">
        <v>9</v>
      </c>
      <c r="E11" s="5">
        <v>11</v>
      </c>
      <c r="F11" s="8" t="s">
        <v>129</v>
      </c>
      <c r="G11" s="8" t="s">
        <v>118</v>
      </c>
      <c r="H11" s="8" t="s">
        <v>121</v>
      </c>
      <c r="I11" s="5">
        <v>9</v>
      </c>
      <c r="J11" t="s">
        <v>109</v>
      </c>
      <c r="K11" s="5">
        <f t="shared" si="0"/>
        <v>10</v>
      </c>
    </row>
    <row r="12" spans="1:16384" x14ac:dyDescent="0.25">
      <c r="A12" t="s">
        <v>22</v>
      </c>
      <c r="B12" t="s">
        <v>23</v>
      </c>
      <c r="C12" s="3" t="s">
        <v>97</v>
      </c>
      <c r="D12" s="4">
        <v>10</v>
      </c>
      <c r="E12" s="5">
        <v>9</v>
      </c>
      <c r="F12" s="8" t="s">
        <v>128</v>
      </c>
      <c r="G12" s="8" t="s">
        <v>126</v>
      </c>
      <c r="H12" s="8" t="s">
        <v>127</v>
      </c>
      <c r="I12" s="5">
        <v>9</v>
      </c>
      <c r="J12" t="s">
        <v>109</v>
      </c>
      <c r="K12" s="5">
        <f t="shared" si="0"/>
        <v>9</v>
      </c>
    </row>
    <row r="13" spans="1:16384" x14ac:dyDescent="0.25">
      <c r="A13" t="s">
        <v>24</v>
      </c>
      <c r="B13" t="s">
        <v>25</v>
      </c>
      <c r="C13" s="3" t="s">
        <v>25</v>
      </c>
      <c r="D13" s="4">
        <v>3</v>
      </c>
      <c r="E13" s="5">
        <v>12</v>
      </c>
      <c r="F13" s="8" t="s">
        <v>125</v>
      </c>
      <c r="G13" s="8" t="s">
        <v>120</v>
      </c>
      <c r="H13" s="8" t="s">
        <v>116</v>
      </c>
      <c r="I13" s="5">
        <v>10</v>
      </c>
      <c r="J13" t="s">
        <v>109</v>
      </c>
      <c r="K13" s="5">
        <f t="shared" si="0"/>
        <v>10</v>
      </c>
    </row>
    <row r="14" spans="1:16384" x14ac:dyDescent="0.25">
      <c r="A14" t="s">
        <v>26</v>
      </c>
      <c r="B14" t="s">
        <v>27</v>
      </c>
      <c r="C14" t="s">
        <v>83</v>
      </c>
      <c r="D14" s="1">
        <v>2</v>
      </c>
      <c r="E14" s="5">
        <v>11</v>
      </c>
      <c r="F14" s="8" t="s">
        <v>117</v>
      </c>
      <c r="G14" s="8" t="s">
        <v>115</v>
      </c>
      <c r="H14" s="8" t="s">
        <v>116</v>
      </c>
      <c r="I14" s="5">
        <v>9</v>
      </c>
      <c r="J14" t="s">
        <v>110</v>
      </c>
      <c r="K14" s="5">
        <f t="shared" si="0"/>
        <v>10</v>
      </c>
    </row>
    <row r="15" spans="1:16384" x14ac:dyDescent="0.25">
      <c r="A15" s="9" t="s">
        <v>28</v>
      </c>
      <c r="B15" s="9" t="s">
        <v>29</v>
      </c>
      <c r="C15" s="9" t="s">
        <v>29</v>
      </c>
      <c r="D15" s="10">
        <v>8</v>
      </c>
      <c r="E15" s="13">
        <v>11</v>
      </c>
      <c r="F15" s="12" t="s">
        <v>123</v>
      </c>
      <c r="G15" s="12" t="s">
        <v>122</v>
      </c>
      <c r="H15" s="12" t="s">
        <v>116</v>
      </c>
      <c r="I15" s="13">
        <v>9</v>
      </c>
      <c r="J15" s="9" t="s">
        <v>110</v>
      </c>
      <c r="K15" s="13">
        <f t="shared" si="0"/>
        <v>10</v>
      </c>
      <c r="L15" s="9"/>
      <c r="M15" s="9"/>
      <c r="N15" s="10"/>
      <c r="O15" s="11"/>
      <c r="P15" s="12"/>
      <c r="Q15" s="12"/>
      <c r="R15" s="12"/>
      <c r="S15" s="13"/>
      <c r="T15" s="9"/>
      <c r="U15" s="9"/>
      <c r="V15" s="9"/>
      <c r="W15" s="9"/>
      <c r="X15" s="10"/>
      <c r="Y15" s="11"/>
      <c r="Z15" s="12"/>
      <c r="AA15" s="12"/>
      <c r="AB15" s="12"/>
      <c r="AC15" s="13"/>
      <c r="AD15" s="9"/>
      <c r="AE15" s="9"/>
      <c r="AF15" s="9"/>
      <c r="AG15" s="9"/>
      <c r="AH15" s="10"/>
      <c r="AI15" s="11"/>
      <c r="AJ15" s="12"/>
      <c r="AK15" s="12"/>
      <c r="AL15" s="12"/>
      <c r="AM15" s="13"/>
      <c r="AN15" s="9"/>
      <c r="AO15" s="9"/>
      <c r="AP15" s="9"/>
      <c r="AQ15" s="9"/>
      <c r="AR15" s="10"/>
      <c r="AS15" s="11"/>
      <c r="AT15" s="12"/>
      <c r="AU15" s="12"/>
      <c r="AV15" s="12"/>
      <c r="AW15" s="13"/>
      <c r="AX15" s="9"/>
      <c r="AY15" s="9"/>
      <c r="AZ15" s="9"/>
      <c r="BA15" s="9"/>
      <c r="BB15" s="10"/>
      <c r="BC15" s="11"/>
      <c r="BD15" s="12"/>
      <c r="BE15" s="12"/>
      <c r="BF15" s="12"/>
      <c r="BG15" s="13"/>
      <c r="BH15" s="9"/>
      <c r="BI15" s="9"/>
      <c r="BJ15" s="9"/>
      <c r="BK15" s="9"/>
      <c r="BL15" s="10"/>
      <c r="BM15" s="11"/>
      <c r="BN15" s="12"/>
      <c r="BO15" s="12"/>
      <c r="BP15" s="12"/>
      <c r="BQ15" s="13"/>
      <c r="BR15" s="9"/>
      <c r="BS15" s="9"/>
      <c r="BT15" s="9"/>
      <c r="BU15" s="9"/>
      <c r="BV15" s="10"/>
      <c r="BW15" s="11"/>
      <c r="BX15" s="12"/>
      <c r="BY15" s="12"/>
      <c r="BZ15" s="12"/>
      <c r="CA15" s="13"/>
      <c r="CB15" s="9"/>
      <c r="CC15" s="9"/>
      <c r="CD15" s="9"/>
      <c r="CE15" s="9"/>
      <c r="CF15" s="10"/>
      <c r="CG15" s="11"/>
      <c r="CH15" s="12"/>
      <c r="CI15" s="12"/>
      <c r="CJ15" s="12"/>
      <c r="CK15" s="13"/>
      <c r="CL15" s="9"/>
      <c r="CM15" s="9"/>
      <c r="CN15" s="9"/>
      <c r="CO15" s="9"/>
      <c r="CP15" s="10"/>
      <c r="CQ15" s="11"/>
      <c r="CR15" s="12"/>
      <c r="CS15" s="12"/>
      <c r="CT15" s="12"/>
      <c r="CU15" s="13"/>
      <c r="CV15" s="9"/>
      <c r="CW15" s="9"/>
      <c r="CX15" s="9"/>
      <c r="CY15" s="9"/>
      <c r="CZ15" s="10"/>
      <c r="DA15" s="11"/>
      <c r="DB15" s="12"/>
      <c r="DC15" s="12"/>
      <c r="DD15" s="12"/>
      <c r="DE15" s="13"/>
      <c r="DF15" s="9"/>
      <c r="DG15" s="9"/>
      <c r="DH15" s="9"/>
      <c r="DI15" s="9"/>
      <c r="DJ15" s="10"/>
      <c r="DK15" s="11"/>
      <c r="DL15" s="12"/>
      <c r="DM15" s="12"/>
      <c r="DN15" s="12"/>
      <c r="DO15" s="13"/>
      <c r="DP15" s="9"/>
      <c r="DQ15" s="9"/>
      <c r="DR15" s="9"/>
      <c r="DS15" s="9"/>
      <c r="DT15" s="10"/>
      <c r="DU15" s="11"/>
      <c r="DV15" s="12"/>
      <c r="DW15" s="12"/>
      <c r="DX15" s="12"/>
      <c r="DY15" s="13"/>
      <c r="DZ15" s="9"/>
      <c r="EA15" s="9"/>
      <c r="EB15" s="9"/>
      <c r="EC15" s="9"/>
      <c r="ED15" s="10"/>
      <c r="EE15" s="11"/>
      <c r="EF15" s="12"/>
      <c r="EG15" s="12"/>
      <c r="EH15" s="12"/>
      <c r="EI15" s="13"/>
      <c r="EJ15" s="9"/>
      <c r="EK15" s="9"/>
      <c r="EL15" s="9"/>
      <c r="EM15" s="9"/>
      <c r="EN15" s="10"/>
      <c r="EO15" s="11"/>
      <c r="EP15" s="12"/>
      <c r="EQ15" s="12"/>
      <c r="ER15" s="12"/>
      <c r="ES15" s="13"/>
      <c r="ET15" s="9"/>
      <c r="EU15" s="9"/>
      <c r="EV15" s="9"/>
      <c r="EW15" s="9"/>
      <c r="EX15" s="10"/>
      <c r="EY15" s="11"/>
      <c r="EZ15" s="12"/>
      <c r="FA15" s="12"/>
      <c r="FB15" s="12"/>
      <c r="FC15" s="13"/>
      <c r="FD15" s="9"/>
      <c r="FE15" s="9"/>
      <c r="FF15" s="9"/>
      <c r="FG15" s="9"/>
      <c r="FH15" s="10"/>
      <c r="FI15" s="11"/>
      <c r="FJ15" s="12"/>
      <c r="FK15" s="12"/>
      <c r="FL15" s="12"/>
      <c r="FM15" s="13"/>
      <c r="FN15" s="9"/>
      <c r="FO15" s="9"/>
      <c r="FP15" s="9"/>
      <c r="FQ15" s="9"/>
      <c r="FR15" s="10"/>
      <c r="FS15" s="11"/>
      <c r="FT15" s="12"/>
      <c r="FU15" s="12"/>
      <c r="FV15" s="12"/>
      <c r="FW15" s="13"/>
      <c r="FX15" s="9"/>
      <c r="FY15" s="9"/>
      <c r="FZ15" s="9"/>
      <c r="GA15" s="9"/>
      <c r="GB15" s="10"/>
      <c r="GC15" s="11"/>
      <c r="GD15" s="12"/>
      <c r="GE15" s="12"/>
      <c r="GF15" s="12"/>
      <c r="GG15" s="13"/>
      <c r="GH15" s="9"/>
      <c r="GI15" s="9"/>
      <c r="GJ15" s="9"/>
      <c r="GK15" s="9"/>
      <c r="GL15" s="10"/>
      <c r="GM15" s="11"/>
      <c r="GN15" s="12"/>
      <c r="GO15" s="12"/>
      <c r="GP15" s="12"/>
      <c r="GQ15" s="13"/>
      <c r="GR15" s="9"/>
      <c r="GS15" s="9"/>
      <c r="GT15" s="9"/>
      <c r="GU15" s="9"/>
      <c r="GV15" s="10"/>
      <c r="GW15" s="11"/>
      <c r="GX15" s="12"/>
      <c r="GY15" s="12"/>
      <c r="GZ15" s="12"/>
      <c r="HA15" s="13"/>
      <c r="HB15" s="9"/>
      <c r="HC15" s="9"/>
      <c r="HD15" s="9"/>
      <c r="HE15" s="9"/>
      <c r="HF15" s="10"/>
      <c r="HG15" s="11"/>
      <c r="HH15" s="12"/>
      <c r="HI15" s="12"/>
      <c r="HJ15" s="12"/>
      <c r="HK15" s="13"/>
      <c r="HL15" s="9"/>
      <c r="HM15" s="9"/>
      <c r="HN15" s="9"/>
      <c r="HO15" s="9"/>
      <c r="HP15" s="10"/>
      <c r="HQ15" s="11"/>
      <c r="HR15" s="12"/>
      <c r="HS15" s="12"/>
      <c r="HT15" s="12"/>
      <c r="HU15" s="13"/>
      <c r="HV15" s="9"/>
      <c r="HW15" s="9"/>
      <c r="HX15" s="9"/>
      <c r="HY15" s="9"/>
      <c r="HZ15" s="10"/>
      <c r="IA15" s="11"/>
      <c r="IB15" s="12"/>
      <c r="IC15" s="12"/>
      <c r="ID15" s="12"/>
      <c r="IE15" s="13"/>
      <c r="IF15" s="9"/>
      <c r="IG15" s="9"/>
      <c r="IH15" s="9"/>
      <c r="II15" s="9"/>
      <c r="IJ15" s="10"/>
      <c r="IK15" s="11"/>
      <c r="IL15" s="12"/>
      <c r="IM15" s="12"/>
      <c r="IN15" s="12"/>
      <c r="IO15" s="13"/>
      <c r="IP15" s="9"/>
      <c r="IQ15" s="9"/>
      <c r="IR15" s="9"/>
      <c r="IS15" s="9"/>
      <c r="IT15" s="10"/>
      <c r="IU15" s="11"/>
      <c r="IV15" s="12"/>
      <c r="IW15" s="12"/>
      <c r="IX15" s="12"/>
      <c r="IY15" s="13"/>
      <c r="IZ15" s="9"/>
      <c r="JA15" s="9"/>
      <c r="JB15" s="9"/>
      <c r="JC15" s="9"/>
      <c r="JD15" s="10"/>
      <c r="JE15" s="11"/>
      <c r="JF15" s="12"/>
      <c r="JG15" s="12"/>
      <c r="JH15" s="12"/>
      <c r="JI15" s="13"/>
      <c r="JJ15" s="9"/>
      <c r="JK15" s="9"/>
      <c r="JL15" s="9"/>
      <c r="JM15" s="9"/>
      <c r="JN15" s="10"/>
      <c r="JO15" s="11"/>
      <c r="JP15" s="12"/>
      <c r="JQ15" s="12"/>
      <c r="JR15" s="12"/>
      <c r="JS15" s="13"/>
      <c r="JT15" s="9"/>
      <c r="JU15" s="9"/>
      <c r="JV15" s="9"/>
      <c r="JW15" s="9"/>
      <c r="JX15" s="10"/>
      <c r="JY15" s="11"/>
      <c r="JZ15" s="12"/>
      <c r="KA15" s="12"/>
      <c r="KB15" s="12"/>
      <c r="KC15" s="13"/>
      <c r="KD15" s="9"/>
      <c r="KE15" s="9"/>
      <c r="KF15" s="9"/>
      <c r="KG15" s="9"/>
      <c r="KH15" s="10"/>
      <c r="KI15" s="11"/>
      <c r="KJ15" s="12"/>
      <c r="KK15" s="12"/>
      <c r="KL15" s="12"/>
      <c r="KM15" s="13"/>
      <c r="KN15" s="9"/>
      <c r="KO15" s="9"/>
      <c r="KP15" s="9"/>
      <c r="KQ15" s="9"/>
      <c r="KR15" s="10"/>
      <c r="KS15" s="11"/>
      <c r="KT15" s="12"/>
      <c r="KU15" s="12"/>
      <c r="KV15" s="12"/>
      <c r="KW15" s="13"/>
      <c r="KX15" s="9"/>
      <c r="KY15" s="9"/>
      <c r="KZ15" s="9"/>
      <c r="LA15" s="9"/>
      <c r="LB15" s="10"/>
      <c r="LC15" s="11"/>
      <c r="LD15" s="12"/>
      <c r="LE15" s="12"/>
      <c r="LF15" s="12"/>
      <c r="LG15" s="13"/>
      <c r="LH15" s="9"/>
      <c r="LI15" s="9"/>
      <c r="LJ15" s="9"/>
      <c r="LK15" s="9"/>
      <c r="LL15" s="10"/>
      <c r="LM15" s="11"/>
      <c r="LN15" s="12"/>
      <c r="LO15" s="12"/>
      <c r="LP15" s="12"/>
      <c r="LQ15" s="13"/>
      <c r="LR15" s="9"/>
      <c r="LS15" s="9"/>
      <c r="LT15" s="9"/>
      <c r="LU15" s="9"/>
      <c r="LV15" s="10"/>
      <c r="LW15" s="11"/>
      <c r="LX15" s="12"/>
      <c r="LY15" s="12"/>
      <c r="LZ15" s="12"/>
      <c r="MA15" s="13"/>
      <c r="MB15" s="9"/>
      <c r="MC15" s="9"/>
      <c r="MD15" s="9"/>
      <c r="ME15" s="9"/>
      <c r="MF15" s="10"/>
      <c r="MG15" s="11"/>
      <c r="MH15" s="12"/>
      <c r="MI15" s="12"/>
      <c r="MJ15" s="12"/>
      <c r="MK15" s="13"/>
      <c r="ML15" s="9"/>
      <c r="MM15" s="9"/>
      <c r="MN15" s="9"/>
      <c r="MO15" s="9"/>
      <c r="MP15" s="10"/>
      <c r="MQ15" s="11"/>
      <c r="MR15" s="12"/>
      <c r="MS15" s="12"/>
      <c r="MT15" s="12"/>
      <c r="MU15" s="13"/>
      <c r="MV15" s="9"/>
      <c r="MW15" s="9"/>
      <c r="MX15" s="9"/>
      <c r="MY15" s="9"/>
      <c r="MZ15" s="10"/>
      <c r="NA15" s="11"/>
      <c r="NB15" s="12"/>
      <c r="NC15" s="12"/>
      <c r="ND15" s="12"/>
      <c r="NE15" s="13"/>
      <c r="NF15" s="9"/>
      <c r="NG15" s="9"/>
      <c r="NH15" s="9"/>
      <c r="NI15" s="9"/>
      <c r="NJ15" s="10"/>
      <c r="NK15" s="11"/>
      <c r="NL15" s="12"/>
      <c r="NM15" s="12"/>
      <c r="NN15" s="12"/>
      <c r="NO15" s="13"/>
      <c r="NP15" s="9"/>
      <c r="NQ15" s="9"/>
      <c r="NR15" s="9"/>
      <c r="NS15" s="9"/>
      <c r="NT15" s="10"/>
      <c r="NU15" s="11"/>
      <c r="NV15" s="12"/>
      <c r="NW15" s="12"/>
      <c r="NX15" s="12"/>
      <c r="NY15" s="13"/>
      <c r="NZ15" s="9"/>
      <c r="OA15" s="9"/>
      <c r="OB15" s="9"/>
      <c r="OC15" s="9"/>
      <c r="OD15" s="10"/>
      <c r="OE15" s="11"/>
      <c r="OF15" s="12"/>
      <c r="OG15" s="12"/>
      <c r="OH15" s="12"/>
      <c r="OI15" s="13"/>
      <c r="OJ15" s="9"/>
      <c r="OK15" s="9"/>
      <c r="OL15" s="9"/>
      <c r="OM15" s="9"/>
      <c r="ON15" s="10"/>
      <c r="OO15" s="11"/>
      <c r="OP15" s="12"/>
      <c r="OQ15" s="12"/>
      <c r="OR15" s="12"/>
      <c r="OS15" s="13"/>
      <c r="OT15" s="9"/>
      <c r="OU15" s="9"/>
      <c r="OV15" s="9"/>
      <c r="OW15" s="9"/>
      <c r="OX15" s="10"/>
      <c r="OY15" s="11"/>
      <c r="OZ15" s="12"/>
      <c r="PA15" s="12"/>
      <c r="PB15" s="12"/>
      <c r="PC15" s="13"/>
      <c r="PD15" s="9"/>
      <c r="PE15" s="9"/>
      <c r="PF15" s="9"/>
      <c r="PG15" s="9"/>
      <c r="PH15" s="10"/>
      <c r="PI15" s="11"/>
      <c r="PJ15" s="12"/>
      <c r="PK15" s="12"/>
      <c r="PL15" s="12"/>
      <c r="PM15" s="13"/>
      <c r="PN15" s="9"/>
      <c r="PO15" s="9"/>
      <c r="PP15" s="9"/>
      <c r="PQ15" s="9"/>
      <c r="PR15" s="10"/>
      <c r="PS15" s="11"/>
      <c r="PT15" s="12"/>
      <c r="PU15" s="12"/>
      <c r="PV15" s="12"/>
      <c r="PW15" s="13"/>
      <c r="PX15" s="9"/>
      <c r="PY15" s="9"/>
      <c r="PZ15" s="9"/>
      <c r="QA15" s="9"/>
      <c r="QB15" s="10"/>
      <c r="QC15" s="11"/>
      <c r="QD15" s="12"/>
      <c r="QE15" s="12"/>
      <c r="QF15" s="12"/>
      <c r="QG15" s="13"/>
      <c r="QH15" s="9"/>
      <c r="QI15" s="9"/>
      <c r="QJ15" s="9"/>
      <c r="QK15" s="9"/>
      <c r="QL15" s="10"/>
      <c r="QM15" s="11"/>
      <c r="QN15" s="12"/>
      <c r="QO15" s="12"/>
      <c r="QP15" s="12"/>
      <c r="QQ15" s="13"/>
      <c r="QR15" s="9"/>
      <c r="QS15" s="9"/>
      <c r="QT15" s="9"/>
      <c r="QU15" s="9"/>
      <c r="QV15" s="10"/>
      <c r="QW15" s="11"/>
      <c r="QX15" s="12"/>
      <c r="QY15" s="12"/>
      <c r="QZ15" s="12"/>
      <c r="RA15" s="13"/>
      <c r="RB15" s="9"/>
      <c r="RC15" s="9"/>
      <c r="RD15" s="9"/>
      <c r="RE15" s="9"/>
      <c r="RF15" s="10"/>
      <c r="RG15" s="11"/>
      <c r="RH15" s="12"/>
      <c r="RI15" s="12"/>
      <c r="RJ15" s="12"/>
      <c r="RK15" s="13"/>
      <c r="RL15" s="9"/>
      <c r="RM15" s="9"/>
      <c r="RN15" s="9"/>
      <c r="RO15" s="9"/>
      <c r="RP15" s="10"/>
      <c r="RQ15" s="11"/>
      <c r="RR15" s="12"/>
      <c r="RS15" s="12"/>
      <c r="RT15" s="12"/>
      <c r="RU15" s="13"/>
      <c r="RV15" s="9"/>
      <c r="RW15" s="9"/>
      <c r="RX15" s="9"/>
      <c r="RY15" s="9"/>
      <c r="RZ15" s="10"/>
      <c r="SA15" s="11"/>
      <c r="SB15" s="12"/>
      <c r="SC15" s="12"/>
      <c r="SD15" s="12"/>
      <c r="SE15" s="13"/>
      <c r="SF15" s="9"/>
      <c r="SG15" s="9"/>
      <c r="SH15" s="9"/>
      <c r="SI15" s="9"/>
      <c r="SJ15" s="10"/>
      <c r="SK15" s="11"/>
      <c r="SL15" s="12"/>
      <c r="SM15" s="12"/>
      <c r="SN15" s="12"/>
      <c r="SO15" s="13"/>
      <c r="SP15" s="9"/>
      <c r="SQ15" s="9"/>
      <c r="SR15" s="9"/>
      <c r="SS15" s="9"/>
      <c r="ST15" s="10"/>
      <c r="SU15" s="11"/>
      <c r="SV15" s="12"/>
      <c r="SW15" s="12"/>
      <c r="SX15" s="12"/>
      <c r="SY15" s="13"/>
      <c r="SZ15" s="9"/>
      <c r="TA15" s="9"/>
      <c r="TB15" s="9"/>
      <c r="TC15" s="9"/>
      <c r="TD15" s="10"/>
      <c r="TE15" s="11"/>
      <c r="TF15" s="12"/>
      <c r="TG15" s="12"/>
      <c r="TH15" s="12"/>
      <c r="TI15" s="13"/>
      <c r="TJ15" s="9"/>
      <c r="TK15" s="9"/>
      <c r="TL15" s="9"/>
      <c r="TM15" s="9"/>
      <c r="TN15" s="10"/>
      <c r="TO15" s="11"/>
      <c r="TP15" s="12"/>
      <c r="TQ15" s="12"/>
      <c r="TR15" s="12"/>
      <c r="TS15" s="13"/>
      <c r="TT15" s="9"/>
      <c r="TU15" s="9"/>
      <c r="TV15" s="9"/>
      <c r="TW15" s="9"/>
      <c r="TX15" s="10"/>
      <c r="TY15" s="11"/>
      <c r="TZ15" s="12"/>
      <c r="UA15" s="12"/>
      <c r="UB15" s="12"/>
      <c r="UC15" s="13"/>
      <c r="UD15" s="9"/>
      <c r="UE15" s="9"/>
      <c r="UF15" s="9"/>
      <c r="UG15" s="9"/>
      <c r="UH15" s="10"/>
      <c r="UI15" s="11"/>
      <c r="UJ15" s="12"/>
      <c r="UK15" s="12"/>
      <c r="UL15" s="12"/>
      <c r="UM15" s="13"/>
      <c r="UN15" s="9"/>
      <c r="UO15" s="9"/>
      <c r="UP15" s="9"/>
      <c r="UQ15" s="9"/>
      <c r="UR15" s="10"/>
      <c r="US15" s="11"/>
      <c r="UT15" s="12"/>
      <c r="UU15" s="12"/>
      <c r="UV15" s="12"/>
      <c r="UW15" s="13"/>
      <c r="UX15" s="9"/>
      <c r="UY15" s="9"/>
      <c r="UZ15" s="9"/>
      <c r="VA15" s="9"/>
      <c r="VB15" s="10"/>
      <c r="VC15" s="11"/>
      <c r="VD15" s="12"/>
      <c r="VE15" s="12"/>
      <c r="VF15" s="12"/>
      <c r="VG15" s="13"/>
      <c r="VH15" s="9"/>
      <c r="VI15" s="9"/>
      <c r="VJ15" s="9"/>
      <c r="VK15" s="9"/>
      <c r="VL15" s="10"/>
      <c r="VM15" s="11"/>
      <c r="VN15" s="12"/>
      <c r="VO15" s="12"/>
      <c r="VP15" s="12"/>
      <c r="VQ15" s="13"/>
      <c r="VR15" s="9"/>
      <c r="VS15" s="9"/>
      <c r="VT15" s="9"/>
      <c r="VU15" s="9"/>
      <c r="VV15" s="10"/>
      <c r="VW15" s="11"/>
      <c r="VX15" s="12"/>
      <c r="VY15" s="12"/>
      <c r="VZ15" s="12"/>
      <c r="WA15" s="13"/>
      <c r="WB15" s="9"/>
      <c r="WC15" s="9"/>
      <c r="WD15" s="9"/>
      <c r="WE15" s="9"/>
      <c r="WF15" s="10"/>
      <c r="WG15" s="11"/>
      <c r="WH15" s="12"/>
      <c r="WI15" s="12"/>
      <c r="WJ15" s="12"/>
      <c r="WK15" s="13"/>
      <c r="WL15" s="9"/>
      <c r="WM15" s="9"/>
      <c r="WN15" s="9"/>
      <c r="WO15" s="9"/>
      <c r="WP15" s="10"/>
      <c r="WQ15" s="11"/>
      <c r="WR15" s="12"/>
      <c r="WS15" s="12"/>
      <c r="WT15" s="12"/>
      <c r="WU15" s="13"/>
      <c r="WV15" s="9"/>
      <c r="WW15" s="9"/>
      <c r="WX15" s="9"/>
      <c r="WY15" s="9"/>
      <c r="WZ15" s="10"/>
      <c r="XA15" s="11"/>
      <c r="XB15" s="12"/>
      <c r="XC15" s="12"/>
      <c r="XD15" s="12"/>
      <c r="XE15" s="13"/>
      <c r="XF15" s="9"/>
      <c r="XG15" s="9"/>
      <c r="XH15" s="9"/>
      <c r="XI15" s="9"/>
      <c r="XJ15" s="10"/>
      <c r="XK15" s="11"/>
      <c r="XL15" s="12"/>
      <c r="XM15" s="12"/>
      <c r="XN15" s="12"/>
      <c r="XO15" s="13"/>
      <c r="XP15" s="9"/>
      <c r="XQ15" s="9"/>
      <c r="XR15" s="9"/>
      <c r="XS15" s="9"/>
      <c r="XT15" s="10"/>
      <c r="XU15" s="11"/>
      <c r="XV15" s="12"/>
      <c r="XW15" s="12"/>
      <c r="XX15" s="12"/>
      <c r="XY15" s="13"/>
      <c r="XZ15" s="9"/>
      <c r="YA15" s="9"/>
      <c r="YB15" s="9"/>
      <c r="YC15" s="9"/>
      <c r="YD15" s="10"/>
      <c r="YE15" s="11"/>
      <c r="YF15" s="12"/>
      <c r="YG15" s="12"/>
      <c r="YH15" s="12"/>
      <c r="YI15" s="13"/>
      <c r="YJ15" s="9"/>
      <c r="YK15" s="9"/>
      <c r="YL15" s="9"/>
      <c r="YM15" s="9"/>
      <c r="YN15" s="10"/>
      <c r="YO15" s="11"/>
      <c r="YP15" s="12"/>
      <c r="YQ15" s="12"/>
      <c r="YR15" s="12"/>
      <c r="YS15" s="13"/>
      <c r="YT15" s="9"/>
      <c r="YU15" s="9"/>
      <c r="YV15" s="9"/>
      <c r="YW15" s="9"/>
      <c r="YX15" s="10"/>
      <c r="YY15" s="11"/>
      <c r="YZ15" s="12"/>
      <c r="ZA15" s="12"/>
      <c r="ZB15" s="12"/>
      <c r="ZC15" s="13"/>
      <c r="ZD15" s="9"/>
      <c r="ZE15" s="9"/>
      <c r="ZF15" s="9"/>
      <c r="ZG15" s="9"/>
      <c r="ZH15" s="10"/>
      <c r="ZI15" s="11"/>
      <c r="ZJ15" s="12"/>
      <c r="ZK15" s="12"/>
      <c r="ZL15" s="12"/>
      <c r="ZM15" s="13"/>
      <c r="ZN15" s="9"/>
      <c r="ZO15" s="9"/>
      <c r="ZP15" s="9"/>
      <c r="ZQ15" s="9"/>
      <c r="ZR15" s="10"/>
      <c r="ZS15" s="11"/>
      <c r="ZT15" s="12"/>
      <c r="ZU15" s="12"/>
      <c r="ZV15" s="12"/>
      <c r="ZW15" s="13"/>
      <c r="ZX15" s="9"/>
      <c r="ZY15" s="9"/>
      <c r="ZZ15" s="9"/>
      <c r="AAA15" s="9"/>
      <c r="AAB15" s="10"/>
      <c r="AAC15" s="11"/>
      <c r="AAD15" s="12"/>
      <c r="AAE15" s="12"/>
      <c r="AAF15" s="12"/>
      <c r="AAG15" s="13"/>
      <c r="AAH15" s="9"/>
      <c r="AAI15" s="9"/>
      <c r="AAJ15" s="9"/>
      <c r="AAK15" s="9"/>
      <c r="AAL15" s="10"/>
      <c r="AAM15" s="11"/>
      <c r="AAN15" s="12"/>
      <c r="AAO15" s="12"/>
      <c r="AAP15" s="12"/>
      <c r="AAQ15" s="13"/>
      <c r="AAR15" s="9"/>
      <c r="AAS15" s="9"/>
      <c r="AAT15" s="9"/>
      <c r="AAU15" s="9"/>
      <c r="AAV15" s="10"/>
      <c r="AAW15" s="11"/>
      <c r="AAX15" s="12"/>
      <c r="AAY15" s="12"/>
      <c r="AAZ15" s="12"/>
      <c r="ABA15" s="13"/>
      <c r="ABB15" s="9"/>
      <c r="ABC15" s="9"/>
      <c r="ABD15" s="9"/>
      <c r="ABE15" s="9"/>
      <c r="ABF15" s="10"/>
      <c r="ABG15" s="11"/>
      <c r="ABH15" s="12"/>
      <c r="ABI15" s="12"/>
      <c r="ABJ15" s="12"/>
      <c r="ABK15" s="13"/>
      <c r="ABL15" s="9"/>
      <c r="ABM15" s="9"/>
      <c r="ABN15" s="9"/>
      <c r="ABO15" s="9"/>
      <c r="ABP15" s="10"/>
      <c r="ABQ15" s="11"/>
      <c r="ABR15" s="12"/>
      <c r="ABS15" s="12"/>
      <c r="ABT15" s="12"/>
      <c r="ABU15" s="13"/>
      <c r="ABV15" s="9"/>
      <c r="ABW15" s="9"/>
      <c r="ABX15" s="9"/>
      <c r="ABY15" s="9"/>
      <c r="ABZ15" s="10"/>
      <c r="ACA15" s="11"/>
      <c r="ACB15" s="12"/>
      <c r="ACC15" s="12"/>
      <c r="ACD15" s="12"/>
      <c r="ACE15" s="13"/>
      <c r="ACF15" s="9"/>
      <c r="ACG15" s="9"/>
      <c r="ACH15" s="9"/>
      <c r="ACI15" s="9"/>
      <c r="ACJ15" s="10"/>
      <c r="ACK15" s="11"/>
      <c r="ACL15" s="12"/>
      <c r="ACM15" s="12"/>
      <c r="ACN15" s="12"/>
      <c r="ACO15" s="13"/>
      <c r="ACP15" s="9"/>
      <c r="ACQ15" s="9"/>
      <c r="ACR15" s="9"/>
      <c r="ACS15" s="9"/>
      <c r="ACT15" s="10"/>
      <c r="ACU15" s="11"/>
      <c r="ACV15" s="12"/>
      <c r="ACW15" s="12"/>
      <c r="ACX15" s="12"/>
      <c r="ACY15" s="13"/>
      <c r="ACZ15" s="9"/>
      <c r="ADA15" s="9"/>
      <c r="ADB15" s="9"/>
      <c r="ADC15" s="9"/>
      <c r="ADD15" s="10"/>
      <c r="ADE15" s="11"/>
      <c r="ADF15" s="12"/>
      <c r="ADG15" s="12"/>
      <c r="ADH15" s="12"/>
      <c r="ADI15" s="13"/>
      <c r="ADJ15" s="9"/>
      <c r="ADK15" s="9"/>
      <c r="ADL15" s="9"/>
      <c r="ADM15" s="9"/>
      <c r="ADN15" s="10"/>
      <c r="ADO15" s="11"/>
      <c r="ADP15" s="12"/>
      <c r="ADQ15" s="12"/>
      <c r="ADR15" s="12"/>
      <c r="ADS15" s="13"/>
      <c r="ADT15" s="9"/>
      <c r="ADU15" s="9"/>
      <c r="ADV15" s="9"/>
      <c r="ADW15" s="9"/>
      <c r="ADX15" s="10"/>
      <c r="ADY15" s="11"/>
      <c r="ADZ15" s="12"/>
      <c r="AEA15" s="12"/>
      <c r="AEB15" s="12"/>
      <c r="AEC15" s="13"/>
      <c r="AED15" s="9"/>
      <c r="AEE15" s="9"/>
      <c r="AEF15" s="9"/>
      <c r="AEG15" s="9"/>
      <c r="AEH15" s="10"/>
      <c r="AEI15" s="11"/>
      <c r="AEJ15" s="12"/>
      <c r="AEK15" s="12"/>
      <c r="AEL15" s="12"/>
      <c r="AEM15" s="13"/>
      <c r="AEN15" s="9"/>
      <c r="AEO15" s="9"/>
      <c r="AEP15" s="9"/>
      <c r="AEQ15" s="9"/>
      <c r="AER15" s="10"/>
      <c r="AES15" s="11"/>
      <c r="AET15" s="12"/>
      <c r="AEU15" s="12"/>
      <c r="AEV15" s="12"/>
      <c r="AEW15" s="13"/>
      <c r="AEX15" s="9"/>
      <c r="AEY15" s="9"/>
      <c r="AEZ15" s="9"/>
      <c r="AFA15" s="9"/>
      <c r="AFB15" s="10"/>
      <c r="AFC15" s="11"/>
      <c r="AFD15" s="12"/>
      <c r="AFE15" s="12"/>
      <c r="AFF15" s="12"/>
      <c r="AFG15" s="13"/>
      <c r="AFH15" s="9"/>
      <c r="AFI15" s="9"/>
      <c r="AFJ15" s="9"/>
      <c r="AFK15" s="9"/>
      <c r="AFL15" s="10"/>
      <c r="AFM15" s="11"/>
      <c r="AFN15" s="12"/>
      <c r="AFO15" s="12"/>
      <c r="AFP15" s="12"/>
      <c r="AFQ15" s="13"/>
      <c r="AFR15" s="9"/>
      <c r="AFS15" s="9"/>
      <c r="AFT15" s="9"/>
      <c r="AFU15" s="9"/>
      <c r="AFV15" s="10"/>
      <c r="AFW15" s="11"/>
      <c r="AFX15" s="12"/>
      <c r="AFY15" s="12"/>
      <c r="AFZ15" s="12"/>
      <c r="AGA15" s="13"/>
      <c r="AGB15" s="9"/>
      <c r="AGC15" s="9"/>
      <c r="AGD15" s="9"/>
      <c r="AGE15" s="9"/>
      <c r="AGF15" s="10"/>
      <c r="AGG15" s="11"/>
      <c r="AGH15" s="12"/>
      <c r="AGI15" s="12"/>
      <c r="AGJ15" s="12"/>
      <c r="AGK15" s="13"/>
      <c r="AGL15" s="9"/>
      <c r="AGM15" s="9"/>
      <c r="AGN15" s="9"/>
      <c r="AGO15" s="9"/>
      <c r="AGP15" s="10"/>
      <c r="AGQ15" s="11"/>
      <c r="AGR15" s="12"/>
      <c r="AGS15" s="12"/>
      <c r="AGT15" s="12"/>
      <c r="AGU15" s="13"/>
      <c r="AGV15" s="9"/>
      <c r="AGW15" s="9"/>
      <c r="AGX15" s="9"/>
      <c r="AGY15" s="9"/>
      <c r="AGZ15" s="10"/>
      <c r="AHA15" s="11"/>
      <c r="AHB15" s="12"/>
      <c r="AHC15" s="12"/>
      <c r="AHD15" s="12"/>
      <c r="AHE15" s="13"/>
      <c r="AHF15" s="9"/>
      <c r="AHG15" s="9"/>
      <c r="AHH15" s="9"/>
      <c r="AHI15" s="9"/>
      <c r="AHJ15" s="10"/>
      <c r="AHK15" s="11"/>
      <c r="AHL15" s="12"/>
      <c r="AHM15" s="12"/>
      <c r="AHN15" s="12"/>
      <c r="AHO15" s="13"/>
      <c r="AHP15" s="9"/>
      <c r="AHQ15" s="9"/>
      <c r="AHR15" s="9"/>
      <c r="AHS15" s="9"/>
      <c r="AHT15" s="10"/>
      <c r="AHU15" s="11"/>
      <c r="AHV15" s="12"/>
      <c r="AHW15" s="12"/>
      <c r="AHX15" s="12"/>
      <c r="AHY15" s="13"/>
      <c r="AHZ15" s="9"/>
      <c r="AIA15" s="9"/>
      <c r="AIB15" s="9"/>
      <c r="AIC15" s="9"/>
      <c r="AID15" s="10"/>
      <c r="AIE15" s="11"/>
      <c r="AIF15" s="12"/>
      <c r="AIG15" s="12"/>
      <c r="AIH15" s="12"/>
      <c r="AII15" s="13"/>
      <c r="AIJ15" s="9"/>
      <c r="AIK15" s="9"/>
      <c r="AIL15" s="9"/>
      <c r="AIM15" s="9"/>
      <c r="AIN15" s="10"/>
      <c r="AIO15" s="11"/>
      <c r="AIP15" s="12"/>
      <c r="AIQ15" s="12"/>
      <c r="AIR15" s="12"/>
      <c r="AIS15" s="13"/>
      <c r="AIT15" s="9"/>
      <c r="AIU15" s="9"/>
      <c r="AIV15" s="9"/>
      <c r="AIW15" s="9"/>
      <c r="AIX15" s="10"/>
      <c r="AIY15" s="11"/>
      <c r="AIZ15" s="12"/>
      <c r="AJA15" s="12"/>
      <c r="AJB15" s="12"/>
      <c r="AJC15" s="13"/>
      <c r="AJD15" s="9"/>
      <c r="AJE15" s="9"/>
      <c r="AJF15" s="9"/>
      <c r="AJG15" s="9"/>
      <c r="AJH15" s="10"/>
      <c r="AJI15" s="11"/>
      <c r="AJJ15" s="12"/>
      <c r="AJK15" s="12"/>
      <c r="AJL15" s="12"/>
      <c r="AJM15" s="13"/>
      <c r="AJN15" s="9"/>
      <c r="AJO15" s="9"/>
      <c r="AJP15" s="9"/>
      <c r="AJQ15" s="9"/>
      <c r="AJR15" s="10"/>
      <c r="AJS15" s="11"/>
      <c r="AJT15" s="12"/>
      <c r="AJU15" s="12"/>
      <c r="AJV15" s="12"/>
      <c r="AJW15" s="13"/>
      <c r="AJX15" s="9"/>
      <c r="AJY15" s="9"/>
      <c r="AJZ15" s="9"/>
      <c r="AKA15" s="9"/>
      <c r="AKB15" s="10"/>
      <c r="AKC15" s="11"/>
      <c r="AKD15" s="12"/>
      <c r="AKE15" s="12"/>
      <c r="AKF15" s="12"/>
      <c r="AKG15" s="13"/>
      <c r="AKH15" s="9"/>
      <c r="AKI15" s="9"/>
      <c r="AKJ15" s="9"/>
      <c r="AKK15" s="9"/>
      <c r="AKL15" s="10"/>
      <c r="AKM15" s="11"/>
      <c r="AKN15" s="12"/>
      <c r="AKO15" s="12"/>
      <c r="AKP15" s="12"/>
      <c r="AKQ15" s="13"/>
      <c r="AKR15" s="9"/>
      <c r="AKS15" s="9"/>
      <c r="AKT15" s="9"/>
      <c r="AKU15" s="9"/>
      <c r="AKV15" s="10"/>
      <c r="AKW15" s="11"/>
      <c r="AKX15" s="12"/>
      <c r="AKY15" s="12"/>
      <c r="AKZ15" s="12"/>
      <c r="ALA15" s="13"/>
      <c r="ALB15" s="9"/>
      <c r="ALC15" s="9"/>
      <c r="ALD15" s="9"/>
      <c r="ALE15" s="9"/>
      <c r="ALF15" s="10"/>
      <c r="ALG15" s="11"/>
      <c r="ALH15" s="12"/>
      <c r="ALI15" s="12"/>
      <c r="ALJ15" s="12"/>
      <c r="ALK15" s="13"/>
      <c r="ALL15" s="9"/>
      <c r="ALM15" s="9"/>
      <c r="ALN15" s="9"/>
      <c r="ALO15" s="9"/>
      <c r="ALP15" s="10"/>
      <c r="ALQ15" s="11"/>
      <c r="ALR15" s="12"/>
      <c r="ALS15" s="12"/>
      <c r="ALT15" s="12"/>
      <c r="ALU15" s="13"/>
      <c r="ALV15" s="9"/>
      <c r="ALW15" s="9"/>
      <c r="ALX15" s="9"/>
      <c r="ALY15" s="9"/>
      <c r="ALZ15" s="10"/>
      <c r="AMA15" s="11"/>
      <c r="AMB15" s="12"/>
      <c r="AMC15" s="12"/>
      <c r="AMD15" s="12"/>
      <c r="AME15" s="13"/>
      <c r="AMF15" s="9"/>
      <c r="AMG15" s="9"/>
      <c r="AMH15" s="9"/>
      <c r="AMI15" s="9"/>
      <c r="AMJ15" s="10"/>
      <c r="AMK15" s="11"/>
      <c r="AML15" s="12"/>
      <c r="AMM15" s="12"/>
      <c r="AMN15" s="12"/>
      <c r="AMO15" s="13"/>
      <c r="AMP15" s="9"/>
      <c r="AMQ15" s="9"/>
      <c r="AMR15" s="9"/>
      <c r="AMS15" s="9"/>
      <c r="AMT15" s="10"/>
      <c r="AMU15" s="11"/>
      <c r="AMV15" s="12"/>
      <c r="AMW15" s="12"/>
      <c r="AMX15" s="12"/>
      <c r="AMY15" s="13"/>
      <c r="AMZ15" s="9"/>
      <c r="ANA15" s="9"/>
      <c r="ANB15" s="9"/>
      <c r="ANC15" s="9"/>
      <c r="AND15" s="10"/>
      <c r="ANE15" s="11"/>
      <c r="ANF15" s="12"/>
      <c r="ANG15" s="12"/>
      <c r="ANH15" s="12"/>
      <c r="ANI15" s="13"/>
      <c r="ANJ15" s="9"/>
      <c r="ANK15" s="9"/>
      <c r="ANL15" s="9"/>
      <c r="ANM15" s="9"/>
      <c r="ANN15" s="10"/>
      <c r="ANO15" s="11"/>
      <c r="ANP15" s="12"/>
      <c r="ANQ15" s="12"/>
      <c r="ANR15" s="12"/>
      <c r="ANS15" s="13"/>
      <c r="ANT15" s="9"/>
      <c r="ANU15" s="9"/>
      <c r="ANV15" s="9"/>
      <c r="ANW15" s="9"/>
      <c r="ANX15" s="10"/>
      <c r="ANY15" s="11"/>
      <c r="ANZ15" s="12"/>
      <c r="AOA15" s="12"/>
      <c r="AOB15" s="12"/>
      <c r="AOC15" s="13"/>
      <c r="AOD15" s="9"/>
      <c r="AOE15" s="9"/>
      <c r="AOF15" s="9"/>
      <c r="AOG15" s="9"/>
      <c r="AOH15" s="10"/>
      <c r="AOI15" s="11"/>
      <c r="AOJ15" s="12"/>
      <c r="AOK15" s="12"/>
      <c r="AOL15" s="12"/>
      <c r="AOM15" s="13"/>
      <c r="AON15" s="9"/>
      <c r="AOO15" s="9"/>
      <c r="AOP15" s="9"/>
      <c r="AOQ15" s="9"/>
      <c r="AOR15" s="10"/>
      <c r="AOS15" s="11"/>
      <c r="AOT15" s="12"/>
      <c r="AOU15" s="12"/>
      <c r="AOV15" s="12"/>
      <c r="AOW15" s="13"/>
      <c r="AOX15" s="9"/>
      <c r="AOY15" s="9"/>
      <c r="AOZ15" s="9"/>
      <c r="APA15" s="9"/>
      <c r="APB15" s="10"/>
      <c r="APC15" s="11"/>
      <c r="APD15" s="12"/>
      <c r="APE15" s="12"/>
      <c r="APF15" s="12"/>
      <c r="APG15" s="13"/>
      <c r="APH15" s="9"/>
      <c r="API15" s="9"/>
      <c r="APJ15" s="9"/>
      <c r="APK15" s="9"/>
      <c r="APL15" s="10"/>
      <c r="APM15" s="11"/>
      <c r="APN15" s="12"/>
      <c r="APO15" s="12"/>
      <c r="APP15" s="12"/>
      <c r="APQ15" s="13"/>
      <c r="APR15" s="9"/>
      <c r="APS15" s="9"/>
      <c r="APT15" s="9"/>
      <c r="APU15" s="9"/>
      <c r="APV15" s="10"/>
      <c r="APW15" s="11"/>
      <c r="APX15" s="12"/>
      <c r="APY15" s="12"/>
      <c r="APZ15" s="12"/>
      <c r="AQA15" s="13"/>
      <c r="AQB15" s="9"/>
      <c r="AQC15" s="9"/>
      <c r="AQD15" s="9"/>
      <c r="AQE15" s="9"/>
      <c r="AQF15" s="10"/>
      <c r="AQG15" s="11"/>
      <c r="AQH15" s="12"/>
      <c r="AQI15" s="12"/>
      <c r="AQJ15" s="12"/>
      <c r="AQK15" s="13"/>
      <c r="AQL15" s="9"/>
      <c r="AQM15" s="9"/>
      <c r="AQN15" s="9"/>
      <c r="AQO15" s="9"/>
      <c r="AQP15" s="10"/>
      <c r="AQQ15" s="11"/>
      <c r="AQR15" s="12"/>
      <c r="AQS15" s="12"/>
      <c r="AQT15" s="12"/>
      <c r="AQU15" s="13"/>
      <c r="AQV15" s="9"/>
      <c r="AQW15" s="9"/>
      <c r="AQX15" s="9"/>
      <c r="AQY15" s="9"/>
      <c r="AQZ15" s="10"/>
      <c r="ARA15" s="11"/>
      <c r="ARB15" s="12"/>
      <c r="ARC15" s="12"/>
      <c r="ARD15" s="12"/>
      <c r="ARE15" s="13"/>
      <c r="ARF15" s="9"/>
      <c r="ARG15" s="9"/>
      <c r="ARH15" s="9"/>
      <c r="ARI15" s="9"/>
      <c r="ARJ15" s="10"/>
      <c r="ARK15" s="11"/>
      <c r="ARL15" s="12"/>
      <c r="ARM15" s="12"/>
      <c r="ARN15" s="12"/>
      <c r="ARO15" s="13"/>
      <c r="ARP15" s="9"/>
      <c r="ARQ15" s="9"/>
      <c r="ARR15" s="9"/>
      <c r="ARS15" s="9"/>
      <c r="ART15" s="10"/>
      <c r="ARU15" s="11"/>
      <c r="ARV15" s="12"/>
      <c r="ARW15" s="12"/>
      <c r="ARX15" s="12"/>
      <c r="ARY15" s="13"/>
      <c r="ARZ15" s="9"/>
      <c r="ASA15" s="9"/>
      <c r="ASB15" s="9"/>
      <c r="ASC15" s="9"/>
      <c r="ASD15" s="10"/>
      <c r="ASE15" s="11"/>
      <c r="ASF15" s="12"/>
      <c r="ASG15" s="12"/>
      <c r="ASH15" s="12"/>
      <c r="ASI15" s="13"/>
      <c r="ASJ15" s="9"/>
      <c r="ASK15" s="9"/>
      <c r="ASL15" s="9"/>
      <c r="ASM15" s="9"/>
      <c r="ASN15" s="10"/>
      <c r="ASO15" s="11"/>
      <c r="ASP15" s="12"/>
      <c r="ASQ15" s="12"/>
      <c r="ASR15" s="12"/>
      <c r="ASS15" s="13"/>
      <c r="AST15" s="9"/>
      <c r="ASU15" s="9"/>
      <c r="ASV15" s="9"/>
      <c r="ASW15" s="9"/>
      <c r="ASX15" s="10"/>
      <c r="ASY15" s="11"/>
      <c r="ASZ15" s="12"/>
      <c r="ATA15" s="12"/>
      <c r="ATB15" s="12"/>
      <c r="ATC15" s="13"/>
      <c r="ATD15" s="9"/>
      <c r="ATE15" s="9"/>
      <c r="ATF15" s="9"/>
      <c r="ATG15" s="9"/>
      <c r="ATH15" s="10"/>
      <c r="ATI15" s="11"/>
      <c r="ATJ15" s="12"/>
      <c r="ATK15" s="12"/>
      <c r="ATL15" s="12"/>
      <c r="ATM15" s="13"/>
      <c r="ATN15" s="9"/>
      <c r="ATO15" s="9"/>
      <c r="ATP15" s="9"/>
      <c r="ATQ15" s="9"/>
      <c r="ATR15" s="10"/>
      <c r="ATS15" s="11"/>
      <c r="ATT15" s="12"/>
      <c r="ATU15" s="12"/>
      <c r="ATV15" s="12"/>
      <c r="ATW15" s="13"/>
      <c r="ATX15" s="9"/>
      <c r="ATY15" s="9"/>
      <c r="ATZ15" s="9"/>
      <c r="AUA15" s="9"/>
      <c r="AUB15" s="10"/>
      <c r="AUC15" s="11"/>
      <c r="AUD15" s="12"/>
      <c r="AUE15" s="12"/>
      <c r="AUF15" s="12"/>
      <c r="AUG15" s="13"/>
      <c r="AUH15" s="9"/>
      <c r="AUI15" s="9"/>
      <c r="AUJ15" s="9"/>
      <c r="AUK15" s="9"/>
      <c r="AUL15" s="10"/>
      <c r="AUM15" s="11"/>
      <c r="AUN15" s="12"/>
      <c r="AUO15" s="12"/>
      <c r="AUP15" s="12"/>
      <c r="AUQ15" s="13"/>
      <c r="AUR15" s="9"/>
      <c r="AUS15" s="9"/>
      <c r="AUT15" s="9"/>
      <c r="AUU15" s="9"/>
      <c r="AUV15" s="10"/>
      <c r="AUW15" s="11"/>
      <c r="AUX15" s="12"/>
      <c r="AUY15" s="12"/>
      <c r="AUZ15" s="12"/>
      <c r="AVA15" s="13"/>
      <c r="AVB15" s="9"/>
      <c r="AVC15" s="9"/>
      <c r="AVD15" s="9"/>
      <c r="AVE15" s="9"/>
      <c r="AVF15" s="10"/>
      <c r="AVG15" s="11"/>
      <c r="AVH15" s="12"/>
      <c r="AVI15" s="12"/>
      <c r="AVJ15" s="12"/>
      <c r="AVK15" s="13"/>
      <c r="AVL15" s="9"/>
      <c r="AVM15" s="9"/>
      <c r="AVN15" s="9"/>
      <c r="AVO15" s="9"/>
      <c r="AVP15" s="10"/>
      <c r="AVQ15" s="11"/>
      <c r="AVR15" s="12"/>
      <c r="AVS15" s="12"/>
      <c r="AVT15" s="12"/>
      <c r="AVU15" s="13"/>
      <c r="AVV15" s="9"/>
      <c r="AVW15" s="9"/>
      <c r="AVX15" s="9"/>
      <c r="AVY15" s="9"/>
      <c r="AVZ15" s="10"/>
      <c r="AWA15" s="11"/>
      <c r="AWB15" s="12"/>
      <c r="AWC15" s="12"/>
      <c r="AWD15" s="12"/>
      <c r="AWE15" s="13"/>
      <c r="AWF15" s="9"/>
      <c r="AWG15" s="9"/>
      <c r="AWH15" s="9"/>
      <c r="AWI15" s="9"/>
      <c r="AWJ15" s="10"/>
      <c r="AWK15" s="11"/>
      <c r="AWL15" s="12"/>
      <c r="AWM15" s="12"/>
      <c r="AWN15" s="12"/>
      <c r="AWO15" s="13"/>
      <c r="AWP15" s="9"/>
      <c r="AWQ15" s="9"/>
      <c r="AWR15" s="9"/>
      <c r="AWS15" s="9"/>
      <c r="AWT15" s="10"/>
      <c r="AWU15" s="11"/>
      <c r="AWV15" s="12"/>
      <c r="AWW15" s="12"/>
      <c r="AWX15" s="12"/>
      <c r="AWY15" s="13"/>
      <c r="AWZ15" s="9"/>
      <c r="AXA15" s="9"/>
      <c r="AXB15" s="9"/>
      <c r="AXC15" s="9"/>
      <c r="AXD15" s="10"/>
      <c r="AXE15" s="11"/>
      <c r="AXF15" s="12"/>
      <c r="AXG15" s="12"/>
      <c r="AXH15" s="12"/>
      <c r="AXI15" s="13"/>
      <c r="AXJ15" s="9"/>
      <c r="AXK15" s="9"/>
      <c r="AXL15" s="9"/>
      <c r="AXM15" s="9"/>
      <c r="AXN15" s="10"/>
      <c r="AXO15" s="11"/>
      <c r="AXP15" s="12"/>
      <c r="AXQ15" s="12"/>
      <c r="AXR15" s="12"/>
      <c r="AXS15" s="13"/>
      <c r="AXT15" s="9"/>
      <c r="AXU15" s="9"/>
      <c r="AXV15" s="9"/>
      <c r="AXW15" s="9"/>
      <c r="AXX15" s="10"/>
      <c r="AXY15" s="11"/>
      <c r="AXZ15" s="12"/>
      <c r="AYA15" s="12"/>
      <c r="AYB15" s="12"/>
      <c r="AYC15" s="13"/>
      <c r="AYD15" s="9"/>
      <c r="AYE15" s="9"/>
      <c r="AYF15" s="9"/>
      <c r="AYG15" s="9"/>
      <c r="AYH15" s="10"/>
      <c r="AYI15" s="11"/>
      <c r="AYJ15" s="12"/>
      <c r="AYK15" s="12"/>
      <c r="AYL15" s="12"/>
      <c r="AYM15" s="13"/>
      <c r="AYN15" s="9"/>
      <c r="AYO15" s="9"/>
      <c r="AYP15" s="9"/>
      <c r="AYQ15" s="9"/>
      <c r="AYR15" s="10"/>
      <c r="AYS15" s="11"/>
      <c r="AYT15" s="12"/>
      <c r="AYU15" s="12"/>
      <c r="AYV15" s="12"/>
      <c r="AYW15" s="13"/>
      <c r="AYX15" s="9"/>
      <c r="AYY15" s="9"/>
      <c r="AYZ15" s="9"/>
      <c r="AZA15" s="9"/>
      <c r="AZB15" s="10"/>
      <c r="AZC15" s="11"/>
      <c r="AZD15" s="12"/>
      <c r="AZE15" s="12"/>
      <c r="AZF15" s="12"/>
      <c r="AZG15" s="13"/>
      <c r="AZH15" s="9"/>
      <c r="AZI15" s="9"/>
      <c r="AZJ15" s="9"/>
      <c r="AZK15" s="9"/>
      <c r="AZL15" s="10"/>
      <c r="AZM15" s="11"/>
      <c r="AZN15" s="12"/>
      <c r="AZO15" s="12"/>
      <c r="AZP15" s="12"/>
      <c r="AZQ15" s="13"/>
      <c r="AZR15" s="9"/>
      <c r="AZS15" s="9"/>
      <c r="AZT15" s="9"/>
      <c r="AZU15" s="9"/>
      <c r="AZV15" s="10"/>
      <c r="AZW15" s="11"/>
      <c r="AZX15" s="12"/>
      <c r="AZY15" s="12"/>
      <c r="AZZ15" s="12"/>
      <c r="BAA15" s="13"/>
      <c r="BAB15" s="9"/>
      <c r="BAC15" s="9"/>
      <c r="BAD15" s="9"/>
      <c r="BAE15" s="9"/>
      <c r="BAF15" s="10"/>
      <c r="BAG15" s="11"/>
      <c r="BAH15" s="12"/>
      <c r="BAI15" s="12"/>
      <c r="BAJ15" s="12"/>
      <c r="BAK15" s="13"/>
      <c r="BAL15" s="9"/>
      <c r="BAM15" s="9"/>
      <c r="BAN15" s="9"/>
      <c r="BAO15" s="9"/>
      <c r="BAP15" s="10"/>
      <c r="BAQ15" s="11"/>
      <c r="BAR15" s="12"/>
      <c r="BAS15" s="12"/>
      <c r="BAT15" s="12"/>
      <c r="BAU15" s="13"/>
      <c r="BAV15" s="9"/>
      <c r="BAW15" s="9"/>
      <c r="BAX15" s="9"/>
      <c r="BAY15" s="9"/>
      <c r="BAZ15" s="10"/>
      <c r="BBA15" s="11"/>
      <c r="BBB15" s="12"/>
      <c r="BBC15" s="12"/>
      <c r="BBD15" s="12"/>
      <c r="BBE15" s="13"/>
      <c r="BBF15" s="9"/>
      <c r="BBG15" s="9"/>
      <c r="BBH15" s="9"/>
      <c r="BBI15" s="9"/>
      <c r="BBJ15" s="10"/>
      <c r="BBK15" s="11"/>
      <c r="BBL15" s="12"/>
      <c r="BBM15" s="12"/>
      <c r="BBN15" s="12"/>
      <c r="BBO15" s="13"/>
      <c r="BBP15" s="9"/>
      <c r="BBQ15" s="9"/>
      <c r="BBR15" s="9"/>
      <c r="BBS15" s="9"/>
      <c r="BBT15" s="10"/>
      <c r="BBU15" s="11"/>
      <c r="BBV15" s="12"/>
      <c r="BBW15" s="12"/>
      <c r="BBX15" s="12"/>
      <c r="BBY15" s="13"/>
      <c r="BBZ15" s="9"/>
      <c r="BCA15" s="9"/>
      <c r="BCB15" s="9"/>
      <c r="BCC15" s="9"/>
      <c r="BCD15" s="10"/>
      <c r="BCE15" s="11"/>
      <c r="BCF15" s="12"/>
      <c r="BCG15" s="12"/>
      <c r="BCH15" s="12"/>
      <c r="BCI15" s="13"/>
      <c r="BCJ15" s="9"/>
      <c r="BCK15" s="9"/>
      <c r="BCL15" s="9"/>
      <c r="BCM15" s="9"/>
      <c r="BCN15" s="10"/>
      <c r="BCO15" s="11"/>
      <c r="BCP15" s="12"/>
      <c r="BCQ15" s="12"/>
      <c r="BCR15" s="12"/>
      <c r="BCS15" s="13"/>
      <c r="BCT15" s="9"/>
      <c r="BCU15" s="9"/>
      <c r="BCV15" s="9"/>
      <c r="BCW15" s="9"/>
      <c r="BCX15" s="10"/>
      <c r="BCY15" s="11"/>
      <c r="BCZ15" s="12"/>
      <c r="BDA15" s="12"/>
      <c r="BDB15" s="12"/>
      <c r="BDC15" s="13"/>
      <c r="BDD15" s="9"/>
      <c r="BDE15" s="9"/>
      <c r="BDF15" s="9"/>
      <c r="BDG15" s="9"/>
      <c r="BDH15" s="10"/>
      <c r="BDI15" s="11"/>
      <c r="BDJ15" s="12"/>
      <c r="BDK15" s="12"/>
      <c r="BDL15" s="12"/>
      <c r="BDM15" s="13"/>
      <c r="BDN15" s="9"/>
      <c r="BDO15" s="9"/>
      <c r="BDP15" s="9"/>
      <c r="BDQ15" s="9"/>
      <c r="BDR15" s="10"/>
      <c r="BDS15" s="11"/>
      <c r="BDT15" s="12"/>
      <c r="BDU15" s="12"/>
      <c r="BDV15" s="12"/>
      <c r="BDW15" s="13"/>
      <c r="BDX15" s="9"/>
      <c r="BDY15" s="9"/>
      <c r="BDZ15" s="9"/>
      <c r="BEA15" s="9"/>
      <c r="BEB15" s="10"/>
      <c r="BEC15" s="11"/>
      <c r="BED15" s="12"/>
      <c r="BEE15" s="12"/>
      <c r="BEF15" s="12"/>
      <c r="BEG15" s="13"/>
      <c r="BEH15" s="9"/>
      <c r="BEI15" s="9"/>
      <c r="BEJ15" s="9"/>
      <c r="BEK15" s="9"/>
      <c r="BEL15" s="10"/>
      <c r="BEM15" s="11"/>
      <c r="BEN15" s="12"/>
      <c r="BEO15" s="12"/>
      <c r="BEP15" s="12"/>
      <c r="BEQ15" s="13"/>
      <c r="BER15" s="9"/>
      <c r="BES15" s="9"/>
      <c r="BET15" s="9"/>
      <c r="BEU15" s="9"/>
      <c r="BEV15" s="10"/>
      <c r="BEW15" s="11"/>
      <c r="BEX15" s="12"/>
      <c r="BEY15" s="12"/>
      <c r="BEZ15" s="12"/>
      <c r="BFA15" s="13"/>
      <c r="BFB15" s="9"/>
      <c r="BFC15" s="9"/>
      <c r="BFD15" s="9"/>
      <c r="BFE15" s="9"/>
      <c r="BFF15" s="10"/>
      <c r="BFG15" s="11"/>
      <c r="BFH15" s="12"/>
      <c r="BFI15" s="12"/>
      <c r="BFJ15" s="12"/>
      <c r="BFK15" s="13"/>
      <c r="BFL15" s="9"/>
      <c r="BFM15" s="9"/>
      <c r="BFN15" s="9"/>
      <c r="BFO15" s="9"/>
      <c r="BFP15" s="10"/>
      <c r="BFQ15" s="11"/>
      <c r="BFR15" s="12"/>
      <c r="BFS15" s="12"/>
      <c r="BFT15" s="12"/>
      <c r="BFU15" s="13"/>
      <c r="BFV15" s="9"/>
      <c r="BFW15" s="9"/>
      <c r="BFX15" s="9"/>
      <c r="BFY15" s="9"/>
      <c r="BFZ15" s="10"/>
      <c r="BGA15" s="11"/>
      <c r="BGB15" s="12"/>
      <c r="BGC15" s="12"/>
      <c r="BGD15" s="12"/>
      <c r="BGE15" s="13"/>
      <c r="BGF15" s="9"/>
      <c r="BGG15" s="9"/>
      <c r="BGH15" s="9"/>
      <c r="BGI15" s="9"/>
      <c r="BGJ15" s="10"/>
      <c r="BGK15" s="11"/>
      <c r="BGL15" s="12"/>
      <c r="BGM15" s="12"/>
      <c r="BGN15" s="12"/>
      <c r="BGO15" s="13"/>
      <c r="BGP15" s="9"/>
      <c r="BGQ15" s="9"/>
      <c r="BGR15" s="9"/>
      <c r="BGS15" s="9"/>
      <c r="BGT15" s="10"/>
      <c r="BGU15" s="11"/>
      <c r="BGV15" s="12"/>
      <c r="BGW15" s="12"/>
      <c r="BGX15" s="12"/>
      <c r="BGY15" s="13"/>
      <c r="BGZ15" s="9"/>
      <c r="BHA15" s="9"/>
      <c r="BHB15" s="9"/>
      <c r="BHC15" s="9"/>
      <c r="BHD15" s="10"/>
      <c r="BHE15" s="11"/>
      <c r="BHF15" s="12"/>
      <c r="BHG15" s="12"/>
      <c r="BHH15" s="12"/>
      <c r="BHI15" s="13"/>
      <c r="BHJ15" s="9"/>
      <c r="BHK15" s="9"/>
      <c r="BHL15" s="9"/>
      <c r="BHM15" s="9"/>
      <c r="BHN15" s="10"/>
      <c r="BHO15" s="11"/>
      <c r="BHP15" s="12"/>
      <c r="BHQ15" s="12"/>
      <c r="BHR15" s="12"/>
      <c r="BHS15" s="13"/>
      <c r="BHT15" s="9"/>
      <c r="BHU15" s="9"/>
      <c r="BHV15" s="9"/>
      <c r="BHW15" s="9"/>
      <c r="BHX15" s="10"/>
      <c r="BHY15" s="11"/>
      <c r="BHZ15" s="12"/>
      <c r="BIA15" s="12"/>
      <c r="BIB15" s="12"/>
      <c r="BIC15" s="13"/>
      <c r="BID15" s="9"/>
      <c r="BIE15" s="9"/>
      <c r="BIF15" s="9"/>
      <c r="BIG15" s="9"/>
      <c r="BIH15" s="10"/>
      <c r="BII15" s="11"/>
      <c r="BIJ15" s="12"/>
      <c r="BIK15" s="12"/>
      <c r="BIL15" s="12"/>
      <c r="BIM15" s="13"/>
      <c r="BIN15" s="9"/>
      <c r="BIO15" s="9"/>
      <c r="BIP15" s="9"/>
      <c r="BIQ15" s="9"/>
      <c r="BIR15" s="10"/>
      <c r="BIS15" s="11"/>
      <c r="BIT15" s="12"/>
      <c r="BIU15" s="12"/>
      <c r="BIV15" s="12"/>
      <c r="BIW15" s="13"/>
      <c r="BIX15" s="9"/>
      <c r="BIY15" s="9"/>
      <c r="BIZ15" s="9"/>
      <c r="BJA15" s="9"/>
      <c r="BJB15" s="10"/>
      <c r="BJC15" s="11"/>
      <c r="BJD15" s="12"/>
      <c r="BJE15" s="12"/>
      <c r="BJF15" s="12"/>
      <c r="BJG15" s="13"/>
      <c r="BJH15" s="9"/>
      <c r="BJI15" s="9"/>
      <c r="BJJ15" s="9"/>
      <c r="BJK15" s="9"/>
      <c r="BJL15" s="10"/>
      <c r="BJM15" s="11"/>
      <c r="BJN15" s="12"/>
      <c r="BJO15" s="12"/>
      <c r="BJP15" s="12"/>
      <c r="BJQ15" s="13"/>
      <c r="BJR15" s="9"/>
      <c r="BJS15" s="9"/>
      <c r="BJT15" s="9"/>
      <c r="BJU15" s="9"/>
      <c r="BJV15" s="10"/>
      <c r="BJW15" s="11"/>
      <c r="BJX15" s="12"/>
      <c r="BJY15" s="12"/>
      <c r="BJZ15" s="12"/>
      <c r="BKA15" s="13"/>
      <c r="BKB15" s="9"/>
      <c r="BKC15" s="9"/>
      <c r="BKD15" s="9"/>
      <c r="BKE15" s="9"/>
      <c r="BKF15" s="10"/>
      <c r="BKG15" s="11"/>
      <c r="BKH15" s="12"/>
      <c r="BKI15" s="12"/>
      <c r="BKJ15" s="12"/>
      <c r="BKK15" s="13"/>
      <c r="BKL15" s="9"/>
      <c r="BKM15" s="9"/>
      <c r="BKN15" s="9"/>
      <c r="BKO15" s="9"/>
      <c r="BKP15" s="10"/>
      <c r="BKQ15" s="11"/>
      <c r="BKR15" s="12"/>
      <c r="BKS15" s="12"/>
      <c r="BKT15" s="12"/>
      <c r="BKU15" s="13"/>
      <c r="BKV15" s="9"/>
      <c r="BKW15" s="9"/>
      <c r="BKX15" s="9"/>
      <c r="BKY15" s="9"/>
      <c r="BKZ15" s="10"/>
      <c r="BLA15" s="11"/>
      <c r="BLB15" s="12"/>
      <c r="BLC15" s="12"/>
      <c r="BLD15" s="12"/>
      <c r="BLE15" s="13"/>
      <c r="BLF15" s="9"/>
      <c r="BLG15" s="9"/>
      <c r="BLH15" s="9"/>
      <c r="BLI15" s="9"/>
      <c r="BLJ15" s="10"/>
      <c r="BLK15" s="11"/>
      <c r="BLL15" s="12"/>
      <c r="BLM15" s="12"/>
      <c r="BLN15" s="12"/>
      <c r="BLO15" s="13"/>
      <c r="BLP15" s="9"/>
      <c r="BLQ15" s="9"/>
      <c r="BLR15" s="9"/>
      <c r="BLS15" s="9"/>
      <c r="BLT15" s="10"/>
      <c r="BLU15" s="11"/>
      <c r="BLV15" s="12"/>
      <c r="BLW15" s="12"/>
      <c r="BLX15" s="12"/>
      <c r="BLY15" s="13"/>
      <c r="BLZ15" s="9"/>
      <c r="BMA15" s="9"/>
      <c r="BMB15" s="9"/>
      <c r="BMC15" s="9"/>
      <c r="BMD15" s="10"/>
      <c r="BME15" s="11"/>
      <c r="BMF15" s="12"/>
      <c r="BMG15" s="12"/>
      <c r="BMH15" s="12"/>
      <c r="BMI15" s="13"/>
      <c r="BMJ15" s="9"/>
      <c r="BMK15" s="9"/>
      <c r="BML15" s="9"/>
      <c r="BMM15" s="9"/>
      <c r="BMN15" s="10"/>
      <c r="BMO15" s="11"/>
      <c r="BMP15" s="12"/>
      <c r="BMQ15" s="12"/>
      <c r="BMR15" s="12"/>
      <c r="BMS15" s="13"/>
      <c r="BMT15" s="9"/>
      <c r="BMU15" s="9"/>
      <c r="BMV15" s="9"/>
      <c r="BMW15" s="9"/>
      <c r="BMX15" s="10"/>
      <c r="BMY15" s="11"/>
      <c r="BMZ15" s="12"/>
      <c r="BNA15" s="12"/>
      <c r="BNB15" s="12"/>
      <c r="BNC15" s="13"/>
      <c r="BND15" s="9"/>
      <c r="BNE15" s="9"/>
      <c r="BNF15" s="9"/>
      <c r="BNG15" s="9"/>
      <c r="BNH15" s="10"/>
      <c r="BNI15" s="11"/>
      <c r="BNJ15" s="12"/>
      <c r="BNK15" s="12"/>
      <c r="BNL15" s="12"/>
      <c r="BNM15" s="13"/>
      <c r="BNN15" s="9"/>
      <c r="BNO15" s="9"/>
      <c r="BNP15" s="9"/>
      <c r="BNQ15" s="9"/>
      <c r="BNR15" s="10"/>
      <c r="BNS15" s="11"/>
      <c r="BNT15" s="12"/>
      <c r="BNU15" s="12"/>
      <c r="BNV15" s="12"/>
      <c r="BNW15" s="13"/>
      <c r="BNX15" s="9"/>
      <c r="BNY15" s="9"/>
      <c r="BNZ15" s="9"/>
      <c r="BOA15" s="9"/>
      <c r="BOB15" s="10"/>
      <c r="BOC15" s="11"/>
      <c r="BOD15" s="12"/>
      <c r="BOE15" s="12"/>
      <c r="BOF15" s="12"/>
      <c r="BOG15" s="13"/>
      <c r="BOH15" s="9"/>
      <c r="BOI15" s="9"/>
      <c r="BOJ15" s="9"/>
      <c r="BOK15" s="9"/>
      <c r="BOL15" s="10"/>
      <c r="BOM15" s="11"/>
      <c r="BON15" s="12"/>
      <c r="BOO15" s="12"/>
      <c r="BOP15" s="12"/>
      <c r="BOQ15" s="13"/>
      <c r="BOR15" s="9"/>
      <c r="BOS15" s="9"/>
      <c r="BOT15" s="9"/>
      <c r="BOU15" s="9"/>
      <c r="BOV15" s="10"/>
      <c r="BOW15" s="11"/>
      <c r="BOX15" s="12"/>
      <c r="BOY15" s="12"/>
      <c r="BOZ15" s="12"/>
      <c r="BPA15" s="13"/>
      <c r="BPB15" s="9"/>
      <c r="BPC15" s="9"/>
      <c r="BPD15" s="9"/>
      <c r="BPE15" s="9"/>
      <c r="BPF15" s="10"/>
      <c r="BPG15" s="11"/>
      <c r="BPH15" s="12"/>
      <c r="BPI15" s="12"/>
      <c r="BPJ15" s="12"/>
      <c r="BPK15" s="13"/>
      <c r="BPL15" s="9"/>
      <c r="BPM15" s="9"/>
      <c r="BPN15" s="9"/>
      <c r="BPO15" s="9"/>
      <c r="BPP15" s="10"/>
      <c r="BPQ15" s="11"/>
      <c r="BPR15" s="12"/>
      <c r="BPS15" s="12"/>
      <c r="BPT15" s="12"/>
      <c r="BPU15" s="13"/>
      <c r="BPV15" s="9"/>
      <c r="BPW15" s="9"/>
      <c r="BPX15" s="9"/>
      <c r="BPY15" s="9"/>
      <c r="BPZ15" s="10"/>
      <c r="BQA15" s="11"/>
      <c r="BQB15" s="12"/>
      <c r="BQC15" s="12"/>
      <c r="BQD15" s="12"/>
      <c r="BQE15" s="13"/>
      <c r="BQF15" s="9"/>
      <c r="BQG15" s="9"/>
      <c r="BQH15" s="9"/>
      <c r="BQI15" s="9"/>
      <c r="BQJ15" s="10"/>
      <c r="BQK15" s="11"/>
      <c r="BQL15" s="12"/>
      <c r="BQM15" s="12"/>
      <c r="BQN15" s="12"/>
      <c r="BQO15" s="13"/>
      <c r="BQP15" s="9"/>
      <c r="BQQ15" s="9"/>
      <c r="BQR15" s="9"/>
      <c r="BQS15" s="9"/>
      <c r="BQT15" s="10"/>
      <c r="BQU15" s="11"/>
      <c r="BQV15" s="12"/>
      <c r="BQW15" s="12"/>
      <c r="BQX15" s="12"/>
      <c r="BQY15" s="13"/>
      <c r="BQZ15" s="9"/>
      <c r="BRA15" s="9"/>
      <c r="BRB15" s="9"/>
      <c r="BRC15" s="9"/>
      <c r="BRD15" s="10"/>
      <c r="BRE15" s="11"/>
      <c r="BRF15" s="12"/>
      <c r="BRG15" s="12"/>
      <c r="BRH15" s="12"/>
      <c r="BRI15" s="13"/>
      <c r="BRJ15" s="9"/>
      <c r="BRK15" s="9"/>
      <c r="BRL15" s="9"/>
      <c r="BRM15" s="9"/>
      <c r="BRN15" s="10"/>
      <c r="BRO15" s="11"/>
      <c r="BRP15" s="12"/>
      <c r="BRQ15" s="12"/>
      <c r="BRR15" s="12"/>
      <c r="BRS15" s="13"/>
      <c r="BRT15" s="9"/>
      <c r="BRU15" s="9"/>
      <c r="BRV15" s="9"/>
      <c r="BRW15" s="9"/>
      <c r="BRX15" s="10"/>
      <c r="BRY15" s="11"/>
      <c r="BRZ15" s="12"/>
      <c r="BSA15" s="12"/>
      <c r="BSB15" s="12"/>
      <c r="BSC15" s="13"/>
      <c r="BSD15" s="9"/>
      <c r="BSE15" s="9"/>
      <c r="BSF15" s="9"/>
      <c r="BSG15" s="9"/>
      <c r="BSH15" s="10"/>
      <c r="BSI15" s="11"/>
      <c r="BSJ15" s="12"/>
      <c r="BSK15" s="12"/>
      <c r="BSL15" s="12"/>
      <c r="BSM15" s="13"/>
      <c r="BSN15" s="9"/>
      <c r="BSO15" s="9"/>
      <c r="BSP15" s="9"/>
      <c r="BSQ15" s="9"/>
      <c r="BSR15" s="10"/>
      <c r="BSS15" s="11"/>
      <c r="BST15" s="12"/>
      <c r="BSU15" s="12"/>
      <c r="BSV15" s="12"/>
      <c r="BSW15" s="13"/>
      <c r="BSX15" s="9"/>
      <c r="BSY15" s="9"/>
      <c r="BSZ15" s="9"/>
      <c r="BTA15" s="9"/>
      <c r="BTB15" s="10"/>
      <c r="BTC15" s="11"/>
      <c r="BTD15" s="12"/>
      <c r="BTE15" s="12"/>
      <c r="BTF15" s="12"/>
      <c r="BTG15" s="13"/>
      <c r="BTH15" s="9"/>
      <c r="BTI15" s="9"/>
      <c r="BTJ15" s="9"/>
      <c r="BTK15" s="9"/>
      <c r="BTL15" s="10"/>
      <c r="BTM15" s="11"/>
      <c r="BTN15" s="12"/>
      <c r="BTO15" s="12"/>
      <c r="BTP15" s="12"/>
      <c r="BTQ15" s="13"/>
      <c r="BTR15" s="9"/>
      <c r="BTS15" s="9"/>
      <c r="BTT15" s="9"/>
      <c r="BTU15" s="9"/>
      <c r="BTV15" s="10"/>
      <c r="BTW15" s="11"/>
      <c r="BTX15" s="12"/>
      <c r="BTY15" s="12"/>
      <c r="BTZ15" s="12"/>
      <c r="BUA15" s="13"/>
      <c r="BUB15" s="9"/>
      <c r="BUC15" s="9"/>
      <c r="BUD15" s="9"/>
      <c r="BUE15" s="9"/>
      <c r="BUF15" s="10"/>
      <c r="BUG15" s="11"/>
      <c r="BUH15" s="12"/>
      <c r="BUI15" s="12"/>
      <c r="BUJ15" s="12"/>
      <c r="BUK15" s="13"/>
      <c r="BUL15" s="9"/>
      <c r="BUM15" s="9"/>
      <c r="BUN15" s="9"/>
      <c r="BUO15" s="9"/>
      <c r="BUP15" s="10"/>
      <c r="BUQ15" s="11"/>
      <c r="BUR15" s="12"/>
      <c r="BUS15" s="12"/>
      <c r="BUT15" s="12"/>
      <c r="BUU15" s="13"/>
      <c r="BUV15" s="9"/>
      <c r="BUW15" s="9"/>
      <c r="BUX15" s="9"/>
      <c r="BUY15" s="9"/>
      <c r="BUZ15" s="10"/>
      <c r="BVA15" s="11"/>
      <c r="BVB15" s="12"/>
      <c r="BVC15" s="12"/>
      <c r="BVD15" s="12"/>
      <c r="BVE15" s="13"/>
      <c r="BVF15" s="9"/>
      <c r="BVG15" s="9"/>
      <c r="BVH15" s="9"/>
      <c r="BVI15" s="9"/>
      <c r="BVJ15" s="10"/>
      <c r="BVK15" s="11"/>
      <c r="BVL15" s="12"/>
      <c r="BVM15" s="12"/>
      <c r="BVN15" s="12"/>
      <c r="BVO15" s="13"/>
      <c r="BVP15" s="9"/>
      <c r="BVQ15" s="9"/>
      <c r="BVR15" s="9"/>
      <c r="BVS15" s="9"/>
      <c r="BVT15" s="10"/>
      <c r="BVU15" s="11"/>
      <c r="BVV15" s="12"/>
      <c r="BVW15" s="12"/>
      <c r="BVX15" s="12"/>
      <c r="BVY15" s="13"/>
      <c r="BVZ15" s="9"/>
      <c r="BWA15" s="9"/>
      <c r="BWB15" s="9"/>
      <c r="BWC15" s="9"/>
      <c r="BWD15" s="10"/>
      <c r="BWE15" s="11"/>
      <c r="BWF15" s="12"/>
      <c r="BWG15" s="12"/>
      <c r="BWH15" s="12"/>
      <c r="BWI15" s="13"/>
      <c r="BWJ15" s="9"/>
      <c r="BWK15" s="9"/>
      <c r="BWL15" s="9"/>
      <c r="BWM15" s="9"/>
      <c r="BWN15" s="10"/>
      <c r="BWO15" s="11"/>
      <c r="BWP15" s="12"/>
      <c r="BWQ15" s="12"/>
      <c r="BWR15" s="12"/>
      <c r="BWS15" s="13"/>
      <c r="BWT15" s="9"/>
      <c r="BWU15" s="9"/>
      <c r="BWV15" s="9"/>
      <c r="BWW15" s="9"/>
      <c r="BWX15" s="10"/>
      <c r="BWY15" s="11"/>
      <c r="BWZ15" s="12"/>
      <c r="BXA15" s="12"/>
      <c r="BXB15" s="12"/>
      <c r="BXC15" s="13"/>
      <c r="BXD15" s="9"/>
      <c r="BXE15" s="9"/>
      <c r="BXF15" s="9"/>
      <c r="BXG15" s="9"/>
      <c r="BXH15" s="10"/>
      <c r="BXI15" s="11"/>
      <c r="BXJ15" s="12"/>
      <c r="BXK15" s="12"/>
      <c r="BXL15" s="12"/>
      <c r="BXM15" s="13"/>
      <c r="BXN15" s="9"/>
      <c r="BXO15" s="9"/>
      <c r="BXP15" s="9"/>
      <c r="BXQ15" s="9"/>
      <c r="BXR15" s="10"/>
      <c r="BXS15" s="11"/>
      <c r="BXT15" s="12"/>
      <c r="BXU15" s="12"/>
      <c r="BXV15" s="12"/>
      <c r="BXW15" s="13"/>
      <c r="BXX15" s="9"/>
      <c r="BXY15" s="9"/>
      <c r="BXZ15" s="9"/>
      <c r="BYA15" s="9"/>
      <c r="BYB15" s="10"/>
      <c r="BYC15" s="11"/>
      <c r="BYD15" s="12"/>
      <c r="BYE15" s="12"/>
      <c r="BYF15" s="12"/>
      <c r="BYG15" s="13"/>
      <c r="BYH15" s="9"/>
      <c r="BYI15" s="9"/>
      <c r="BYJ15" s="9"/>
      <c r="BYK15" s="9"/>
      <c r="BYL15" s="10"/>
      <c r="BYM15" s="11"/>
      <c r="BYN15" s="12"/>
      <c r="BYO15" s="12"/>
      <c r="BYP15" s="12"/>
      <c r="BYQ15" s="13"/>
      <c r="BYR15" s="9"/>
      <c r="BYS15" s="9"/>
      <c r="BYT15" s="9"/>
      <c r="BYU15" s="9"/>
      <c r="BYV15" s="10"/>
      <c r="BYW15" s="11"/>
      <c r="BYX15" s="12"/>
      <c r="BYY15" s="12"/>
      <c r="BYZ15" s="12"/>
      <c r="BZA15" s="13"/>
      <c r="BZB15" s="9"/>
      <c r="BZC15" s="9"/>
      <c r="BZD15" s="9"/>
      <c r="BZE15" s="9"/>
      <c r="BZF15" s="10"/>
      <c r="BZG15" s="11"/>
      <c r="BZH15" s="12"/>
      <c r="BZI15" s="12"/>
      <c r="BZJ15" s="12"/>
      <c r="BZK15" s="13"/>
      <c r="BZL15" s="9"/>
      <c r="BZM15" s="9"/>
      <c r="BZN15" s="9"/>
      <c r="BZO15" s="9"/>
      <c r="BZP15" s="10"/>
      <c r="BZQ15" s="11"/>
      <c r="BZR15" s="12"/>
      <c r="BZS15" s="12"/>
      <c r="BZT15" s="12"/>
      <c r="BZU15" s="13"/>
      <c r="BZV15" s="9"/>
      <c r="BZW15" s="9"/>
      <c r="BZX15" s="9"/>
      <c r="BZY15" s="9"/>
      <c r="BZZ15" s="10"/>
      <c r="CAA15" s="11"/>
      <c r="CAB15" s="12"/>
      <c r="CAC15" s="12"/>
      <c r="CAD15" s="12"/>
      <c r="CAE15" s="13"/>
      <c r="CAF15" s="9"/>
      <c r="CAG15" s="9"/>
      <c r="CAH15" s="9"/>
      <c r="CAI15" s="9"/>
      <c r="CAJ15" s="10"/>
      <c r="CAK15" s="11"/>
      <c r="CAL15" s="12"/>
      <c r="CAM15" s="12"/>
      <c r="CAN15" s="12"/>
      <c r="CAO15" s="13"/>
      <c r="CAP15" s="9"/>
      <c r="CAQ15" s="9"/>
      <c r="CAR15" s="9"/>
      <c r="CAS15" s="9"/>
      <c r="CAT15" s="10"/>
      <c r="CAU15" s="11"/>
      <c r="CAV15" s="12"/>
      <c r="CAW15" s="12"/>
      <c r="CAX15" s="12"/>
      <c r="CAY15" s="13"/>
      <c r="CAZ15" s="9"/>
      <c r="CBA15" s="9"/>
      <c r="CBB15" s="9"/>
      <c r="CBC15" s="9"/>
      <c r="CBD15" s="10"/>
      <c r="CBE15" s="11"/>
      <c r="CBF15" s="12"/>
      <c r="CBG15" s="12"/>
      <c r="CBH15" s="12"/>
      <c r="CBI15" s="13"/>
      <c r="CBJ15" s="9"/>
      <c r="CBK15" s="9"/>
      <c r="CBL15" s="9"/>
      <c r="CBM15" s="9"/>
      <c r="CBN15" s="10"/>
      <c r="CBO15" s="11"/>
      <c r="CBP15" s="12"/>
      <c r="CBQ15" s="12"/>
      <c r="CBR15" s="12"/>
      <c r="CBS15" s="13"/>
      <c r="CBT15" s="9"/>
      <c r="CBU15" s="9"/>
      <c r="CBV15" s="9"/>
      <c r="CBW15" s="9"/>
      <c r="CBX15" s="10"/>
      <c r="CBY15" s="11"/>
      <c r="CBZ15" s="12"/>
      <c r="CCA15" s="12"/>
      <c r="CCB15" s="12"/>
      <c r="CCC15" s="13"/>
      <c r="CCD15" s="9"/>
      <c r="CCE15" s="9"/>
      <c r="CCF15" s="9"/>
      <c r="CCG15" s="9"/>
      <c r="CCH15" s="10"/>
      <c r="CCI15" s="11"/>
      <c r="CCJ15" s="12"/>
      <c r="CCK15" s="12"/>
      <c r="CCL15" s="12"/>
      <c r="CCM15" s="13"/>
      <c r="CCN15" s="9"/>
      <c r="CCO15" s="9"/>
      <c r="CCP15" s="9"/>
      <c r="CCQ15" s="9"/>
      <c r="CCR15" s="10"/>
      <c r="CCS15" s="11"/>
      <c r="CCT15" s="12"/>
      <c r="CCU15" s="12"/>
      <c r="CCV15" s="12"/>
      <c r="CCW15" s="13"/>
      <c r="CCX15" s="9"/>
      <c r="CCY15" s="9"/>
      <c r="CCZ15" s="9"/>
      <c r="CDA15" s="9"/>
      <c r="CDB15" s="10"/>
      <c r="CDC15" s="11"/>
      <c r="CDD15" s="12"/>
      <c r="CDE15" s="12"/>
      <c r="CDF15" s="12"/>
      <c r="CDG15" s="13"/>
      <c r="CDH15" s="9"/>
      <c r="CDI15" s="9"/>
      <c r="CDJ15" s="9"/>
      <c r="CDK15" s="9"/>
      <c r="CDL15" s="10"/>
      <c r="CDM15" s="11"/>
      <c r="CDN15" s="12"/>
      <c r="CDO15" s="12"/>
      <c r="CDP15" s="12"/>
      <c r="CDQ15" s="13"/>
      <c r="CDR15" s="9"/>
      <c r="CDS15" s="9"/>
      <c r="CDT15" s="9"/>
      <c r="CDU15" s="9"/>
      <c r="CDV15" s="10"/>
      <c r="CDW15" s="11"/>
      <c r="CDX15" s="12"/>
      <c r="CDY15" s="12"/>
      <c r="CDZ15" s="12"/>
      <c r="CEA15" s="13"/>
      <c r="CEB15" s="9"/>
      <c r="CEC15" s="9"/>
      <c r="CED15" s="9"/>
      <c r="CEE15" s="9"/>
      <c r="CEF15" s="10"/>
      <c r="CEG15" s="11"/>
      <c r="CEH15" s="12"/>
      <c r="CEI15" s="12"/>
      <c r="CEJ15" s="12"/>
      <c r="CEK15" s="13"/>
      <c r="CEL15" s="9"/>
      <c r="CEM15" s="9"/>
      <c r="CEN15" s="9"/>
      <c r="CEO15" s="9"/>
      <c r="CEP15" s="10"/>
      <c r="CEQ15" s="11"/>
      <c r="CER15" s="12"/>
      <c r="CES15" s="12"/>
      <c r="CET15" s="12"/>
      <c r="CEU15" s="13"/>
      <c r="CEV15" s="9"/>
      <c r="CEW15" s="9"/>
      <c r="CEX15" s="9"/>
      <c r="CEY15" s="9"/>
      <c r="CEZ15" s="10"/>
      <c r="CFA15" s="11"/>
      <c r="CFB15" s="12"/>
      <c r="CFC15" s="12"/>
      <c r="CFD15" s="12"/>
      <c r="CFE15" s="13"/>
      <c r="CFF15" s="9"/>
      <c r="CFG15" s="9"/>
      <c r="CFH15" s="9"/>
      <c r="CFI15" s="9"/>
      <c r="CFJ15" s="10"/>
      <c r="CFK15" s="11"/>
      <c r="CFL15" s="12"/>
      <c r="CFM15" s="12"/>
      <c r="CFN15" s="12"/>
      <c r="CFO15" s="13"/>
      <c r="CFP15" s="9"/>
      <c r="CFQ15" s="9"/>
      <c r="CFR15" s="9"/>
      <c r="CFS15" s="9"/>
      <c r="CFT15" s="10"/>
      <c r="CFU15" s="11"/>
      <c r="CFV15" s="12"/>
      <c r="CFW15" s="12"/>
      <c r="CFX15" s="12"/>
      <c r="CFY15" s="13"/>
      <c r="CFZ15" s="9"/>
      <c r="CGA15" s="9"/>
      <c r="CGB15" s="9"/>
      <c r="CGC15" s="9"/>
      <c r="CGD15" s="10"/>
      <c r="CGE15" s="11"/>
      <c r="CGF15" s="12"/>
      <c r="CGG15" s="12"/>
      <c r="CGH15" s="12"/>
      <c r="CGI15" s="13"/>
      <c r="CGJ15" s="9"/>
      <c r="CGK15" s="9"/>
      <c r="CGL15" s="9"/>
      <c r="CGM15" s="9"/>
      <c r="CGN15" s="10"/>
      <c r="CGO15" s="11"/>
      <c r="CGP15" s="12"/>
      <c r="CGQ15" s="12"/>
      <c r="CGR15" s="12"/>
      <c r="CGS15" s="13"/>
      <c r="CGT15" s="9"/>
      <c r="CGU15" s="9"/>
      <c r="CGV15" s="9"/>
      <c r="CGW15" s="9"/>
      <c r="CGX15" s="10"/>
      <c r="CGY15" s="11"/>
      <c r="CGZ15" s="12"/>
      <c r="CHA15" s="12"/>
      <c r="CHB15" s="12"/>
      <c r="CHC15" s="13"/>
      <c r="CHD15" s="9"/>
      <c r="CHE15" s="9"/>
      <c r="CHF15" s="9"/>
      <c r="CHG15" s="9"/>
      <c r="CHH15" s="10"/>
      <c r="CHI15" s="11"/>
      <c r="CHJ15" s="12"/>
      <c r="CHK15" s="12"/>
      <c r="CHL15" s="12"/>
      <c r="CHM15" s="13"/>
      <c r="CHN15" s="9"/>
      <c r="CHO15" s="9"/>
      <c r="CHP15" s="9"/>
      <c r="CHQ15" s="9"/>
      <c r="CHR15" s="10"/>
      <c r="CHS15" s="11"/>
      <c r="CHT15" s="12"/>
      <c r="CHU15" s="12"/>
      <c r="CHV15" s="12"/>
      <c r="CHW15" s="13"/>
      <c r="CHX15" s="9"/>
      <c r="CHY15" s="9"/>
      <c r="CHZ15" s="9"/>
      <c r="CIA15" s="9"/>
      <c r="CIB15" s="10"/>
      <c r="CIC15" s="11"/>
      <c r="CID15" s="12"/>
      <c r="CIE15" s="12"/>
      <c r="CIF15" s="12"/>
      <c r="CIG15" s="13"/>
      <c r="CIH15" s="9"/>
      <c r="CII15" s="9"/>
      <c r="CIJ15" s="9"/>
      <c r="CIK15" s="9"/>
      <c r="CIL15" s="10"/>
      <c r="CIM15" s="11"/>
      <c r="CIN15" s="12"/>
      <c r="CIO15" s="12"/>
      <c r="CIP15" s="12"/>
      <c r="CIQ15" s="13"/>
      <c r="CIR15" s="9"/>
      <c r="CIS15" s="9"/>
      <c r="CIT15" s="9"/>
      <c r="CIU15" s="9"/>
      <c r="CIV15" s="10"/>
      <c r="CIW15" s="11"/>
      <c r="CIX15" s="12"/>
      <c r="CIY15" s="12"/>
      <c r="CIZ15" s="12"/>
      <c r="CJA15" s="13"/>
      <c r="CJB15" s="9"/>
      <c r="CJC15" s="9"/>
      <c r="CJD15" s="9"/>
      <c r="CJE15" s="9"/>
      <c r="CJF15" s="10"/>
      <c r="CJG15" s="11"/>
      <c r="CJH15" s="12"/>
      <c r="CJI15" s="12"/>
      <c r="CJJ15" s="12"/>
      <c r="CJK15" s="13"/>
      <c r="CJL15" s="9"/>
      <c r="CJM15" s="9"/>
      <c r="CJN15" s="9"/>
      <c r="CJO15" s="9"/>
      <c r="CJP15" s="10"/>
      <c r="CJQ15" s="11"/>
      <c r="CJR15" s="12"/>
      <c r="CJS15" s="12"/>
      <c r="CJT15" s="12"/>
      <c r="CJU15" s="13"/>
      <c r="CJV15" s="9"/>
      <c r="CJW15" s="9"/>
      <c r="CJX15" s="9"/>
      <c r="CJY15" s="9"/>
      <c r="CJZ15" s="10"/>
      <c r="CKA15" s="11"/>
      <c r="CKB15" s="12"/>
      <c r="CKC15" s="12"/>
      <c r="CKD15" s="12"/>
      <c r="CKE15" s="13"/>
      <c r="CKF15" s="9"/>
      <c r="CKG15" s="9"/>
      <c r="CKH15" s="9"/>
      <c r="CKI15" s="9"/>
      <c r="CKJ15" s="10"/>
      <c r="CKK15" s="11"/>
      <c r="CKL15" s="12"/>
      <c r="CKM15" s="12"/>
      <c r="CKN15" s="12"/>
      <c r="CKO15" s="13"/>
      <c r="CKP15" s="9"/>
      <c r="CKQ15" s="9"/>
      <c r="CKR15" s="9"/>
      <c r="CKS15" s="9"/>
      <c r="CKT15" s="10"/>
      <c r="CKU15" s="11"/>
      <c r="CKV15" s="12"/>
      <c r="CKW15" s="12"/>
      <c r="CKX15" s="12"/>
      <c r="CKY15" s="13"/>
      <c r="CKZ15" s="9"/>
      <c r="CLA15" s="9"/>
      <c r="CLB15" s="9"/>
      <c r="CLC15" s="9"/>
      <c r="CLD15" s="10"/>
      <c r="CLE15" s="11"/>
      <c r="CLF15" s="12"/>
      <c r="CLG15" s="12"/>
      <c r="CLH15" s="12"/>
      <c r="CLI15" s="13"/>
      <c r="CLJ15" s="9"/>
      <c r="CLK15" s="9"/>
      <c r="CLL15" s="9"/>
      <c r="CLM15" s="9"/>
      <c r="CLN15" s="10"/>
      <c r="CLO15" s="11"/>
      <c r="CLP15" s="12"/>
      <c r="CLQ15" s="12"/>
      <c r="CLR15" s="12"/>
      <c r="CLS15" s="13"/>
      <c r="CLT15" s="9"/>
      <c r="CLU15" s="9"/>
      <c r="CLV15" s="9"/>
      <c r="CLW15" s="9"/>
      <c r="CLX15" s="10"/>
      <c r="CLY15" s="11"/>
      <c r="CLZ15" s="12"/>
      <c r="CMA15" s="12"/>
      <c r="CMB15" s="12"/>
      <c r="CMC15" s="13"/>
      <c r="CMD15" s="9"/>
      <c r="CME15" s="9"/>
      <c r="CMF15" s="9"/>
      <c r="CMG15" s="9"/>
      <c r="CMH15" s="10"/>
      <c r="CMI15" s="11"/>
      <c r="CMJ15" s="12"/>
      <c r="CMK15" s="12"/>
      <c r="CML15" s="12"/>
      <c r="CMM15" s="13"/>
      <c r="CMN15" s="9"/>
      <c r="CMO15" s="9"/>
      <c r="CMP15" s="9"/>
      <c r="CMQ15" s="9"/>
      <c r="CMR15" s="10"/>
      <c r="CMS15" s="11"/>
      <c r="CMT15" s="12"/>
      <c r="CMU15" s="12"/>
      <c r="CMV15" s="12"/>
      <c r="CMW15" s="13"/>
      <c r="CMX15" s="9"/>
      <c r="CMY15" s="9"/>
      <c r="CMZ15" s="9"/>
      <c r="CNA15" s="9"/>
      <c r="CNB15" s="10"/>
      <c r="CNC15" s="11"/>
      <c r="CND15" s="12"/>
      <c r="CNE15" s="12"/>
      <c r="CNF15" s="12"/>
      <c r="CNG15" s="13"/>
      <c r="CNH15" s="9"/>
      <c r="CNI15" s="9"/>
      <c r="CNJ15" s="9"/>
      <c r="CNK15" s="9"/>
      <c r="CNL15" s="10"/>
      <c r="CNM15" s="11"/>
      <c r="CNN15" s="12"/>
      <c r="CNO15" s="12"/>
      <c r="CNP15" s="12"/>
      <c r="CNQ15" s="13"/>
      <c r="CNR15" s="9"/>
      <c r="CNS15" s="9"/>
      <c r="CNT15" s="9"/>
      <c r="CNU15" s="9"/>
      <c r="CNV15" s="10"/>
      <c r="CNW15" s="11"/>
      <c r="CNX15" s="12"/>
      <c r="CNY15" s="12"/>
      <c r="CNZ15" s="12"/>
      <c r="COA15" s="13"/>
      <c r="COB15" s="9"/>
      <c r="COC15" s="9"/>
      <c r="COD15" s="9"/>
      <c r="COE15" s="9"/>
      <c r="COF15" s="10"/>
      <c r="COG15" s="11"/>
      <c r="COH15" s="12"/>
      <c r="COI15" s="12"/>
      <c r="COJ15" s="12"/>
      <c r="COK15" s="13"/>
      <c r="COL15" s="9"/>
      <c r="COM15" s="9"/>
      <c r="CON15" s="9"/>
      <c r="COO15" s="9"/>
      <c r="COP15" s="10"/>
      <c r="COQ15" s="11"/>
      <c r="COR15" s="12"/>
      <c r="COS15" s="12"/>
      <c r="COT15" s="12"/>
      <c r="COU15" s="13"/>
      <c r="COV15" s="9"/>
      <c r="COW15" s="9"/>
      <c r="COX15" s="9"/>
      <c r="COY15" s="9"/>
      <c r="COZ15" s="10"/>
      <c r="CPA15" s="11"/>
      <c r="CPB15" s="12"/>
      <c r="CPC15" s="12"/>
      <c r="CPD15" s="12"/>
      <c r="CPE15" s="13"/>
      <c r="CPF15" s="9"/>
      <c r="CPG15" s="9"/>
      <c r="CPH15" s="9"/>
      <c r="CPI15" s="9"/>
      <c r="CPJ15" s="10"/>
      <c r="CPK15" s="11"/>
      <c r="CPL15" s="12"/>
      <c r="CPM15" s="12"/>
      <c r="CPN15" s="12"/>
      <c r="CPO15" s="13"/>
      <c r="CPP15" s="9"/>
      <c r="CPQ15" s="9"/>
      <c r="CPR15" s="9"/>
      <c r="CPS15" s="9"/>
      <c r="CPT15" s="10"/>
      <c r="CPU15" s="11"/>
      <c r="CPV15" s="12"/>
      <c r="CPW15" s="12"/>
      <c r="CPX15" s="12"/>
      <c r="CPY15" s="13"/>
      <c r="CPZ15" s="9"/>
      <c r="CQA15" s="9"/>
      <c r="CQB15" s="9"/>
      <c r="CQC15" s="9"/>
      <c r="CQD15" s="10"/>
      <c r="CQE15" s="11"/>
      <c r="CQF15" s="12"/>
      <c r="CQG15" s="12"/>
      <c r="CQH15" s="12"/>
      <c r="CQI15" s="13"/>
      <c r="CQJ15" s="9"/>
      <c r="CQK15" s="9"/>
      <c r="CQL15" s="9"/>
      <c r="CQM15" s="9"/>
      <c r="CQN15" s="10"/>
      <c r="CQO15" s="11"/>
      <c r="CQP15" s="12"/>
      <c r="CQQ15" s="12"/>
      <c r="CQR15" s="12"/>
      <c r="CQS15" s="13"/>
      <c r="CQT15" s="9"/>
      <c r="CQU15" s="9"/>
      <c r="CQV15" s="9"/>
      <c r="CQW15" s="9"/>
      <c r="CQX15" s="10"/>
      <c r="CQY15" s="11"/>
      <c r="CQZ15" s="12"/>
      <c r="CRA15" s="12"/>
      <c r="CRB15" s="12"/>
      <c r="CRC15" s="13"/>
      <c r="CRD15" s="9"/>
      <c r="CRE15" s="9"/>
      <c r="CRF15" s="9"/>
      <c r="CRG15" s="9"/>
      <c r="CRH15" s="10"/>
      <c r="CRI15" s="11"/>
      <c r="CRJ15" s="12"/>
      <c r="CRK15" s="12"/>
      <c r="CRL15" s="12"/>
      <c r="CRM15" s="13"/>
      <c r="CRN15" s="9"/>
      <c r="CRO15" s="9"/>
      <c r="CRP15" s="9"/>
      <c r="CRQ15" s="9"/>
      <c r="CRR15" s="10"/>
      <c r="CRS15" s="11"/>
      <c r="CRT15" s="12"/>
      <c r="CRU15" s="12"/>
      <c r="CRV15" s="12"/>
      <c r="CRW15" s="13"/>
      <c r="CRX15" s="9"/>
      <c r="CRY15" s="9"/>
      <c r="CRZ15" s="9"/>
      <c r="CSA15" s="9"/>
      <c r="CSB15" s="10"/>
      <c r="CSC15" s="11"/>
      <c r="CSD15" s="12"/>
      <c r="CSE15" s="12"/>
      <c r="CSF15" s="12"/>
      <c r="CSG15" s="13"/>
      <c r="CSH15" s="9"/>
      <c r="CSI15" s="9"/>
      <c r="CSJ15" s="9"/>
      <c r="CSK15" s="9"/>
      <c r="CSL15" s="10"/>
      <c r="CSM15" s="11"/>
      <c r="CSN15" s="12"/>
      <c r="CSO15" s="12"/>
      <c r="CSP15" s="12"/>
      <c r="CSQ15" s="13"/>
      <c r="CSR15" s="9"/>
      <c r="CSS15" s="9"/>
      <c r="CST15" s="9"/>
      <c r="CSU15" s="9"/>
      <c r="CSV15" s="10"/>
      <c r="CSW15" s="11"/>
      <c r="CSX15" s="12"/>
      <c r="CSY15" s="12"/>
      <c r="CSZ15" s="12"/>
      <c r="CTA15" s="13"/>
      <c r="CTB15" s="9"/>
      <c r="CTC15" s="9"/>
      <c r="CTD15" s="9"/>
      <c r="CTE15" s="9"/>
      <c r="CTF15" s="10"/>
      <c r="CTG15" s="11"/>
      <c r="CTH15" s="12"/>
      <c r="CTI15" s="12"/>
      <c r="CTJ15" s="12"/>
      <c r="CTK15" s="13"/>
      <c r="CTL15" s="9"/>
      <c r="CTM15" s="9"/>
      <c r="CTN15" s="9"/>
      <c r="CTO15" s="9"/>
      <c r="CTP15" s="10"/>
      <c r="CTQ15" s="11"/>
      <c r="CTR15" s="12"/>
      <c r="CTS15" s="12"/>
      <c r="CTT15" s="12"/>
      <c r="CTU15" s="13"/>
      <c r="CTV15" s="9"/>
      <c r="CTW15" s="9"/>
      <c r="CTX15" s="9"/>
      <c r="CTY15" s="9"/>
      <c r="CTZ15" s="10"/>
      <c r="CUA15" s="11"/>
      <c r="CUB15" s="12"/>
      <c r="CUC15" s="12"/>
      <c r="CUD15" s="12"/>
      <c r="CUE15" s="13"/>
      <c r="CUF15" s="9"/>
      <c r="CUG15" s="9"/>
      <c r="CUH15" s="9"/>
      <c r="CUI15" s="9"/>
      <c r="CUJ15" s="10"/>
      <c r="CUK15" s="11"/>
      <c r="CUL15" s="12"/>
      <c r="CUM15" s="12"/>
      <c r="CUN15" s="12"/>
      <c r="CUO15" s="13"/>
      <c r="CUP15" s="9"/>
      <c r="CUQ15" s="9"/>
      <c r="CUR15" s="9"/>
      <c r="CUS15" s="9"/>
      <c r="CUT15" s="10"/>
      <c r="CUU15" s="11"/>
      <c r="CUV15" s="12"/>
      <c r="CUW15" s="12"/>
      <c r="CUX15" s="12"/>
      <c r="CUY15" s="13"/>
      <c r="CUZ15" s="9"/>
      <c r="CVA15" s="9"/>
      <c r="CVB15" s="9"/>
      <c r="CVC15" s="9"/>
      <c r="CVD15" s="10"/>
      <c r="CVE15" s="11"/>
      <c r="CVF15" s="12"/>
      <c r="CVG15" s="12"/>
      <c r="CVH15" s="12"/>
      <c r="CVI15" s="13"/>
      <c r="CVJ15" s="9"/>
      <c r="CVK15" s="9"/>
      <c r="CVL15" s="9"/>
      <c r="CVM15" s="9"/>
      <c r="CVN15" s="10"/>
      <c r="CVO15" s="11"/>
      <c r="CVP15" s="12"/>
      <c r="CVQ15" s="12"/>
      <c r="CVR15" s="12"/>
      <c r="CVS15" s="13"/>
      <c r="CVT15" s="9"/>
      <c r="CVU15" s="9"/>
      <c r="CVV15" s="9"/>
      <c r="CVW15" s="9"/>
      <c r="CVX15" s="10"/>
      <c r="CVY15" s="11"/>
      <c r="CVZ15" s="12"/>
      <c r="CWA15" s="12"/>
      <c r="CWB15" s="12"/>
      <c r="CWC15" s="13"/>
      <c r="CWD15" s="9"/>
      <c r="CWE15" s="9"/>
      <c r="CWF15" s="9"/>
      <c r="CWG15" s="9"/>
      <c r="CWH15" s="10"/>
      <c r="CWI15" s="11"/>
      <c r="CWJ15" s="12"/>
      <c r="CWK15" s="12"/>
      <c r="CWL15" s="12"/>
      <c r="CWM15" s="13"/>
      <c r="CWN15" s="9"/>
      <c r="CWO15" s="9"/>
      <c r="CWP15" s="9"/>
      <c r="CWQ15" s="9"/>
      <c r="CWR15" s="10"/>
      <c r="CWS15" s="11"/>
      <c r="CWT15" s="12"/>
      <c r="CWU15" s="12"/>
      <c r="CWV15" s="12"/>
      <c r="CWW15" s="13"/>
      <c r="CWX15" s="9"/>
      <c r="CWY15" s="9"/>
      <c r="CWZ15" s="9"/>
      <c r="CXA15" s="9"/>
      <c r="CXB15" s="10"/>
      <c r="CXC15" s="11"/>
      <c r="CXD15" s="12"/>
      <c r="CXE15" s="12"/>
      <c r="CXF15" s="12"/>
      <c r="CXG15" s="13"/>
      <c r="CXH15" s="9"/>
      <c r="CXI15" s="9"/>
      <c r="CXJ15" s="9"/>
      <c r="CXK15" s="9"/>
      <c r="CXL15" s="10"/>
      <c r="CXM15" s="11"/>
      <c r="CXN15" s="12"/>
      <c r="CXO15" s="12"/>
      <c r="CXP15" s="12"/>
      <c r="CXQ15" s="13"/>
      <c r="CXR15" s="9"/>
      <c r="CXS15" s="9"/>
      <c r="CXT15" s="9"/>
      <c r="CXU15" s="9"/>
      <c r="CXV15" s="10"/>
      <c r="CXW15" s="11"/>
      <c r="CXX15" s="12"/>
      <c r="CXY15" s="12"/>
      <c r="CXZ15" s="12"/>
      <c r="CYA15" s="13"/>
      <c r="CYB15" s="9"/>
      <c r="CYC15" s="9"/>
      <c r="CYD15" s="9"/>
      <c r="CYE15" s="9"/>
      <c r="CYF15" s="10"/>
      <c r="CYG15" s="11"/>
      <c r="CYH15" s="12"/>
      <c r="CYI15" s="12"/>
      <c r="CYJ15" s="12"/>
      <c r="CYK15" s="13"/>
      <c r="CYL15" s="9"/>
      <c r="CYM15" s="9"/>
      <c r="CYN15" s="9"/>
      <c r="CYO15" s="9"/>
      <c r="CYP15" s="10"/>
      <c r="CYQ15" s="11"/>
      <c r="CYR15" s="12"/>
      <c r="CYS15" s="12"/>
      <c r="CYT15" s="12"/>
      <c r="CYU15" s="13"/>
      <c r="CYV15" s="9"/>
      <c r="CYW15" s="9"/>
      <c r="CYX15" s="9"/>
      <c r="CYY15" s="9"/>
      <c r="CYZ15" s="10"/>
      <c r="CZA15" s="11"/>
      <c r="CZB15" s="12"/>
      <c r="CZC15" s="12"/>
      <c r="CZD15" s="12"/>
      <c r="CZE15" s="13"/>
      <c r="CZF15" s="9"/>
      <c r="CZG15" s="9"/>
      <c r="CZH15" s="9"/>
      <c r="CZI15" s="9"/>
      <c r="CZJ15" s="10"/>
      <c r="CZK15" s="11"/>
      <c r="CZL15" s="12"/>
      <c r="CZM15" s="12"/>
      <c r="CZN15" s="12"/>
      <c r="CZO15" s="13"/>
      <c r="CZP15" s="9"/>
      <c r="CZQ15" s="9"/>
      <c r="CZR15" s="9"/>
      <c r="CZS15" s="9"/>
      <c r="CZT15" s="10"/>
      <c r="CZU15" s="11"/>
      <c r="CZV15" s="12"/>
      <c r="CZW15" s="12"/>
      <c r="CZX15" s="12"/>
      <c r="CZY15" s="13"/>
      <c r="CZZ15" s="9"/>
      <c r="DAA15" s="9"/>
      <c r="DAB15" s="9"/>
      <c r="DAC15" s="9"/>
      <c r="DAD15" s="10"/>
      <c r="DAE15" s="11"/>
      <c r="DAF15" s="12"/>
      <c r="DAG15" s="12"/>
      <c r="DAH15" s="12"/>
      <c r="DAI15" s="13"/>
      <c r="DAJ15" s="9"/>
      <c r="DAK15" s="9"/>
      <c r="DAL15" s="9"/>
      <c r="DAM15" s="9"/>
      <c r="DAN15" s="10"/>
      <c r="DAO15" s="11"/>
      <c r="DAP15" s="12"/>
      <c r="DAQ15" s="12"/>
      <c r="DAR15" s="12"/>
      <c r="DAS15" s="13"/>
      <c r="DAT15" s="9"/>
      <c r="DAU15" s="9"/>
      <c r="DAV15" s="9"/>
      <c r="DAW15" s="9"/>
      <c r="DAX15" s="10"/>
      <c r="DAY15" s="11"/>
      <c r="DAZ15" s="12"/>
      <c r="DBA15" s="12"/>
      <c r="DBB15" s="12"/>
      <c r="DBC15" s="13"/>
      <c r="DBD15" s="9"/>
      <c r="DBE15" s="9"/>
      <c r="DBF15" s="9"/>
      <c r="DBG15" s="9"/>
      <c r="DBH15" s="10"/>
      <c r="DBI15" s="11"/>
      <c r="DBJ15" s="12"/>
      <c r="DBK15" s="12"/>
      <c r="DBL15" s="12"/>
      <c r="DBM15" s="13"/>
      <c r="DBN15" s="9"/>
      <c r="DBO15" s="9"/>
      <c r="DBP15" s="9"/>
      <c r="DBQ15" s="9"/>
      <c r="DBR15" s="10"/>
      <c r="DBS15" s="11"/>
      <c r="DBT15" s="12"/>
      <c r="DBU15" s="12"/>
      <c r="DBV15" s="12"/>
      <c r="DBW15" s="13"/>
      <c r="DBX15" s="9"/>
      <c r="DBY15" s="9"/>
      <c r="DBZ15" s="9"/>
      <c r="DCA15" s="9"/>
      <c r="DCB15" s="10"/>
      <c r="DCC15" s="11"/>
      <c r="DCD15" s="12"/>
      <c r="DCE15" s="12"/>
      <c r="DCF15" s="12"/>
      <c r="DCG15" s="13"/>
      <c r="DCH15" s="9"/>
      <c r="DCI15" s="9"/>
      <c r="DCJ15" s="9"/>
      <c r="DCK15" s="9"/>
      <c r="DCL15" s="10"/>
      <c r="DCM15" s="11"/>
      <c r="DCN15" s="12"/>
      <c r="DCO15" s="12"/>
      <c r="DCP15" s="12"/>
      <c r="DCQ15" s="13"/>
      <c r="DCR15" s="9"/>
      <c r="DCS15" s="9"/>
      <c r="DCT15" s="9"/>
      <c r="DCU15" s="9"/>
      <c r="DCV15" s="10"/>
      <c r="DCW15" s="11"/>
      <c r="DCX15" s="12"/>
      <c r="DCY15" s="12"/>
      <c r="DCZ15" s="12"/>
      <c r="DDA15" s="13"/>
      <c r="DDB15" s="9"/>
      <c r="DDC15" s="9"/>
      <c r="DDD15" s="9"/>
      <c r="DDE15" s="9"/>
      <c r="DDF15" s="10"/>
      <c r="DDG15" s="11"/>
      <c r="DDH15" s="12"/>
      <c r="DDI15" s="12"/>
      <c r="DDJ15" s="12"/>
      <c r="DDK15" s="13"/>
      <c r="DDL15" s="9"/>
      <c r="DDM15" s="9"/>
      <c r="DDN15" s="9"/>
      <c r="DDO15" s="9"/>
      <c r="DDP15" s="10"/>
      <c r="DDQ15" s="11"/>
      <c r="DDR15" s="12"/>
      <c r="DDS15" s="12"/>
      <c r="DDT15" s="12"/>
      <c r="DDU15" s="13"/>
      <c r="DDV15" s="9"/>
      <c r="DDW15" s="9"/>
      <c r="DDX15" s="9"/>
      <c r="DDY15" s="9"/>
      <c r="DDZ15" s="10"/>
      <c r="DEA15" s="11"/>
      <c r="DEB15" s="12"/>
      <c r="DEC15" s="12"/>
      <c r="DED15" s="12"/>
      <c r="DEE15" s="13"/>
      <c r="DEF15" s="9"/>
      <c r="DEG15" s="9"/>
      <c r="DEH15" s="9"/>
      <c r="DEI15" s="9"/>
      <c r="DEJ15" s="10"/>
      <c r="DEK15" s="11"/>
      <c r="DEL15" s="12"/>
      <c r="DEM15" s="12"/>
      <c r="DEN15" s="12"/>
      <c r="DEO15" s="13"/>
      <c r="DEP15" s="9"/>
      <c r="DEQ15" s="9"/>
      <c r="DER15" s="9"/>
      <c r="DES15" s="9"/>
      <c r="DET15" s="10"/>
      <c r="DEU15" s="11"/>
      <c r="DEV15" s="12"/>
      <c r="DEW15" s="12"/>
      <c r="DEX15" s="12"/>
      <c r="DEY15" s="13"/>
      <c r="DEZ15" s="9"/>
      <c r="DFA15" s="9"/>
      <c r="DFB15" s="9"/>
      <c r="DFC15" s="9"/>
      <c r="DFD15" s="10"/>
      <c r="DFE15" s="11"/>
      <c r="DFF15" s="12"/>
      <c r="DFG15" s="12"/>
      <c r="DFH15" s="12"/>
      <c r="DFI15" s="13"/>
      <c r="DFJ15" s="9"/>
      <c r="DFK15" s="9"/>
      <c r="DFL15" s="9"/>
      <c r="DFM15" s="9"/>
      <c r="DFN15" s="10"/>
      <c r="DFO15" s="11"/>
      <c r="DFP15" s="12"/>
      <c r="DFQ15" s="12"/>
      <c r="DFR15" s="12"/>
      <c r="DFS15" s="13"/>
      <c r="DFT15" s="9"/>
      <c r="DFU15" s="9"/>
      <c r="DFV15" s="9"/>
      <c r="DFW15" s="9"/>
      <c r="DFX15" s="10"/>
      <c r="DFY15" s="11"/>
      <c r="DFZ15" s="12"/>
      <c r="DGA15" s="12"/>
      <c r="DGB15" s="12"/>
      <c r="DGC15" s="13"/>
      <c r="DGD15" s="9"/>
      <c r="DGE15" s="9"/>
      <c r="DGF15" s="9"/>
      <c r="DGG15" s="9"/>
      <c r="DGH15" s="10"/>
      <c r="DGI15" s="11"/>
      <c r="DGJ15" s="12"/>
      <c r="DGK15" s="12"/>
      <c r="DGL15" s="12"/>
      <c r="DGM15" s="13"/>
      <c r="DGN15" s="9"/>
      <c r="DGO15" s="9"/>
      <c r="DGP15" s="9"/>
      <c r="DGQ15" s="9"/>
      <c r="DGR15" s="10"/>
      <c r="DGS15" s="11"/>
      <c r="DGT15" s="12"/>
      <c r="DGU15" s="12"/>
      <c r="DGV15" s="12"/>
      <c r="DGW15" s="13"/>
      <c r="DGX15" s="9"/>
      <c r="DGY15" s="9"/>
      <c r="DGZ15" s="9"/>
      <c r="DHA15" s="9"/>
      <c r="DHB15" s="10"/>
      <c r="DHC15" s="11"/>
      <c r="DHD15" s="12"/>
      <c r="DHE15" s="12"/>
      <c r="DHF15" s="12"/>
      <c r="DHG15" s="13"/>
      <c r="DHH15" s="9"/>
      <c r="DHI15" s="9"/>
      <c r="DHJ15" s="9"/>
      <c r="DHK15" s="9"/>
      <c r="DHL15" s="10"/>
      <c r="DHM15" s="11"/>
      <c r="DHN15" s="12"/>
      <c r="DHO15" s="12"/>
      <c r="DHP15" s="12"/>
      <c r="DHQ15" s="13"/>
      <c r="DHR15" s="9"/>
      <c r="DHS15" s="9"/>
      <c r="DHT15" s="9"/>
      <c r="DHU15" s="9"/>
      <c r="DHV15" s="10"/>
      <c r="DHW15" s="11"/>
      <c r="DHX15" s="12"/>
      <c r="DHY15" s="12"/>
      <c r="DHZ15" s="12"/>
      <c r="DIA15" s="13"/>
      <c r="DIB15" s="9"/>
      <c r="DIC15" s="9"/>
      <c r="DID15" s="9"/>
      <c r="DIE15" s="9"/>
      <c r="DIF15" s="10"/>
      <c r="DIG15" s="11"/>
      <c r="DIH15" s="12"/>
      <c r="DII15" s="12"/>
      <c r="DIJ15" s="12"/>
      <c r="DIK15" s="13"/>
      <c r="DIL15" s="9"/>
      <c r="DIM15" s="9"/>
      <c r="DIN15" s="9"/>
      <c r="DIO15" s="9"/>
      <c r="DIP15" s="10"/>
      <c r="DIQ15" s="11"/>
      <c r="DIR15" s="12"/>
      <c r="DIS15" s="12"/>
      <c r="DIT15" s="12"/>
      <c r="DIU15" s="13"/>
      <c r="DIV15" s="9"/>
      <c r="DIW15" s="9"/>
      <c r="DIX15" s="9"/>
      <c r="DIY15" s="9"/>
      <c r="DIZ15" s="10"/>
      <c r="DJA15" s="11"/>
      <c r="DJB15" s="12"/>
      <c r="DJC15" s="12"/>
      <c r="DJD15" s="12"/>
      <c r="DJE15" s="13"/>
      <c r="DJF15" s="9"/>
      <c r="DJG15" s="9"/>
      <c r="DJH15" s="9"/>
      <c r="DJI15" s="9"/>
      <c r="DJJ15" s="10"/>
      <c r="DJK15" s="11"/>
      <c r="DJL15" s="12"/>
      <c r="DJM15" s="12"/>
      <c r="DJN15" s="12"/>
      <c r="DJO15" s="13"/>
      <c r="DJP15" s="9"/>
      <c r="DJQ15" s="9"/>
      <c r="DJR15" s="9"/>
      <c r="DJS15" s="9"/>
      <c r="DJT15" s="10"/>
      <c r="DJU15" s="11"/>
      <c r="DJV15" s="12"/>
      <c r="DJW15" s="12"/>
      <c r="DJX15" s="12"/>
      <c r="DJY15" s="13"/>
      <c r="DJZ15" s="9"/>
      <c r="DKA15" s="9"/>
      <c r="DKB15" s="9"/>
      <c r="DKC15" s="9"/>
      <c r="DKD15" s="10"/>
      <c r="DKE15" s="11"/>
      <c r="DKF15" s="12"/>
      <c r="DKG15" s="12"/>
      <c r="DKH15" s="12"/>
      <c r="DKI15" s="13"/>
      <c r="DKJ15" s="9"/>
      <c r="DKK15" s="9"/>
      <c r="DKL15" s="9"/>
      <c r="DKM15" s="9"/>
      <c r="DKN15" s="10"/>
      <c r="DKO15" s="11"/>
      <c r="DKP15" s="12"/>
      <c r="DKQ15" s="12"/>
      <c r="DKR15" s="12"/>
      <c r="DKS15" s="13"/>
      <c r="DKT15" s="9"/>
      <c r="DKU15" s="9"/>
      <c r="DKV15" s="9"/>
      <c r="DKW15" s="9"/>
      <c r="DKX15" s="10"/>
      <c r="DKY15" s="11"/>
      <c r="DKZ15" s="12"/>
      <c r="DLA15" s="12"/>
      <c r="DLB15" s="12"/>
      <c r="DLC15" s="13"/>
      <c r="DLD15" s="9"/>
      <c r="DLE15" s="9"/>
      <c r="DLF15" s="9"/>
      <c r="DLG15" s="9"/>
      <c r="DLH15" s="10"/>
      <c r="DLI15" s="11"/>
      <c r="DLJ15" s="12"/>
      <c r="DLK15" s="12"/>
      <c r="DLL15" s="12"/>
      <c r="DLM15" s="13"/>
      <c r="DLN15" s="9"/>
      <c r="DLO15" s="9"/>
      <c r="DLP15" s="9"/>
      <c r="DLQ15" s="9"/>
      <c r="DLR15" s="10"/>
      <c r="DLS15" s="11"/>
      <c r="DLT15" s="12"/>
      <c r="DLU15" s="12"/>
      <c r="DLV15" s="12"/>
      <c r="DLW15" s="13"/>
      <c r="DLX15" s="9"/>
      <c r="DLY15" s="9"/>
      <c r="DLZ15" s="9"/>
      <c r="DMA15" s="9"/>
      <c r="DMB15" s="10"/>
      <c r="DMC15" s="11"/>
      <c r="DMD15" s="12"/>
      <c r="DME15" s="12"/>
      <c r="DMF15" s="12"/>
      <c r="DMG15" s="13"/>
      <c r="DMH15" s="9"/>
      <c r="DMI15" s="9"/>
      <c r="DMJ15" s="9"/>
      <c r="DMK15" s="9"/>
      <c r="DML15" s="10"/>
      <c r="DMM15" s="11"/>
      <c r="DMN15" s="12"/>
      <c r="DMO15" s="12"/>
      <c r="DMP15" s="12"/>
      <c r="DMQ15" s="13"/>
      <c r="DMR15" s="9"/>
      <c r="DMS15" s="9"/>
      <c r="DMT15" s="9"/>
      <c r="DMU15" s="9"/>
      <c r="DMV15" s="10"/>
      <c r="DMW15" s="11"/>
      <c r="DMX15" s="12"/>
      <c r="DMY15" s="12"/>
      <c r="DMZ15" s="12"/>
      <c r="DNA15" s="13"/>
      <c r="DNB15" s="9"/>
      <c r="DNC15" s="9"/>
      <c r="DND15" s="9"/>
      <c r="DNE15" s="9"/>
      <c r="DNF15" s="10"/>
      <c r="DNG15" s="11"/>
      <c r="DNH15" s="12"/>
      <c r="DNI15" s="12"/>
      <c r="DNJ15" s="12"/>
      <c r="DNK15" s="13"/>
      <c r="DNL15" s="9"/>
      <c r="DNM15" s="9"/>
      <c r="DNN15" s="9"/>
      <c r="DNO15" s="9"/>
      <c r="DNP15" s="10"/>
      <c r="DNQ15" s="11"/>
      <c r="DNR15" s="12"/>
      <c r="DNS15" s="12"/>
      <c r="DNT15" s="12"/>
      <c r="DNU15" s="13"/>
      <c r="DNV15" s="9"/>
      <c r="DNW15" s="9"/>
      <c r="DNX15" s="9"/>
      <c r="DNY15" s="9"/>
      <c r="DNZ15" s="10"/>
      <c r="DOA15" s="11"/>
      <c r="DOB15" s="12"/>
      <c r="DOC15" s="12"/>
      <c r="DOD15" s="12"/>
      <c r="DOE15" s="13"/>
      <c r="DOF15" s="9"/>
      <c r="DOG15" s="9"/>
      <c r="DOH15" s="9"/>
      <c r="DOI15" s="9"/>
      <c r="DOJ15" s="10"/>
      <c r="DOK15" s="11"/>
      <c r="DOL15" s="12"/>
      <c r="DOM15" s="12"/>
      <c r="DON15" s="12"/>
      <c r="DOO15" s="13"/>
      <c r="DOP15" s="9"/>
      <c r="DOQ15" s="9"/>
      <c r="DOR15" s="9"/>
      <c r="DOS15" s="9"/>
      <c r="DOT15" s="10"/>
      <c r="DOU15" s="11"/>
      <c r="DOV15" s="12"/>
      <c r="DOW15" s="12"/>
      <c r="DOX15" s="12"/>
      <c r="DOY15" s="13"/>
      <c r="DOZ15" s="9"/>
      <c r="DPA15" s="9"/>
      <c r="DPB15" s="9"/>
      <c r="DPC15" s="9"/>
      <c r="DPD15" s="10"/>
      <c r="DPE15" s="11"/>
      <c r="DPF15" s="12"/>
      <c r="DPG15" s="12"/>
      <c r="DPH15" s="12"/>
      <c r="DPI15" s="13"/>
      <c r="DPJ15" s="9"/>
      <c r="DPK15" s="9"/>
      <c r="DPL15" s="9"/>
      <c r="DPM15" s="9"/>
      <c r="DPN15" s="10"/>
      <c r="DPO15" s="11"/>
      <c r="DPP15" s="12"/>
      <c r="DPQ15" s="12"/>
      <c r="DPR15" s="12"/>
      <c r="DPS15" s="13"/>
      <c r="DPT15" s="9"/>
      <c r="DPU15" s="9"/>
      <c r="DPV15" s="9"/>
      <c r="DPW15" s="9"/>
      <c r="DPX15" s="10"/>
      <c r="DPY15" s="11"/>
      <c r="DPZ15" s="12"/>
      <c r="DQA15" s="12"/>
      <c r="DQB15" s="12"/>
      <c r="DQC15" s="13"/>
      <c r="DQD15" s="9"/>
      <c r="DQE15" s="9"/>
      <c r="DQF15" s="9"/>
      <c r="DQG15" s="9"/>
      <c r="DQH15" s="10"/>
      <c r="DQI15" s="11"/>
      <c r="DQJ15" s="12"/>
      <c r="DQK15" s="12"/>
      <c r="DQL15" s="12"/>
      <c r="DQM15" s="13"/>
      <c r="DQN15" s="9"/>
      <c r="DQO15" s="9"/>
      <c r="DQP15" s="9"/>
      <c r="DQQ15" s="9"/>
      <c r="DQR15" s="10"/>
      <c r="DQS15" s="11"/>
      <c r="DQT15" s="12"/>
      <c r="DQU15" s="12"/>
      <c r="DQV15" s="12"/>
      <c r="DQW15" s="13"/>
      <c r="DQX15" s="9"/>
      <c r="DQY15" s="9"/>
      <c r="DQZ15" s="9"/>
      <c r="DRA15" s="9"/>
      <c r="DRB15" s="10"/>
      <c r="DRC15" s="11"/>
      <c r="DRD15" s="12"/>
      <c r="DRE15" s="12"/>
      <c r="DRF15" s="12"/>
      <c r="DRG15" s="13"/>
      <c r="DRH15" s="9"/>
      <c r="DRI15" s="9"/>
      <c r="DRJ15" s="9"/>
      <c r="DRK15" s="9"/>
      <c r="DRL15" s="10"/>
      <c r="DRM15" s="11"/>
      <c r="DRN15" s="12"/>
      <c r="DRO15" s="12"/>
      <c r="DRP15" s="12"/>
      <c r="DRQ15" s="13"/>
      <c r="DRR15" s="9"/>
      <c r="DRS15" s="9"/>
      <c r="DRT15" s="9"/>
      <c r="DRU15" s="9"/>
      <c r="DRV15" s="10"/>
      <c r="DRW15" s="11"/>
      <c r="DRX15" s="12"/>
      <c r="DRY15" s="12"/>
      <c r="DRZ15" s="12"/>
      <c r="DSA15" s="13"/>
      <c r="DSB15" s="9"/>
      <c r="DSC15" s="9"/>
      <c r="DSD15" s="9"/>
      <c r="DSE15" s="9"/>
      <c r="DSF15" s="10"/>
      <c r="DSG15" s="11"/>
      <c r="DSH15" s="12"/>
      <c r="DSI15" s="12"/>
      <c r="DSJ15" s="12"/>
      <c r="DSK15" s="13"/>
      <c r="DSL15" s="9"/>
      <c r="DSM15" s="9"/>
      <c r="DSN15" s="9"/>
      <c r="DSO15" s="9"/>
      <c r="DSP15" s="10"/>
      <c r="DSQ15" s="11"/>
      <c r="DSR15" s="12"/>
      <c r="DSS15" s="12"/>
      <c r="DST15" s="12"/>
      <c r="DSU15" s="13"/>
      <c r="DSV15" s="9"/>
      <c r="DSW15" s="9"/>
      <c r="DSX15" s="9"/>
      <c r="DSY15" s="9"/>
      <c r="DSZ15" s="10"/>
      <c r="DTA15" s="11"/>
      <c r="DTB15" s="12"/>
      <c r="DTC15" s="12"/>
      <c r="DTD15" s="12"/>
      <c r="DTE15" s="13"/>
      <c r="DTF15" s="9"/>
      <c r="DTG15" s="9"/>
      <c r="DTH15" s="9"/>
      <c r="DTI15" s="9"/>
      <c r="DTJ15" s="10"/>
      <c r="DTK15" s="11"/>
      <c r="DTL15" s="12"/>
      <c r="DTM15" s="12"/>
      <c r="DTN15" s="12"/>
      <c r="DTO15" s="13"/>
      <c r="DTP15" s="9"/>
      <c r="DTQ15" s="9"/>
      <c r="DTR15" s="9"/>
      <c r="DTS15" s="9"/>
      <c r="DTT15" s="10"/>
      <c r="DTU15" s="11"/>
      <c r="DTV15" s="12"/>
      <c r="DTW15" s="12"/>
      <c r="DTX15" s="12"/>
      <c r="DTY15" s="13"/>
      <c r="DTZ15" s="9"/>
      <c r="DUA15" s="9"/>
      <c r="DUB15" s="9"/>
      <c r="DUC15" s="9"/>
      <c r="DUD15" s="10"/>
      <c r="DUE15" s="11"/>
      <c r="DUF15" s="12"/>
      <c r="DUG15" s="12"/>
      <c r="DUH15" s="12"/>
      <c r="DUI15" s="13"/>
      <c r="DUJ15" s="9"/>
      <c r="DUK15" s="9"/>
      <c r="DUL15" s="9"/>
      <c r="DUM15" s="9"/>
      <c r="DUN15" s="10"/>
      <c r="DUO15" s="11"/>
      <c r="DUP15" s="12"/>
      <c r="DUQ15" s="12"/>
      <c r="DUR15" s="12"/>
      <c r="DUS15" s="13"/>
      <c r="DUT15" s="9"/>
      <c r="DUU15" s="9"/>
      <c r="DUV15" s="9"/>
      <c r="DUW15" s="9"/>
      <c r="DUX15" s="10"/>
      <c r="DUY15" s="11"/>
      <c r="DUZ15" s="12"/>
      <c r="DVA15" s="12"/>
      <c r="DVB15" s="12"/>
      <c r="DVC15" s="13"/>
      <c r="DVD15" s="9"/>
      <c r="DVE15" s="9"/>
      <c r="DVF15" s="9"/>
      <c r="DVG15" s="9"/>
      <c r="DVH15" s="10"/>
      <c r="DVI15" s="11"/>
      <c r="DVJ15" s="12"/>
      <c r="DVK15" s="12"/>
      <c r="DVL15" s="12"/>
      <c r="DVM15" s="13"/>
      <c r="DVN15" s="9"/>
      <c r="DVO15" s="9"/>
      <c r="DVP15" s="9"/>
      <c r="DVQ15" s="9"/>
      <c r="DVR15" s="10"/>
      <c r="DVS15" s="11"/>
      <c r="DVT15" s="12"/>
      <c r="DVU15" s="12"/>
      <c r="DVV15" s="12"/>
      <c r="DVW15" s="13"/>
      <c r="DVX15" s="9"/>
      <c r="DVY15" s="9"/>
      <c r="DVZ15" s="9"/>
      <c r="DWA15" s="9"/>
      <c r="DWB15" s="10"/>
      <c r="DWC15" s="11"/>
      <c r="DWD15" s="12"/>
      <c r="DWE15" s="12"/>
      <c r="DWF15" s="12"/>
      <c r="DWG15" s="13"/>
      <c r="DWH15" s="9"/>
      <c r="DWI15" s="9"/>
      <c r="DWJ15" s="9"/>
      <c r="DWK15" s="9"/>
      <c r="DWL15" s="10"/>
      <c r="DWM15" s="11"/>
      <c r="DWN15" s="12"/>
      <c r="DWO15" s="12"/>
      <c r="DWP15" s="12"/>
      <c r="DWQ15" s="13"/>
      <c r="DWR15" s="9"/>
      <c r="DWS15" s="9"/>
      <c r="DWT15" s="9"/>
      <c r="DWU15" s="9"/>
      <c r="DWV15" s="10"/>
      <c r="DWW15" s="11"/>
      <c r="DWX15" s="12"/>
      <c r="DWY15" s="12"/>
      <c r="DWZ15" s="12"/>
      <c r="DXA15" s="13"/>
      <c r="DXB15" s="9"/>
      <c r="DXC15" s="9"/>
      <c r="DXD15" s="9"/>
      <c r="DXE15" s="9"/>
      <c r="DXF15" s="10"/>
      <c r="DXG15" s="11"/>
      <c r="DXH15" s="12"/>
      <c r="DXI15" s="12"/>
      <c r="DXJ15" s="12"/>
      <c r="DXK15" s="13"/>
      <c r="DXL15" s="9"/>
      <c r="DXM15" s="9"/>
      <c r="DXN15" s="9"/>
      <c r="DXO15" s="9"/>
      <c r="DXP15" s="10"/>
      <c r="DXQ15" s="11"/>
      <c r="DXR15" s="12"/>
      <c r="DXS15" s="12"/>
      <c r="DXT15" s="12"/>
      <c r="DXU15" s="13"/>
      <c r="DXV15" s="9"/>
      <c r="DXW15" s="9"/>
      <c r="DXX15" s="9"/>
      <c r="DXY15" s="9"/>
      <c r="DXZ15" s="10"/>
      <c r="DYA15" s="11"/>
      <c r="DYB15" s="12"/>
      <c r="DYC15" s="12"/>
      <c r="DYD15" s="12"/>
      <c r="DYE15" s="13"/>
      <c r="DYF15" s="9"/>
      <c r="DYG15" s="9"/>
      <c r="DYH15" s="9"/>
      <c r="DYI15" s="9"/>
      <c r="DYJ15" s="10"/>
      <c r="DYK15" s="11"/>
      <c r="DYL15" s="12"/>
      <c r="DYM15" s="12"/>
      <c r="DYN15" s="12"/>
      <c r="DYO15" s="13"/>
      <c r="DYP15" s="9"/>
      <c r="DYQ15" s="9"/>
      <c r="DYR15" s="9"/>
      <c r="DYS15" s="9"/>
      <c r="DYT15" s="10"/>
      <c r="DYU15" s="11"/>
      <c r="DYV15" s="12"/>
      <c r="DYW15" s="12"/>
      <c r="DYX15" s="12"/>
      <c r="DYY15" s="13"/>
      <c r="DYZ15" s="9"/>
      <c r="DZA15" s="9"/>
      <c r="DZB15" s="9"/>
      <c r="DZC15" s="9"/>
      <c r="DZD15" s="10"/>
      <c r="DZE15" s="11"/>
      <c r="DZF15" s="12"/>
      <c r="DZG15" s="12"/>
      <c r="DZH15" s="12"/>
      <c r="DZI15" s="13"/>
      <c r="DZJ15" s="9"/>
      <c r="DZK15" s="9"/>
      <c r="DZL15" s="9"/>
      <c r="DZM15" s="9"/>
      <c r="DZN15" s="10"/>
      <c r="DZO15" s="11"/>
      <c r="DZP15" s="12"/>
      <c r="DZQ15" s="12"/>
      <c r="DZR15" s="12"/>
      <c r="DZS15" s="13"/>
      <c r="DZT15" s="9"/>
      <c r="DZU15" s="9"/>
      <c r="DZV15" s="9"/>
      <c r="DZW15" s="9"/>
      <c r="DZX15" s="10"/>
      <c r="DZY15" s="11"/>
      <c r="DZZ15" s="12"/>
      <c r="EAA15" s="12"/>
      <c r="EAB15" s="12"/>
      <c r="EAC15" s="13"/>
      <c r="EAD15" s="9"/>
      <c r="EAE15" s="9"/>
      <c r="EAF15" s="9"/>
      <c r="EAG15" s="9"/>
      <c r="EAH15" s="10"/>
      <c r="EAI15" s="11"/>
      <c r="EAJ15" s="12"/>
      <c r="EAK15" s="12"/>
      <c r="EAL15" s="12"/>
      <c r="EAM15" s="13"/>
      <c r="EAN15" s="9"/>
      <c r="EAO15" s="9"/>
      <c r="EAP15" s="9"/>
      <c r="EAQ15" s="9"/>
      <c r="EAR15" s="10"/>
      <c r="EAS15" s="11"/>
      <c r="EAT15" s="12"/>
      <c r="EAU15" s="12"/>
      <c r="EAV15" s="12"/>
      <c r="EAW15" s="13"/>
      <c r="EAX15" s="9"/>
      <c r="EAY15" s="9"/>
      <c r="EAZ15" s="9"/>
      <c r="EBA15" s="9"/>
      <c r="EBB15" s="10"/>
      <c r="EBC15" s="11"/>
      <c r="EBD15" s="12"/>
      <c r="EBE15" s="12"/>
      <c r="EBF15" s="12"/>
      <c r="EBG15" s="13"/>
      <c r="EBH15" s="9"/>
      <c r="EBI15" s="9"/>
      <c r="EBJ15" s="9"/>
      <c r="EBK15" s="9"/>
      <c r="EBL15" s="10"/>
      <c r="EBM15" s="11"/>
      <c r="EBN15" s="12"/>
      <c r="EBO15" s="12"/>
      <c r="EBP15" s="12"/>
      <c r="EBQ15" s="13"/>
      <c r="EBR15" s="9"/>
      <c r="EBS15" s="9"/>
      <c r="EBT15" s="9"/>
      <c r="EBU15" s="9"/>
      <c r="EBV15" s="10"/>
      <c r="EBW15" s="11"/>
      <c r="EBX15" s="12"/>
      <c r="EBY15" s="12"/>
      <c r="EBZ15" s="12"/>
      <c r="ECA15" s="13"/>
      <c r="ECB15" s="9"/>
      <c r="ECC15" s="9"/>
      <c r="ECD15" s="9"/>
      <c r="ECE15" s="9"/>
      <c r="ECF15" s="10"/>
      <c r="ECG15" s="11"/>
      <c r="ECH15" s="12"/>
      <c r="ECI15" s="12"/>
      <c r="ECJ15" s="12"/>
      <c r="ECK15" s="13"/>
      <c r="ECL15" s="9"/>
      <c r="ECM15" s="9"/>
      <c r="ECN15" s="9"/>
      <c r="ECO15" s="9"/>
      <c r="ECP15" s="10"/>
      <c r="ECQ15" s="11"/>
      <c r="ECR15" s="12"/>
      <c r="ECS15" s="12"/>
      <c r="ECT15" s="12"/>
      <c r="ECU15" s="13"/>
      <c r="ECV15" s="9"/>
      <c r="ECW15" s="9"/>
      <c r="ECX15" s="9"/>
      <c r="ECY15" s="9"/>
      <c r="ECZ15" s="10"/>
      <c r="EDA15" s="11"/>
      <c r="EDB15" s="12"/>
      <c r="EDC15" s="12"/>
      <c r="EDD15" s="12"/>
      <c r="EDE15" s="13"/>
      <c r="EDF15" s="9"/>
      <c r="EDG15" s="9"/>
      <c r="EDH15" s="9"/>
      <c r="EDI15" s="9"/>
      <c r="EDJ15" s="10"/>
      <c r="EDK15" s="11"/>
      <c r="EDL15" s="12"/>
      <c r="EDM15" s="12"/>
      <c r="EDN15" s="12"/>
      <c r="EDO15" s="13"/>
      <c r="EDP15" s="9"/>
      <c r="EDQ15" s="9"/>
      <c r="EDR15" s="9"/>
      <c r="EDS15" s="9"/>
      <c r="EDT15" s="10"/>
      <c r="EDU15" s="11"/>
      <c r="EDV15" s="12"/>
      <c r="EDW15" s="12"/>
      <c r="EDX15" s="12"/>
      <c r="EDY15" s="13"/>
      <c r="EDZ15" s="9"/>
      <c r="EEA15" s="9"/>
      <c r="EEB15" s="9"/>
      <c r="EEC15" s="9"/>
      <c r="EED15" s="10"/>
      <c r="EEE15" s="11"/>
      <c r="EEF15" s="12"/>
      <c r="EEG15" s="12"/>
      <c r="EEH15" s="12"/>
      <c r="EEI15" s="13"/>
      <c r="EEJ15" s="9"/>
      <c r="EEK15" s="9"/>
      <c r="EEL15" s="9"/>
      <c r="EEM15" s="9"/>
      <c r="EEN15" s="10"/>
      <c r="EEO15" s="11"/>
      <c r="EEP15" s="12"/>
      <c r="EEQ15" s="12"/>
      <c r="EER15" s="12"/>
      <c r="EES15" s="13"/>
      <c r="EET15" s="9"/>
      <c r="EEU15" s="9"/>
      <c r="EEV15" s="9"/>
      <c r="EEW15" s="9"/>
      <c r="EEX15" s="10"/>
      <c r="EEY15" s="11"/>
      <c r="EEZ15" s="12"/>
      <c r="EFA15" s="12"/>
      <c r="EFB15" s="12"/>
      <c r="EFC15" s="13"/>
      <c r="EFD15" s="9"/>
      <c r="EFE15" s="9"/>
      <c r="EFF15" s="9"/>
      <c r="EFG15" s="9"/>
      <c r="EFH15" s="10"/>
      <c r="EFI15" s="11"/>
      <c r="EFJ15" s="12"/>
      <c r="EFK15" s="12"/>
      <c r="EFL15" s="12"/>
      <c r="EFM15" s="13"/>
      <c r="EFN15" s="9"/>
      <c r="EFO15" s="9"/>
      <c r="EFP15" s="9"/>
      <c r="EFQ15" s="9"/>
      <c r="EFR15" s="10"/>
      <c r="EFS15" s="11"/>
      <c r="EFT15" s="12"/>
      <c r="EFU15" s="12"/>
      <c r="EFV15" s="12"/>
      <c r="EFW15" s="13"/>
      <c r="EFX15" s="9"/>
      <c r="EFY15" s="9"/>
      <c r="EFZ15" s="9"/>
      <c r="EGA15" s="9"/>
      <c r="EGB15" s="10"/>
      <c r="EGC15" s="11"/>
      <c r="EGD15" s="12"/>
      <c r="EGE15" s="12"/>
      <c r="EGF15" s="12"/>
      <c r="EGG15" s="13"/>
      <c r="EGH15" s="9"/>
      <c r="EGI15" s="9"/>
      <c r="EGJ15" s="9"/>
      <c r="EGK15" s="9"/>
      <c r="EGL15" s="10"/>
      <c r="EGM15" s="11"/>
      <c r="EGN15" s="12"/>
      <c r="EGO15" s="12"/>
      <c r="EGP15" s="12"/>
      <c r="EGQ15" s="13"/>
      <c r="EGR15" s="9"/>
      <c r="EGS15" s="9"/>
      <c r="EGT15" s="9"/>
      <c r="EGU15" s="9"/>
      <c r="EGV15" s="10"/>
      <c r="EGW15" s="11"/>
      <c r="EGX15" s="12"/>
      <c r="EGY15" s="12"/>
      <c r="EGZ15" s="12"/>
      <c r="EHA15" s="13"/>
      <c r="EHB15" s="9"/>
      <c r="EHC15" s="9"/>
      <c r="EHD15" s="9"/>
      <c r="EHE15" s="9"/>
      <c r="EHF15" s="10"/>
      <c r="EHG15" s="11"/>
      <c r="EHH15" s="12"/>
      <c r="EHI15" s="12"/>
      <c r="EHJ15" s="12"/>
      <c r="EHK15" s="13"/>
      <c r="EHL15" s="9"/>
      <c r="EHM15" s="9"/>
      <c r="EHN15" s="9"/>
      <c r="EHO15" s="9"/>
      <c r="EHP15" s="10"/>
      <c r="EHQ15" s="11"/>
      <c r="EHR15" s="12"/>
      <c r="EHS15" s="12"/>
      <c r="EHT15" s="12"/>
      <c r="EHU15" s="13"/>
      <c r="EHV15" s="9"/>
      <c r="EHW15" s="9"/>
      <c r="EHX15" s="9"/>
      <c r="EHY15" s="9"/>
      <c r="EHZ15" s="10"/>
      <c r="EIA15" s="11"/>
      <c r="EIB15" s="12"/>
      <c r="EIC15" s="12"/>
      <c r="EID15" s="12"/>
      <c r="EIE15" s="13"/>
      <c r="EIF15" s="9"/>
      <c r="EIG15" s="9"/>
      <c r="EIH15" s="9"/>
      <c r="EII15" s="9"/>
      <c r="EIJ15" s="10"/>
      <c r="EIK15" s="11"/>
      <c r="EIL15" s="12"/>
      <c r="EIM15" s="12"/>
      <c r="EIN15" s="12"/>
      <c r="EIO15" s="13"/>
      <c r="EIP15" s="9"/>
      <c r="EIQ15" s="9"/>
      <c r="EIR15" s="9"/>
      <c r="EIS15" s="9"/>
      <c r="EIT15" s="10"/>
      <c r="EIU15" s="11"/>
      <c r="EIV15" s="12"/>
      <c r="EIW15" s="12"/>
      <c r="EIX15" s="12"/>
      <c r="EIY15" s="13"/>
      <c r="EIZ15" s="9"/>
      <c r="EJA15" s="9"/>
      <c r="EJB15" s="9"/>
      <c r="EJC15" s="9"/>
      <c r="EJD15" s="10"/>
      <c r="EJE15" s="11"/>
      <c r="EJF15" s="12"/>
      <c r="EJG15" s="12"/>
      <c r="EJH15" s="12"/>
      <c r="EJI15" s="13"/>
      <c r="EJJ15" s="9"/>
      <c r="EJK15" s="9"/>
      <c r="EJL15" s="9"/>
      <c r="EJM15" s="9"/>
      <c r="EJN15" s="10"/>
      <c r="EJO15" s="11"/>
      <c r="EJP15" s="12"/>
      <c r="EJQ15" s="12"/>
      <c r="EJR15" s="12"/>
      <c r="EJS15" s="13"/>
      <c r="EJT15" s="9"/>
      <c r="EJU15" s="9"/>
      <c r="EJV15" s="9"/>
      <c r="EJW15" s="9"/>
      <c r="EJX15" s="10"/>
      <c r="EJY15" s="11"/>
      <c r="EJZ15" s="12"/>
      <c r="EKA15" s="12"/>
      <c r="EKB15" s="12"/>
      <c r="EKC15" s="13"/>
      <c r="EKD15" s="9"/>
      <c r="EKE15" s="9"/>
      <c r="EKF15" s="9"/>
      <c r="EKG15" s="9"/>
      <c r="EKH15" s="10"/>
      <c r="EKI15" s="11"/>
      <c r="EKJ15" s="12"/>
      <c r="EKK15" s="12"/>
      <c r="EKL15" s="12"/>
      <c r="EKM15" s="13"/>
      <c r="EKN15" s="9"/>
      <c r="EKO15" s="9"/>
      <c r="EKP15" s="9"/>
      <c r="EKQ15" s="9"/>
      <c r="EKR15" s="10"/>
      <c r="EKS15" s="11"/>
      <c r="EKT15" s="12"/>
      <c r="EKU15" s="12"/>
      <c r="EKV15" s="12"/>
      <c r="EKW15" s="13"/>
      <c r="EKX15" s="9"/>
      <c r="EKY15" s="9"/>
      <c r="EKZ15" s="9"/>
      <c r="ELA15" s="9"/>
      <c r="ELB15" s="10"/>
      <c r="ELC15" s="11"/>
      <c r="ELD15" s="12"/>
      <c r="ELE15" s="12"/>
      <c r="ELF15" s="12"/>
      <c r="ELG15" s="13"/>
      <c r="ELH15" s="9"/>
      <c r="ELI15" s="9"/>
      <c r="ELJ15" s="9"/>
      <c r="ELK15" s="9"/>
      <c r="ELL15" s="10"/>
      <c r="ELM15" s="11"/>
      <c r="ELN15" s="12"/>
      <c r="ELO15" s="12"/>
      <c r="ELP15" s="12"/>
      <c r="ELQ15" s="13"/>
      <c r="ELR15" s="9"/>
      <c r="ELS15" s="9"/>
      <c r="ELT15" s="9"/>
      <c r="ELU15" s="9"/>
      <c r="ELV15" s="10"/>
      <c r="ELW15" s="11"/>
      <c r="ELX15" s="12"/>
      <c r="ELY15" s="12"/>
      <c r="ELZ15" s="12"/>
      <c r="EMA15" s="13"/>
      <c r="EMB15" s="9"/>
      <c r="EMC15" s="9"/>
      <c r="EMD15" s="9"/>
      <c r="EME15" s="9"/>
      <c r="EMF15" s="10"/>
      <c r="EMG15" s="11"/>
      <c r="EMH15" s="12"/>
      <c r="EMI15" s="12"/>
      <c r="EMJ15" s="12"/>
      <c r="EMK15" s="13"/>
      <c r="EML15" s="9"/>
      <c r="EMM15" s="9"/>
      <c r="EMN15" s="9"/>
      <c r="EMO15" s="9"/>
      <c r="EMP15" s="10"/>
      <c r="EMQ15" s="11"/>
      <c r="EMR15" s="12"/>
      <c r="EMS15" s="12"/>
      <c r="EMT15" s="12"/>
      <c r="EMU15" s="13"/>
      <c r="EMV15" s="9"/>
      <c r="EMW15" s="9"/>
      <c r="EMX15" s="9"/>
      <c r="EMY15" s="9"/>
      <c r="EMZ15" s="10"/>
      <c r="ENA15" s="11"/>
      <c r="ENB15" s="12"/>
      <c r="ENC15" s="12"/>
      <c r="END15" s="12"/>
      <c r="ENE15" s="13"/>
      <c r="ENF15" s="9"/>
      <c r="ENG15" s="9"/>
      <c r="ENH15" s="9"/>
      <c r="ENI15" s="9"/>
      <c r="ENJ15" s="10"/>
      <c r="ENK15" s="11"/>
      <c r="ENL15" s="12"/>
      <c r="ENM15" s="12"/>
      <c r="ENN15" s="12"/>
      <c r="ENO15" s="13"/>
      <c r="ENP15" s="9"/>
      <c r="ENQ15" s="9"/>
      <c r="ENR15" s="9"/>
      <c r="ENS15" s="9"/>
      <c r="ENT15" s="10"/>
      <c r="ENU15" s="11"/>
      <c r="ENV15" s="12"/>
      <c r="ENW15" s="12"/>
      <c r="ENX15" s="12"/>
      <c r="ENY15" s="13"/>
      <c r="ENZ15" s="9"/>
      <c r="EOA15" s="9"/>
      <c r="EOB15" s="9"/>
      <c r="EOC15" s="9"/>
      <c r="EOD15" s="10"/>
      <c r="EOE15" s="11"/>
      <c r="EOF15" s="12"/>
      <c r="EOG15" s="12"/>
      <c r="EOH15" s="12"/>
      <c r="EOI15" s="13"/>
      <c r="EOJ15" s="9"/>
      <c r="EOK15" s="9"/>
      <c r="EOL15" s="9"/>
      <c r="EOM15" s="9"/>
      <c r="EON15" s="10"/>
      <c r="EOO15" s="11"/>
      <c r="EOP15" s="12"/>
      <c r="EOQ15" s="12"/>
      <c r="EOR15" s="12"/>
      <c r="EOS15" s="13"/>
      <c r="EOT15" s="9"/>
      <c r="EOU15" s="9"/>
      <c r="EOV15" s="9"/>
      <c r="EOW15" s="9"/>
      <c r="EOX15" s="10"/>
      <c r="EOY15" s="11"/>
      <c r="EOZ15" s="12"/>
      <c r="EPA15" s="12"/>
      <c r="EPB15" s="12"/>
      <c r="EPC15" s="13"/>
      <c r="EPD15" s="9"/>
      <c r="EPE15" s="9"/>
      <c r="EPF15" s="9"/>
      <c r="EPG15" s="9"/>
      <c r="EPH15" s="10"/>
      <c r="EPI15" s="11"/>
      <c r="EPJ15" s="12"/>
      <c r="EPK15" s="12"/>
      <c r="EPL15" s="12"/>
      <c r="EPM15" s="13"/>
      <c r="EPN15" s="9"/>
      <c r="EPO15" s="9"/>
      <c r="EPP15" s="9"/>
      <c r="EPQ15" s="9"/>
      <c r="EPR15" s="10"/>
      <c r="EPS15" s="11"/>
      <c r="EPT15" s="12"/>
      <c r="EPU15" s="12"/>
      <c r="EPV15" s="12"/>
      <c r="EPW15" s="13"/>
      <c r="EPX15" s="9"/>
      <c r="EPY15" s="9"/>
      <c r="EPZ15" s="9"/>
      <c r="EQA15" s="9"/>
      <c r="EQB15" s="10"/>
      <c r="EQC15" s="11"/>
      <c r="EQD15" s="12"/>
      <c r="EQE15" s="12"/>
      <c r="EQF15" s="12"/>
      <c r="EQG15" s="13"/>
      <c r="EQH15" s="9"/>
      <c r="EQI15" s="9"/>
      <c r="EQJ15" s="9"/>
      <c r="EQK15" s="9"/>
      <c r="EQL15" s="10"/>
      <c r="EQM15" s="11"/>
      <c r="EQN15" s="12"/>
      <c r="EQO15" s="12"/>
      <c r="EQP15" s="12"/>
      <c r="EQQ15" s="13"/>
      <c r="EQR15" s="9"/>
      <c r="EQS15" s="9"/>
      <c r="EQT15" s="9"/>
      <c r="EQU15" s="9"/>
      <c r="EQV15" s="10"/>
      <c r="EQW15" s="11"/>
      <c r="EQX15" s="12"/>
      <c r="EQY15" s="12"/>
      <c r="EQZ15" s="12"/>
      <c r="ERA15" s="13"/>
      <c r="ERB15" s="9"/>
      <c r="ERC15" s="9"/>
      <c r="ERD15" s="9"/>
      <c r="ERE15" s="9"/>
      <c r="ERF15" s="10"/>
      <c r="ERG15" s="11"/>
      <c r="ERH15" s="12"/>
      <c r="ERI15" s="12"/>
      <c r="ERJ15" s="12"/>
      <c r="ERK15" s="13"/>
      <c r="ERL15" s="9"/>
      <c r="ERM15" s="9"/>
      <c r="ERN15" s="9"/>
      <c r="ERO15" s="9"/>
      <c r="ERP15" s="10"/>
      <c r="ERQ15" s="11"/>
      <c r="ERR15" s="12"/>
      <c r="ERS15" s="12"/>
      <c r="ERT15" s="12"/>
      <c r="ERU15" s="13"/>
      <c r="ERV15" s="9"/>
      <c r="ERW15" s="9"/>
      <c r="ERX15" s="9"/>
      <c r="ERY15" s="9"/>
      <c r="ERZ15" s="10"/>
      <c r="ESA15" s="11"/>
      <c r="ESB15" s="12"/>
      <c r="ESC15" s="12"/>
      <c r="ESD15" s="12"/>
      <c r="ESE15" s="13"/>
      <c r="ESF15" s="9"/>
      <c r="ESG15" s="9"/>
      <c r="ESH15" s="9"/>
      <c r="ESI15" s="9"/>
      <c r="ESJ15" s="10"/>
      <c r="ESK15" s="11"/>
      <c r="ESL15" s="12"/>
      <c r="ESM15" s="12"/>
      <c r="ESN15" s="12"/>
      <c r="ESO15" s="13"/>
      <c r="ESP15" s="9"/>
      <c r="ESQ15" s="9"/>
      <c r="ESR15" s="9"/>
      <c r="ESS15" s="9"/>
      <c r="EST15" s="10"/>
      <c r="ESU15" s="11"/>
      <c r="ESV15" s="12"/>
      <c r="ESW15" s="12"/>
      <c r="ESX15" s="12"/>
      <c r="ESY15" s="13"/>
      <c r="ESZ15" s="9"/>
      <c r="ETA15" s="9"/>
      <c r="ETB15" s="9"/>
      <c r="ETC15" s="9"/>
      <c r="ETD15" s="10"/>
      <c r="ETE15" s="11"/>
      <c r="ETF15" s="12"/>
      <c r="ETG15" s="12"/>
      <c r="ETH15" s="12"/>
      <c r="ETI15" s="13"/>
      <c r="ETJ15" s="9"/>
      <c r="ETK15" s="9"/>
      <c r="ETL15" s="9"/>
      <c r="ETM15" s="9"/>
      <c r="ETN15" s="10"/>
      <c r="ETO15" s="11"/>
      <c r="ETP15" s="12"/>
      <c r="ETQ15" s="12"/>
      <c r="ETR15" s="12"/>
      <c r="ETS15" s="13"/>
      <c r="ETT15" s="9"/>
      <c r="ETU15" s="9"/>
      <c r="ETV15" s="9"/>
      <c r="ETW15" s="9"/>
      <c r="ETX15" s="10"/>
      <c r="ETY15" s="11"/>
      <c r="ETZ15" s="12"/>
      <c r="EUA15" s="12"/>
      <c r="EUB15" s="12"/>
      <c r="EUC15" s="13"/>
      <c r="EUD15" s="9"/>
      <c r="EUE15" s="9"/>
      <c r="EUF15" s="9"/>
      <c r="EUG15" s="9"/>
      <c r="EUH15" s="10"/>
      <c r="EUI15" s="11"/>
      <c r="EUJ15" s="12"/>
      <c r="EUK15" s="12"/>
      <c r="EUL15" s="12"/>
      <c r="EUM15" s="13"/>
      <c r="EUN15" s="9"/>
      <c r="EUO15" s="9"/>
      <c r="EUP15" s="9"/>
      <c r="EUQ15" s="9"/>
      <c r="EUR15" s="10"/>
      <c r="EUS15" s="11"/>
      <c r="EUT15" s="12"/>
      <c r="EUU15" s="12"/>
      <c r="EUV15" s="12"/>
      <c r="EUW15" s="13"/>
      <c r="EUX15" s="9"/>
      <c r="EUY15" s="9"/>
      <c r="EUZ15" s="9"/>
      <c r="EVA15" s="9"/>
      <c r="EVB15" s="10"/>
      <c r="EVC15" s="11"/>
      <c r="EVD15" s="12"/>
      <c r="EVE15" s="12"/>
      <c r="EVF15" s="12"/>
      <c r="EVG15" s="13"/>
      <c r="EVH15" s="9"/>
      <c r="EVI15" s="9"/>
      <c r="EVJ15" s="9"/>
      <c r="EVK15" s="9"/>
      <c r="EVL15" s="10"/>
      <c r="EVM15" s="11"/>
      <c r="EVN15" s="12"/>
      <c r="EVO15" s="12"/>
      <c r="EVP15" s="12"/>
      <c r="EVQ15" s="13"/>
      <c r="EVR15" s="9"/>
      <c r="EVS15" s="9"/>
      <c r="EVT15" s="9"/>
      <c r="EVU15" s="9"/>
      <c r="EVV15" s="10"/>
      <c r="EVW15" s="11"/>
      <c r="EVX15" s="12"/>
      <c r="EVY15" s="12"/>
      <c r="EVZ15" s="12"/>
      <c r="EWA15" s="13"/>
      <c r="EWB15" s="9"/>
      <c r="EWC15" s="9"/>
      <c r="EWD15" s="9"/>
      <c r="EWE15" s="9"/>
      <c r="EWF15" s="10"/>
      <c r="EWG15" s="11"/>
      <c r="EWH15" s="12"/>
      <c r="EWI15" s="12"/>
      <c r="EWJ15" s="12"/>
      <c r="EWK15" s="13"/>
      <c r="EWL15" s="9"/>
      <c r="EWM15" s="9"/>
      <c r="EWN15" s="9"/>
      <c r="EWO15" s="9"/>
      <c r="EWP15" s="10"/>
      <c r="EWQ15" s="11"/>
      <c r="EWR15" s="12"/>
      <c r="EWS15" s="12"/>
      <c r="EWT15" s="12"/>
      <c r="EWU15" s="13"/>
      <c r="EWV15" s="9"/>
      <c r="EWW15" s="9"/>
      <c r="EWX15" s="9"/>
      <c r="EWY15" s="9"/>
      <c r="EWZ15" s="10"/>
      <c r="EXA15" s="11"/>
      <c r="EXB15" s="12"/>
      <c r="EXC15" s="12"/>
      <c r="EXD15" s="12"/>
      <c r="EXE15" s="13"/>
      <c r="EXF15" s="9"/>
      <c r="EXG15" s="9"/>
      <c r="EXH15" s="9"/>
      <c r="EXI15" s="9"/>
      <c r="EXJ15" s="10"/>
      <c r="EXK15" s="11"/>
      <c r="EXL15" s="12"/>
      <c r="EXM15" s="12"/>
      <c r="EXN15" s="12"/>
      <c r="EXO15" s="13"/>
      <c r="EXP15" s="9"/>
      <c r="EXQ15" s="9"/>
      <c r="EXR15" s="9"/>
      <c r="EXS15" s="9"/>
      <c r="EXT15" s="10"/>
      <c r="EXU15" s="11"/>
      <c r="EXV15" s="12"/>
      <c r="EXW15" s="12"/>
      <c r="EXX15" s="12"/>
      <c r="EXY15" s="13"/>
      <c r="EXZ15" s="9"/>
      <c r="EYA15" s="9"/>
      <c r="EYB15" s="9"/>
      <c r="EYC15" s="9"/>
      <c r="EYD15" s="10"/>
      <c r="EYE15" s="11"/>
      <c r="EYF15" s="12"/>
      <c r="EYG15" s="12"/>
      <c r="EYH15" s="12"/>
      <c r="EYI15" s="13"/>
      <c r="EYJ15" s="9"/>
      <c r="EYK15" s="9"/>
      <c r="EYL15" s="9"/>
      <c r="EYM15" s="9"/>
      <c r="EYN15" s="10"/>
      <c r="EYO15" s="11"/>
      <c r="EYP15" s="12"/>
      <c r="EYQ15" s="12"/>
      <c r="EYR15" s="12"/>
      <c r="EYS15" s="13"/>
      <c r="EYT15" s="9"/>
      <c r="EYU15" s="9"/>
      <c r="EYV15" s="9"/>
      <c r="EYW15" s="9"/>
      <c r="EYX15" s="10"/>
      <c r="EYY15" s="11"/>
      <c r="EYZ15" s="12"/>
      <c r="EZA15" s="12"/>
      <c r="EZB15" s="12"/>
      <c r="EZC15" s="13"/>
      <c r="EZD15" s="9"/>
      <c r="EZE15" s="9"/>
      <c r="EZF15" s="9"/>
      <c r="EZG15" s="9"/>
      <c r="EZH15" s="10"/>
      <c r="EZI15" s="11"/>
      <c r="EZJ15" s="12"/>
      <c r="EZK15" s="12"/>
      <c r="EZL15" s="12"/>
      <c r="EZM15" s="13"/>
      <c r="EZN15" s="9"/>
      <c r="EZO15" s="9"/>
      <c r="EZP15" s="9"/>
      <c r="EZQ15" s="9"/>
      <c r="EZR15" s="10"/>
      <c r="EZS15" s="11"/>
      <c r="EZT15" s="12"/>
      <c r="EZU15" s="12"/>
      <c r="EZV15" s="12"/>
      <c r="EZW15" s="13"/>
      <c r="EZX15" s="9"/>
      <c r="EZY15" s="9"/>
      <c r="EZZ15" s="9"/>
      <c r="FAA15" s="9"/>
      <c r="FAB15" s="10"/>
      <c r="FAC15" s="11"/>
      <c r="FAD15" s="12"/>
      <c r="FAE15" s="12"/>
      <c r="FAF15" s="12"/>
      <c r="FAG15" s="13"/>
      <c r="FAH15" s="9"/>
      <c r="FAI15" s="9"/>
      <c r="FAJ15" s="9"/>
      <c r="FAK15" s="9"/>
      <c r="FAL15" s="10"/>
      <c r="FAM15" s="11"/>
      <c r="FAN15" s="12"/>
      <c r="FAO15" s="12"/>
      <c r="FAP15" s="12"/>
      <c r="FAQ15" s="13"/>
      <c r="FAR15" s="9"/>
      <c r="FAS15" s="9"/>
      <c r="FAT15" s="9"/>
      <c r="FAU15" s="9"/>
      <c r="FAV15" s="10"/>
      <c r="FAW15" s="11"/>
      <c r="FAX15" s="12"/>
      <c r="FAY15" s="12"/>
      <c r="FAZ15" s="12"/>
      <c r="FBA15" s="13"/>
      <c r="FBB15" s="9"/>
      <c r="FBC15" s="9"/>
      <c r="FBD15" s="9"/>
      <c r="FBE15" s="9"/>
      <c r="FBF15" s="10"/>
      <c r="FBG15" s="11"/>
      <c r="FBH15" s="12"/>
      <c r="FBI15" s="12"/>
      <c r="FBJ15" s="12"/>
      <c r="FBK15" s="13"/>
      <c r="FBL15" s="9"/>
      <c r="FBM15" s="9"/>
      <c r="FBN15" s="9"/>
      <c r="FBO15" s="9"/>
      <c r="FBP15" s="10"/>
      <c r="FBQ15" s="11"/>
      <c r="FBR15" s="12"/>
      <c r="FBS15" s="12"/>
      <c r="FBT15" s="12"/>
      <c r="FBU15" s="13"/>
      <c r="FBV15" s="9"/>
      <c r="FBW15" s="9"/>
      <c r="FBX15" s="9"/>
      <c r="FBY15" s="9"/>
      <c r="FBZ15" s="10"/>
      <c r="FCA15" s="11"/>
      <c r="FCB15" s="12"/>
      <c r="FCC15" s="12"/>
      <c r="FCD15" s="12"/>
      <c r="FCE15" s="13"/>
      <c r="FCF15" s="9"/>
      <c r="FCG15" s="9"/>
      <c r="FCH15" s="9"/>
      <c r="FCI15" s="9"/>
      <c r="FCJ15" s="10"/>
      <c r="FCK15" s="11"/>
      <c r="FCL15" s="12"/>
      <c r="FCM15" s="12"/>
      <c r="FCN15" s="12"/>
      <c r="FCO15" s="13"/>
      <c r="FCP15" s="9"/>
      <c r="FCQ15" s="9"/>
      <c r="FCR15" s="9"/>
      <c r="FCS15" s="9"/>
      <c r="FCT15" s="10"/>
      <c r="FCU15" s="11"/>
      <c r="FCV15" s="12"/>
      <c r="FCW15" s="12"/>
      <c r="FCX15" s="12"/>
      <c r="FCY15" s="13"/>
      <c r="FCZ15" s="9"/>
      <c r="FDA15" s="9"/>
      <c r="FDB15" s="9"/>
      <c r="FDC15" s="9"/>
      <c r="FDD15" s="10"/>
      <c r="FDE15" s="11"/>
      <c r="FDF15" s="12"/>
      <c r="FDG15" s="12"/>
      <c r="FDH15" s="12"/>
      <c r="FDI15" s="13"/>
      <c r="FDJ15" s="9"/>
      <c r="FDK15" s="9"/>
      <c r="FDL15" s="9"/>
      <c r="FDM15" s="9"/>
      <c r="FDN15" s="10"/>
      <c r="FDO15" s="11"/>
      <c r="FDP15" s="12"/>
      <c r="FDQ15" s="12"/>
      <c r="FDR15" s="12"/>
      <c r="FDS15" s="13"/>
      <c r="FDT15" s="9"/>
      <c r="FDU15" s="9"/>
      <c r="FDV15" s="9"/>
      <c r="FDW15" s="9"/>
      <c r="FDX15" s="10"/>
      <c r="FDY15" s="11"/>
      <c r="FDZ15" s="12"/>
      <c r="FEA15" s="12"/>
      <c r="FEB15" s="12"/>
      <c r="FEC15" s="13"/>
      <c r="FED15" s="9"/>
      <c r="FEE15" s="9"/>
      <c r="FEF15" s="9"/>
      <c r="FEG15" s="9"/>
      <c r="FEH15" s="10"/>
      <c r="FEI15" s="11"/>
      <c r="FEJ15" s="12"/>
      <c r="FEK15" s="12"/>
      <c r="FEL15" s="12"/>
      <c r="FEM15" s="13"/>
      <c r="FEN15" s="9"/>
      <c r="FEO15" s="9"/>
      <c r="FEP15" s="9"/>
      <c r="FEQ15" s="9"/>
      <c r="FER15" s="10"/>
      <c r="FES15" s="11"/>
      <c r="FET15" s="12"/>
      <c r="FEU15" s="12"/>
      <c r="FEV15" s="12"/>
      <c r="FEW15" s="13"/>
      <c r="FEX15" s="9"/>
      <c r="FEY15" s="9"/>
      <c r="FEZ15" s="9"/>
      <c r="FFA15" s="9"/>
      <c r="FFB15" s="10"/>
      <c r="FFC15" s="11"/>
      <c r="FFD15" s="12"/>
      <c r="FFE15" s="12"/>
      <c r="FFF15" s="12"/>
      <c r="FFG15" s="13"/>
      <c r="FFH15" s="9"/>
      <c r="FFI15" s="9"/>
      <c r="FFJ15" s="9"/>
      <c r="FFK15" s="9"/>
      <c r="FFL15" s="10"/>
      <c r="FFM15" s="11"/>
      <c r="FFN15" s="12"/>
      <c r="FFO15" s="12"/>
      <c r="FFP15" s="12"/>
      <c r="FFQ15" s="13"/>
      <c r="FFR15" s="9"/>
      <c r="FFS15" s="9"/>
      <c r="FFT15" s="9"/>
      <c r="FFU15" s="9"/>
      <c r="FFV15" s="10"/>
      <c r="FFW15" s="11"/>
      <c r="FFX15" s="12"/>
      <c r="FFY15" s="12"/>
      <c r="FFZ15" s="12"/>
      <c r="FGA15" s="13"/>
      <c r="FGB15" s="9"/>
      <c r="FGC15" s="9"/>
      <c r="FGD15" s="9"/>
      <c r="FGE15" s="9"/>
      <c r="FGF15" s="10"/>
      <c r="FGG15" s="11"/>
      <c r="FGH15" s="12"/>
      <c r="FGI15" s="12"/>
      <c r="FGJ15" s="12"/>
      <c r="FGK15" s="13"/>
      <c r="FGL15" s="9"/>
      <c r="FGM15" s="9"/>
      <c r="FGN15" s="9"/>
      <c r="FGO15" s="9"/>
      <c r="FGP15" s="10"/>
      <c r="FGQ15" s="11"/>
      <c r="FGR15" s="12"/>
      <c r="FGS15" s="12"/>
      <c r="FGT15" s="12"/>
      <c r="FGU15" s="13"/>
      <c r="FGV15" s="9"/>
      <c r="FGW15" s="9"/>
      <c r="FGX15" s="9"/>
      <c r="FGY15" s="9"/>
      <c r="FGZ15" s="10"/>
      <c r="FHA15" s="11"/>
      <c r="FHB15" s="12"/>
      <c r="FHC15" s="12"/>
      <c r="FHD15" s="12"/>
      <c r="FHE15" s="13"/>
      <c r="FHF15" s="9"/>
      <c r="FHG15" s="9"/>
      <c r="FHH15" s="9"/>
      <c r="FHI15" s="9"/>
      <c r="FHJ15" s="10"/>
      <c r="FHK15" s="11"/>
      <c r="FHL15" s="12"/>
      <c r="FHM15" s="12"/>
      <c r="FHN15" s="12"/>
      <c r="FHO15" s="13"/>
      <c r="FHP15" s="9"/>
      <c r="FHQ15" s="9"/>
      <c r="FHR15" s="9"/>
      <c r="FHS15" s="9"/>
      <c r="FHT15" s="10"/>
      <c r="FHU15" s="11"/>
      <c r="FHV15" s="12"/>
      <c r="FHW15" s="12"/>
      <c r="FHX15" s="12"/>
      <c r="FHY15" s="13"/>
      <c r="FHZ15" s="9"/>
      <c r="FIA15" s="9"/>
      <c r="FIB15" s="9"/>
      <c r="FIC15" s="9"/>
      <c r="FID15" s="10"/>
      <c r="FIE15" s="11"/>
      <c r="FIF15" s="12"/>
      <c r="FIG15" s="12"/>
      <c r="FIH15" s="12"/>
      <c r="FII15" s="13"/>
      <c r="FIJ15" s="9"/>
      <c r="FIK15" s="9"/>
      <c r="FIL15" s="9"/>
      <c r="FIM15" s="9"/>
      <c r="FIN15" s="10"/>
      <c r="FIO15" s="11"/>
      <c r="FIP15" s="12"/>
      <c r="FIQ15" s="12"/>
      <c r="FIR15" s="12"/>
      <c r="FIS15" s="13"/>
      <c r="FIT15" s="9"/>
      <c r="FIU15" s="9"/>
      <c r="FIV15" s="9"/>
      <c r="FIW15" s="9"/>
      <c r="FIX15" s="10"/>
      <c r="FIY15" s="11"/>
      <c r="FIZ15" s="12"/>
      <c r="FJA15" s="12"/>
      <c r="FJB15" s="12"/>
      <c r="FJC15" s="13"/>
      <c r="FJD15" s="9"/>
      <c r="FJE15" s="9"/>
      <c r="FJF15" s="9"/>
      <c r="FJG15" s="9"/>
      <c r="FJH15" s="10"/>
      <c r="FJI15" s="11"/>
      <c r="FJJ15" s="12"/>
      <c r="FJK15" s="12"/>
      <c r="FJL15" s="12"/>
      <c r="FJM15" s="13"/>
      <c r="FJN15" s="9"/>
      <c r="FJO15" s="9"/>
      <c r="FJP15" s="9"/>
      <c r="FJQ15" s="9"/>
      <c r="FJR15" s="10"/>
      <c r="FJS15" s="11"/>
      <c r="FJT15" s="12"/>
      <c r="FJU15" s="12"/>
      <c r="FJV15" s="12"/>
      <c r="FJW15" s="13"/>
      <c r="FJX15" s="9"/>
      <c r="FJY15" s="9"/>
      <c r="FJZ15" s="9"/>
      <c r="FKA15" s="9"/>
      <c r="FKB15" s="10"/>
      <c r="FKC15" s="11"/>
      <c r="FKD15" s="12"/>
      <c r="FKE15" s="12"/>
      <c r="FKF15" s="12"/>
      <c r="FKG15" s="13"/>
      <c r="FKH15" s="9"/>
      <c r="FKI15" s="9"/>
      <c r="FKJ15" s="9"/>
      <c r="FKK15" s="9"/>
      <c r="FKL15" s="10"/>
      <c r="FKM15" s="11"/>
      <c r="FKN15" s="12"/>
      <c r="FKO15" s="12"/>
      <c r="FKP15" s="12"/>
      <c r="FKQ15" s="13"/>
      <c r="FKR15" s="9"/>
      <c r="FKS15" s="9"/>
      <c r="FKT15" s="9"/>
      <c r="FKU15" s="9"/>
      <c r="FKV15" s="10"/>
      <c r="FKW15" s="11"/>
      <c r="FKX15" s="12"/>
      <c r="FKY15" s="12"/>
      <c r="FKZ15" s="12"/>
      <c r="FLA15" s="13"/>
      <c r="FLB15" s="9"/>
      <c r="FLC15" s="9"/>
      <c r="FLD15" s="9"/>
      <c r="FLE15" s="9"/>
      <c r="FLF15" s="10"/>
      <c r="FLG15" s="11"/>
      <c r="FLH15" s="12"/>
      <c r="FLI15" s="12"/>
      <c r="FLJ15" s="12"/>
      <c r="FLK15" s="13"/>
      <c r="FLL15" s="9"/>
      <c r="FLM15" s="9"/>
      <c r="FLN15" s="9"/>
      <c r="FLO15" s="9"/>
      <c r="FLP15" s="10"/>
      <c r="FLQ15" s="11"/>
      <c r="FLR15" s="12"/>
      <c r="FLS15" s="12"/>
      <c r="FLT15" s="12"/>
      <c r="FLU15" s="13"/>
      <c r="FLV15" s="9"/>
      <c r="FLW15" s="9"/>
      <c r="FLX15" s="9"/>
      <c r="FLY15" s="9"/>
      <c r="FLZ15" s="10"/>
      <c r="FMA15" s="11"/>
      <c r="FMB15" s="12"/>
      <c r="FMC15" s="12"/>
      <c r="FMD15" s="12"/>
      <c r="FME15" s="13"/>
      <c r="FMF15" s="9"/>
      <c r="FMG15" s="9"/>
      <c r="FMH15" s="9"/>
      <c r="FMI15" s="9"/>
      <c r="FMJ15" s="10"/>
      <c r="FMK15" s="11"/>
      <c r="FML15" s="12"/>
      <c r="FMM15" s="12"/>
      <c r="FMN15" s="12"/>
      <c r="FMO15" s="13"/>
      <c r="FMP15" s="9"/>
      <c r="FMQ15" s="9"/>
      <c r="FMR15" s="9"/>
      <c r="FMS15" s="9"/>
      <c r="FMT15" s="10"/>
      <c r="FMU15" s="11"/>
      <c r="FMV15" s="12"/>
      <c r="FMW15" s="12"/>
      <c r="FMX15" s="12"/>
      <c r="FMY15" s="13"/>
      <c r="FMZ15" s="9"/>
      <c r="FNA15" s="9"/>
      <c r="FNB15" s="9"/>
      <c r="FNC15" s="9"/>
      <c r="FND15" s="10"/>
      <c r="FNE15" s="11"/>
      <c r="FNF15" s="12"/>
      <c r="FNG15" s="12"/>
      <c r="FNH15" s="12"/>
      <c r="FNI15" s="13"/>
      <c r="FNJ15" s="9"/>
      <c r="FNK15" s="9"/>
      <c r="FNL15" s="9"/>
      <c r="FNM15" s="9"/>
      <c r="FNN15" s="10"/>
      <c r="FNO15" s="11"/>
      <c r="FNP15" s="12"/>
      <c r="FNQ15" s="12"/>
      <c r="FNR15" s="12"/>
      <c r="FNS15" s="13"/>
      <c r="FNT15" s="9"/>
      <c r="FNU15" s="9"/>
      <c r="FNV15" s="9"/>
      <c r="FNW15" s="9"/>
      <c r="FNX15" s="10"/>
      <c r="FNY15" s="11"/>
      <c r="FNZ15" s="12"/>
      <c r="FOA15" s="12"/>
      <c r="FOB15" s="12"/>
      <c r="FOC15" s="13"/>
      <c r="FOD15" s="9"/>
      <c r="FOE15" s="9"/>
      <c r="FOF15" s="9"/>
      <c r="FOG15" s="9"/>
      <c r="FOH15" s="10"/>
      <c r="FOI15" s="11"/>
      <c r="FOJ15" s="12"/>
      <c r="FOK15" s="12"/>
      <c r="FOL15" s="12"/>
      <c r="FOM15" s="13"/>
      <c r="FON15" s="9"/>
      <c r="FOO15" s="9"/>
      <c r="FOP15" s="9"/>
      <c r="FOQ15" s="9"/>
      <c r="FOR15" s="10"/>
      <c r="FOS15" s="11"/>
      <c r="FOT15" s="12"/>
      <c r="FOU15" s="12"/>
      <c r="FOV15" s="12"/>
      <c r="FOW15" s="13"/>
      <c r="FOX15" s="9"/>
      <c r="FOY15" s="9"/>
      <c r="FOZ15" s="9"/>
      <c r="FPA15" s="9"/>
      <c r="FPB15" s="10"/>
      <c r="FPC15" s="11"/>
      <c r="FPD15" s="12"/>
      <c r="FPE15" s="12"/>
      <c r="FPF15" s="12"/>
      <c r="FPG15" s="13"/>
      <c r="FPH15" s="9"/>
      <c r="FPI15" s="9"/>
      <c r="FPJ15" s="9"/>
      <c r="FPK15" s="9"/>
      <c r="FPL15" s="10"/>
      <c r="FPM15" s="11"/>
      <c r="FPN15" s="12"/>
      <c r="FPO15" s="12"/>
      <c r="FPP15" s="12"/>
      <c r="FPQ15" s="13"/>
      <c r="FPR15" s="9"/>
      <c r="FPS15" s="9"/>
      <c r="FPT15" s="9"/>
      <c r="FPU15" s="9"/>
      <c r="FPV15" s="10"/>
      <c r="FPW15" s="11"/>
      <c r="FPX15" s="12"/>
      <c r="FPY15" s="12"/>
      <c r="FPZ15" s="12"/>
      <c r="FQA15" s="13"/>
      <c r="FQB15" s="9"/>
      <c r="FQC15" s="9"/>
      <c r="FQD15" s="9"/>
      <c r="FQE15" s="9"/>
      <c r="FQF15" s="10"/>
      <c r="FQG15" s="11"/>
      <c r="FQH15" s="12"/>
      <c r="FQI15" s="12"/>
      <c r="FQJ15" s="12"/>
      <c r="FQK15" s="13"/>
      <c r="FQL15" s="9"/>
      <c r="FQM15" s="9"/>
      <c r="FQN15" s="9"/>
      <c r="FQO15" s="9"/>
      <c r="FQP15" s="10"/>
      <c r="FQQ15" s="11"/>
      <c r="FQR15" s="12"/>
      <c r="FQS15" s="12"/>
      <c r="FQT15" s="12"/>
      <c r="FQU15" s="13"/>
      <c r="FQV15" s="9"/>
      <c r="FQW15" s="9"/>
      <c r="FQX15" s="9"/>
      <c r="FQY15" s="9"/>
      <c r="FQZ15" s="10"/>
      <c r="FRA15" s="11"/>
      <c r="FRB15" s="12"/>
      <c r="FRC15" s="12"/>
      <c r="FRD15" s="12"/>
      <c r="FRE15" s="13"/>
      <c r="FRF15" s="9"/>
      <c r="FRG15" s="9"/>
      <c r="FRH15" s="9"/>
      <c r="FRI15" s="9"/>
      <c r="FRJ15" s="10"/>
      <c r="FRK15" s="11"/>
      <c r="FRL15" s="12"/>
      <c r="FRM15" s="12"/>
      <c r="FRN15" s="12"/>
      <c r="FRO15" s="13"/>
      <c r="FRP15" s="9"/>
      <c r="FRQ15" s="9"/>
      <c r="FRR15" s="9"/>
      <c r="FRS15" s="9"/>
      <c r="FRT15" s="10"/>
      <c r="FRU15" s="11"/>
      <c r="FRV15" s="12"/>
      <c r="FRW15" s="12"/>
      <c r="FRX15" s="12"/>
      <c r="FRY15" s="13"/>
      <c r="FRZ15" s="9"/>
      <c r="FSA15" s="9"/>
      <c r="FSB15" s="9"/>
      <c r="FSC15" s="9"/>
      <c r="FSD15" s="10"/>
      <c r="FSE15" s="11"/>
      <c r="FSF15" s="12"/>
      <c r="FSG15" s="12"/>
      <c r="FSH15" s="12"/>
      <c r="FSI15" s="13"/>
      <c r="FSJ15" s="9"/>
      <c r="FSK15" s="9"/>
      <c r="FSL15" s="9"/>
      <c r="FSM15" s="9"/>
      <c r="FSN15" s="10"/>
      <c r="FSO15" s="11"/>
      <c r="FSP15" s="12"/>
      <c r="FSQ15" s="12"/>
      <c r="FSR15" s="12"/>
      <c r="FSS15" s="13"/>
      <c r="FST15" s="9"/>
      <c r="FSU15" s="9"/>
      <c r="FSV15" s="9"/>
      <c r="FSW15" s="9"/>
      <c r="FSX15" s="10"/>
      <c r="FSY15" s="11"/>
      <c r="FSZ15" s="12"/>
      <c r="FTA15" s="12"/>
      <c r="FTB15" s="12"/>
      <c r="FTC15" s="13"/>
      <c r="FTD15" s="9"/>
      <c r="FTE15" s="9"/>
      <c r="FTF15" s="9"/>
      <c r="FTG15" s="9"/>
      <c r="FTH15" s="10"/>
      <c r="FTI15" s="11"/>
      <c r="FTJ15" s="12"/>
      <c r="FTK15" s="12"/>
      <c r="FTL15" s="12"/>
      <c r="FTM15" s="13"/>
      <c r="FTN15" s="9"/>
      <c r="FTO15" s="9"/>
      <c r="FTP15" s="9"/>
      <c r="FTQ15" s="9"/>
      <c r="FTR15" s="10"/>
      <c r="FTS15" s="11"/>
      <c r="FTT15" s="12"/>
      <c r="FTU15" s="12"/>
      <c r="FTV15" s="12"/>
      <c r="FTW15" s="13"/>
      <c r="FTX15" s="9"/>
      <c r="FTY15" s="9"/>
      <c r="FTZ15" s="9"/>
      <c r="FUA15" s="9"/>
      <c r="FUB15" s="10"/>
      <c r="FUC15" s="11"/>
      <c r="FUD15" s="12"/>
      <c r="FUE15" s="12"/>
      <c r="FUF15" s="12"/>
      <c r="FUG15" s="13"/>
      <c r="FUH15" s="9"/>
      <c r="FUI15" s="9"/>
      <c r="FUJ15" s="9"/>
      <c r="FUK15" s="9"/>
      <c r="FUL15" s="10"/>
      <c r="FUM15" s="11"/>
      <c r="FUN15" s="12"/>
      <c r="FUO15" s="12"/>
      <c r="FUP15" s="12"/>
      <c r="FUQ15" s="13"/>
      <c r="FUR15" s="9"/>
      <c r="FUS15" s="9"/>
      <c r="FUT15" s="9"/>
      <c r="FUU15" s="9"/>
      <c r="FUV15" s="10"/>
      <c r="FUW15" s="11"/>
      <c r="FUX15" s="12"/>
      <c r="FUY15" s="12"/>
      <c r="FUZ15" s="12"/>
      <c r="FVA15" s="13"/>
      <c r="FVB15" s="9"/>
      <c r="FVC15" s="9"/>
      <c r="FVD15" s="9"/>
      <c r="FVE15" s="9"/>
      <c r="FVF15" s="10"/>
      <c r="FVG15" s="11"/>
      <c r="FVH15" s="12"/>
      <c r="FVI15" s="12"/>
      <c r="FVJ15" s="12"/>
      <c r="FVK15" s="13"/>
      <c r="FVL15" s="9"/>
      <c r="FVM15" s="9"/>
      <c r="FVN15" s="9"/>
      <c r="FVO15" s="9"/>
      <c r="FVP15" s="10"/>
      <c r="FVQ15" s="11"/>
      <c r="FVR15" s="12"/>
      <c r="FVS15" s="12"/>
      <c r="FVT15" s="12"/>
      <c r="FVU15" s="13"/>
      <c r="FVV15" s="9"/>
      <c r="FVW15" s="9"/>
      <c r="FVX15" s="9"/>
      <c r="FVY15" s="9"/>
      <c r="FVZ15" s="10"/>
      <c r="FWA15" s="11"/>
      <c r="FWB15" s="12"/>
      <c r="FWC15" s="12"/>
      <c r="FWD15" s="12"/>
      <c r="FWE15" s="13"/>
      <c r="FWF15" s="9"/>
      <c r="FWG15" s="9"/>
      <c r="FWH15" s="9"/>
      <c r="FWI15" s="9"/>
      <c r="FWJ15" s="10"/>
      <c r="FWK15" s="11"/>
      <c r="FWL15" s="12"/>
      <c r="FWM15" s="12"/>
      <c r="FWN15" s="12"/>
      <c r="FWO15" s="13"/>
      <c r="FWP15" s="9"/>
      <c r="FWQ15" s="9"/>
      <c r="FWR15" s="9"/>
      <c r="FWS15" s="9"/>
      <c r="FWT15" s="10"/>
      <c r="FWU15" s="11"/>
      <c r="FWV15" s="12"/>
      <c r="FWW15" s="12"/>
      <c r="FWX15" s="12"/>
      <c r="FWY15" s="13"/>
      <c r="FWZ15" s="9"/>
      <c r="FXA15" s="9"/>
      <c r="FXB15" s="9"/>
      <c r="FXC15" s="9"/>
      <c r="FXD15" s="10"/>
      <c r="FXE15" s="11"/>
      <c r="FXF15" s="12"/>
      <c r="FXG15" s="12"/>
      <c r="FXH15" s="12"/>
      <c r="FXI15" s="13"/>
      <c r="FXJ15" s="9"/>
      <c r="FXK15" s="9"/>
      <c r="FXL15" s="9"/>
      <c r="FXM15" s="9"/>
      <c r="FXN15" s="10"/>
      <c r="FXO15" s="11"/>
      <c r="FXP15" s="12"/>
      <c r="FXQ15" s="12"/>
      <c r="FXR15" s="12"/>
      <c r="FXS15" s="13"/>
      <c r="FXT15" s="9"/>
      <c r="FXU15" s="9"/>
      <c r="FXV15" s="9"/>
      <c r="FXW15" s="9"/>
      <c r="FXX15" s="10"/>
      <c r="FXY15" s="11"/>
      <c r="FXZ15" s="12"/>
      <c r="FYA15" s="12"/>
      <c r="FYB15" s="12"/>
      <c r="FYC15" s="13"/>
      <c r="FYD15" s="9"/>
      <c r="FYE15" s="9"/>
      <c r="FYF15" s="9"/>
      <c r="FYG15" s="9"/>
      <c r="FYH15" s="10"/>
      <c r="FYI15" s="11"/>
      <c r="FYJ15" s="12"/>
      <c r="FYK15" s="12"/>
      <c r="FYL15" s="12"/>
      <c r="FYM15" s="13"/>
      <c r="FYN15" s="9"/>
      <c r="FYO15" s="9"/>
      <c r="FYP15" s="9"/>
      <c r="FYQ15" s="9"/>
      <c r="FYR15" s="10"/>
      <c r="FYS15" s="11"/>
      <c r="FYT15" s="12"/>
      <c r="FYU15" s="12"/>
      <c r="FYV15" s="12"/>
      <c r="FYW15" s="13"/>
      <c r="FYX15" s="9"/>
      <c r="FYY15" s="9"/>
      <c r="FYZ15" s="9"/>
      <c r="FZA15" s="9"/>
      <c r="FZB15" s="10"/>
      <c r="FZC15" s="11"/>
      <c r="FZD15" s="12"/>
      <c r="FZE15" s="12"/>
      <c r="FZF15" s="12"/>
      <c r="FZG15" s="13"/>
      <c r="FZH15" s="9"/>
      <c r="FZI15" s="9"/>
      <c r="FZJ15" s="9"/>
      <c r="FZK15" s="9"/>
      <c r="FZL15" s="10"/>
      <c r="FZM15" s="11"/>
      <c r="FZN15" s="12"/>
      <c r="FZO15" s="12"/>
      <c r="FZP15" s="12"/>
      <c r="FZQ15" s="13"/>
      <c r="FZR15" s="9"/>
      <c r="FZS15" s="9"/>
      <c r="FZT15" s="9"/>
      <c r="FZU15" s="9"/>
      <c r="FZV15" s="10"/>
      <c r="FZW15" s="11"/>
      <c r="FZX15" s="12"/>
      <c r="FZY15" s="12"/>
      <c r="FZZ15" s="12"/>
      <c r="GAA15" s="13"/>
      <c r="GAB15" s="9"/>
      <c r="GAC15" s="9"/>
      <c r="GAD15" s="9"/>
      <c r="GAE15" s="9"/>
      <c r="GAF15" s="10"/>
      <c r="GAG15" s="11"/>
      <c r="GAH15" s="12"/>
      <c r="GAI15" s="12"/>
      <c r="GAJ15" s="12"/>
      <c r="GAK15" s="13"/>
      <c r="GAL15" s="9"/>
      <c r="GAM15" s="9"/>
      <c r="GAN15" s="9"/>
      <c r="GAO15" s="9"/>
      <c r="GAP15" s="10"/>
      <c r="GAQ15" s="11"/>
      <c r="GAR15" s="12"/>
      <c r="GAS15" s="12"/>
      <c r="GAT15" s="12"/>
      <c r="GAU15" s="13"/>
      <c r="GAV15" s="9"/>
      <c r="GAW15" s="9"/>
      <c r="GAX15" s="9"/>
      <c r="GAY15" s="9"/>
      <c r="GAZ15" s="10"/>
      <c r="GBA15" s="11"/>
      <c r="GBB15" s="12"/>
      <c r="GBC15" s="12"/>
      <c r="GBD15" s="12"/>
      <c r="GBE15" s="13"/>
      <c r="GBF15" s="9"/>
      <c r="GBG15" s="9"/>
      <c r="GBH15" s="9"/>
      <c r="GBI15" s="9"/>
      <c r="GBJ15" s="10"/>
      <c r="GBK15" s="11"/>
      <c r="GBL15" s="12"/>
      <c r="GBM15" s="12"/>
      <c r="GBN15" s="12"/>
      <c r="GBO15" s="13"/>
      <c r="GBP15" s="9"/>
      <c r="GBQ15" s="9"/>
      <c r="GBR15" s="9"/>
      <c r="GBS15" s="9"/>
      <c r="GBT15" s="10"/>
      <c r="GBU15" s="11"/>
      <c r="GBV15" s="12"/>
      <c r="GBW15" s="12"/>
      <c r="GBX15" s="12"/>
      <c r="GBY15" s="13"/>
      <c r="GBZ15" s="9"/>
      <c r="GCA15" s="9"/>
      <c r="GCB15" s="9"/>
      <c r="GCC15" s="9"/>
      <c r="GCD15" s="10"/>
      <c r="GCE15" s="11"/>
      <c r="GCF15" s="12"/>
      <c r="GCG15" s="12"/>
      <c r="GCH15" s="12"/>
      <c r="GCI15" s="13"/>
      <c r="GCJ15" s="9"/>
      <c r="GCK15" s="9"/>
      <c r="GCL15" s="9"/>
      <c r="GCM15" s="9"/>
      <c r="GCN15" s="10"/>
      <c r="GCO15" s="11"/>
      <c r="GCP15" s="12"/>
      <c r="GCQ15" s="12"/>
      <c r="GCR15" s="12"/>
      <c r="GCS15" s="13"/>
      <c r="GCT15" s="9"/>
      <c r="GCU15" s="9"/>
      <c r="GCV15" s="9"/>
      <c r="GCW15" s="9"/>
      <c r="GCX15" s="10"/>
      <c r="GCY15" s="11"/>
      <c r="GCZ15" s="12"/>
      <c r="GDA15" s="12"/>
      <c r="GDB15" s="12"/>
      <c r="GDC15" s="13"/>
      <c r="GDD15" s="9"/>
      <c r="GDE15" s="9"/>
      <c r="GDF15" s="9"/>
      <c r="GDG15" s="9"/>
      <c r="GDH15" s="10"/>
      <c r="GDI15" s="11"/>
      <c r="GDJ15" s="12"/>
      <c r="GDK15" s="12"/>
      <c r="GDL15" s="12"/>
      <c r="GDM15" s="13"/>
      <c r="GDN15" s="9"/>
      <c r="GDO15" s="9"/>
      <c r="GDP15" s="9"/>
      <c r="GDQ15" s="9"/>
      <c r="GDR15" s="10"/>
      <c r="GDS15" s="11"/>
      <c r="GDT15" s="12"/>
      <c r="GDU15" s="12"/>
      <c r="GDV15" s="12"/>
      <c r="GDW15" s="13"/>
      <c r="GDX15" s="9"/>
      <c r="GDY15" s="9"/>
      <c r="GDZ15" s="9"/>
      <c r="GEA15" s="9"/>
      <c r="GEB15" s="10"/>
      <c r="GEC15" s="11"/>
      <c r="GED15" s="12"/>
      <c r="GEE15" s="12"/>
      <c r="GEF15" s="12"/>
      <c r="GEG15" s="13"/>
      <c r="GEH15" s="9"/>
      <c r="GEI15" s="9"/>
      <c r="GEJ15" s="9"/>
      <c r="GEK15" s="9"/>
      <c r="GEL15" s="10"/>
      <c r="GEM15" s="11"/>
      <c r="GEN15" s="12"/>
      <c r="GEO15" s="12"/>
      <c r="GEP15" s="12"/>
      <c r="GEQ15" s="13"/>
      <c r="GER15" s="9"/>
      <c r="GES15" s="9"/>
      <c r="GET15" s="9"/>
      <c r="GEU15" s="9"/>
      <c r="GEV15" s="10"/>
      <c r="GEW15" s="11"/>
      <c r="GEX15" s="12"/>
      <c r="GEY15" s="12"/>
      <c r="GEZ15" s="12"/>
      <c r="GFA15" s="13"/>
      <c r="GFB15" s="9"/>
      <c r="GFC15" s="9"/>
      <c r="GFD15" s="9"/>
      <c r="GFE15" s="9"/>
      <c r="GFF15" s="10"/>
      <c r="GFG15" s="11"/>
      <c r="GFH15" s="12"/>
      <c r="GFI15" s="12"/>
      <c r="GFJ15" s="12"/>
      <c r="GFK15" s="13"/>
      <c r="GFL15" s="9"/>
      <c r="GFM15" s="9"/>
      <c r="GFN15" s="9"/>
      <c r="GFO15" s="9"/>
      <c r="GFP15" s="10"/>
      <c r="GFQ15" s="11"/>
      <c r="GFR15" s="12"/>
      <c r="GFS15" s="12"/>
      <c r="GFT15" s="12"/>
      <c r="GFU15" s="13"/>
      <c r="GFV15" s="9"/>
      <c r="GFW15" s="9"/>
      <c r="GFX15" s="9"/>
      <c r="GFY15" s="9"/>
      <c r="GFZ15" s="10"/>
      <c r="GGA15" s="11"/>
      <c r="GGB15" s="12"/>
      <c r="GGC15" s="12"/>
      <c r="GGD15" s="12"/>
      <c r="GGE15" s="13"/>
      <c r="GGF15" s="9"/>
      <c r="GGG15" s="9"/>
      <c r="GGH15" s="9"/>
      <c r="GGI15" s="9"/>
      <c r="GGJ15" s="10"/>
      <c r="GGK15" s="11"/>
      <c r="GGL15" s="12"/>
      <c r="GGM15" s="12"/>
      <c r="GGN15" s="12"/>
      <c r="GGO15" s="13"/>
      <c r="GGP15" s="9"/>
      <c r="GGQ15" s="9"/>
      <c r="GGR15" s="9"/>
      <c r="GGS15" s="9"/>
      <c r="GGT15" s="10"/>
      <c r="GGU15" s="11"/>
      <c r="GGV15" s="12"/>
      <c r="GGW15" s="12"/>
      <c r="GGX15" s="12"/>
      <c r="GGY15" s="13"/>
      <c r="GGZ15" s="9"/>
      <c r="GHA15" s="9"/>
      <c r="GHB15" s="9"/>
      <c r="GHC15" s="9"/>
      <c r="GHD15" s="10"/>
      <c r="GHE15" s="11"/>
      <c r="GHF15" s="12"/>
      <c r="GHG15" s="12"/>
      <c r="GHH15" s="12"/>
      <c r="GHI15" s="13"/>
      <c r="GHJ15" s="9"/>
      <c r="GHK15" s="9"/>
      <c r="GHL15" s="9"/>
      <c r="GHM15" s="9"/>
      <c r="GHN15" s="10"/>
      <c r="GHO15" s="11"/>
      <c r="GHP15" s="12"/>
      <c r="GHQ15" s="12"/>
      <c r="GHR15" s="12"/>
      <c r="GHS15" s="13"/>
      <c r="GHT15" s="9"/>
      <c r="GHU15" s="9"/>
      <c r="GHV15" s="9"/>
      <c r="GHW15" s="9"/>
      <c r="GHX15" s="10"/>
      <c r="GHY15" s="11"/>
      <c r="GHZ15" s="12"/>
      <c r="GIA15" s="12"/>
      <c r="GIB15" s="12"/>
      <c r="GIC15" s="13"/>
      <c r="GID15" s="9"/>
      <c r="GIE15" s="9"/>
      <c r="GIF15" s="9"/>
      <c r="GIG15" s="9"/>
      <c r="GIH15" s="10"/>
      <c r="GII15" s="11"/>
      <c r="GIJ15" s="12"/>
      <c r="GIK15" s="12"/>
      <c r="GIL15" s="12"/>
      <c r="GIM15" s="13"/>
      <c r="GIN15" s="9"/>
      <c r="GIO15" s="9"/>
      <c r="GIP15" s="9"/>
      <c r="GIQ15" s="9"/>
      <c r="GIR15" s="10"/>
      <c r="GIS15" s="11"/>
      <c r="GIT15" s="12"/>
      <c r="GIU15" s="12"/>
      <c r="GIV15" s="12"/>
      <c r="GIW15" s="13"/>
      <c r="GIX15" s="9"/>
      <c r="GIY15" s="9"/>
      <c r="GIZ15" s="9"/>
      <c r="GJA15" s="9"/>
      <c r="GJB15" s="10"/>
      <c r="GJC15" s="11"/>
      <c r="GJD15" s="12"/>
      <c r="GJE15" s="12"/>
      <c r="GJF15" s="12"/>
      <c r="GJG15" s="13"/>
      <c r="GJH15" s="9"/>
      <c r="GJI15" s="9"/>
      <c r="GJJ15" s="9"/>
      <c r="GJK15" s="9"/>
      <c r="GJL15" s="10"/>
      <c r="GJM15" s="11"/>
      <c r="GJN15" s="12"/>
      <c r="GJO15" s="12"/>
      <c r="GJP15" s="12"/>
      <c r="GJQ15" s="13"/>
      <c r="GJR15" s="9"/>
      <c r="GJS15" s="9"/>
      <c r="GJT15" s="9"/>
      <c r="GJU15" s="9"/>
      <c r="GJV15" s="10"/>
      <c r="GJW15" s="11"/>
      <c r="GJX15" s="12"/>
      <c r="GJY15" s="12"/>
      <c r="GJZ15" s="12"/>
      <c r="GKA15" s="13"/>
      <c r="GKB15" s="9"/>
      <c r="GKC15" s="9"/>
      <c r="GKD15" s="9"/>
      <c r="GKE15" s="9"/>
      <c r="GKF15" s="10"/>
      <c r="GKG15" s="11"/>
      <c r="GKH15" s="12"/>
      <c r="GKI15" s="12"/>
      <c r="GKJ15" s="12"/>
      <c r="GKK15" s="13"/>
      <c r="GKL15" s="9"/>
      <c r="GKM15" s="9"/>
      <c r="GKN15" s="9"/>
      <c r="GKO15" s="9"/>
      <c r="GKP15" s="10"/>
      <c r="GKQ15" s="11"/>
      <c r="GKR15" s="12"/>
      <c r="GKS15" s="12"/>
      <c r="GKT15" s="12"/>
      <c r="GKU15" s="13"/>
      <c r="GKV15" s="9"/>
      <c r="GKW15" s="9"/>
      <c r="GKX15" s="9"/>
      <c r="GKY15" s="9"/>
      <c r="GKZ15" s="10"/>
      <c r="GLA15" s="11"/>
      <c r="GLB15" s="12"/>
      <c r="GLC15" s="12"/>
      <c r="GLD15" s="12"/>
      <c r="GLE15" s="13"/>
      <c r="GLF15" s="9"/>
      <c r="GLG15" s="9"/>
      <c r="GLH15" s="9"/>
      <c r="GLI15" s="9"/>
      <c r="GLJ15" s="10"/>
      <c r="GLK15" s="11"/>
      <c r="GLL15" s="12"/>
      <c r="GLM15" s="12"/>
      <c r="GLN15" s="12"/>
      <c r="GLO15" s="13"/>
      <c r="GLP15" s="9"/>
      <c r="GLQ15" s="9"/>
      <c r="GLR15" s="9"/>
      <c r="GLS15" s="9"/>
      <c r="GLT15" s="10"/>
      <c r="GLU15" s="11"/>
      <c r="GLV15" s="12"/>
      <c r="GLW15" s="12"/>
      <c r="GLX15" s="12"/>
      <c r="GLY15" s="13"/>
      <c r="GLZ15" s="9"/>
      <c r="GMA15" s="9"/>
      <c r="GMB15" s="9"/>
      <c r="GMC15" s="9"/>
      <c r="GMD15" s="10"/>
      <c r="GME15" s="11"/>
      <c r="GMF15" s="12"/>
      <c r="GMG15" s="12"/>
      <c r="GMH15" s="12"/>
      <c r="GMI15" s="13"/>
      <c r="GMJ15" s="9"/>
      <c r="GMK15" s="9"/>
      <c r="GML15" s="9"/>
      <c r="GMM15" s="9"/>
      <c r="GMN15" s="10"/>
      <c r="GMO15" s="11"/>
      <c r="GMP15" s="12"/>
      <c r="GMQ15" s="12"/>
      <c r="GMR15" s="12"/>
      <c r="GMS15" s="13"/>
      <c r="GMT15" s="9"/>
      <c r="GMU15" s="9"/>
      <c r="GMV15" s="9"/>
      <c r="GMW15" s="9"/>
      <c r="GMX15" s="10"/>
      <c r="GMY15" s="11"/>
      <c r="GMZ15" s="12"/>
      <c r="GNA15" s="12"/>
      <c r="GNB15" s="12"/>
      <c r="GNC15" s="13"/>
      <c r="GND15" s="9"/>
      <c r="GNE15" s="9"/>
      <c r="GNF15" s="9"/>
      <c r="GNG15" s="9"/>
      <c r="GNH15" s="10"/>
      <c r="GNI15" s="11"/>
      <c r="GNJ15" s="12"/>
      <c r="GNK15" s="12"/>
      <c r="GNL15" s="12"/>
      <c r="GNM15" s="13"/>
      <c r="GNN15" s="9"/>
      <c r="GNO15" s="9"/>
      <c r="GNP15" s="9"/>
      <c r="GNQ15" s="9"/>
      <c r="GNR15" s="10"/>
      <c r="GNS15" s="11"/>
      <c r="GNT15" s="12"/>
      <c r="GNU15" s="12"/>
      <c r="GNV15" s="12"/>
      <c r="GNW15" s="13"/>
      <c r="GNX15" s="9"/>
      <c r="GNY15" s="9"/>
      <c r="GNZ15" s="9"/>
      <c r="GOA15" s="9"/>
      <c r="GOB15" s="10"/>
      <c r="GOC15" s="11"/>
      <c r="GOD15" s="12"/>
      <c r="GOE15" s="12"/>
      <c r="GOF15" s="12"/>
      <c r="GOG15" s="13"/>
      <c r="GOH15" s="9"/>
      <c r="GOI15" s="9"/>
      <c r="GOJ15" s="9"/>
      <c r="GOK15" s="9"/>
      <c r="GOL15" s="10"/>
      <c r="GOM15" s="11"/>
      <c r="GON15" s="12"/>
      <c r="GOO15" s="12"/>
      <c r="GOP15" s="12"/>
      <c r="GOQ15" s="13"/>
      <c r="GOR15" s="9"/>
      <c r="GOS15" s="9"/>
      <c r="GOT15" s="9"/>
      <c r="GOU15" s="9"/>
      <c r="GOV15" s="10"/>
      <c r="GOW15" s="11"/>
      <c r="GOX15" s="12"/>
      <c r="GOY15" s="12"/>
      <c r="GOZ15" s="12"/>
      <c r="GPA15" s="13"/>
      <c r="GPB15" s="9"/>
      <c r="GPC15" s="9"/>
      <c r="GPD15" s="9"/>
      <c r="GPE15" s="9"/>
      <c r="GPF15" s="10"/>
      <c r="GPG15" s="11"/>
      <c r="GPH15" s="12"/>
      <c r="GPI15" s="12"/>
      <c r="GPJ15" s="12"/>
      <c r="GPK15" s="13"/>
      <c r="GPL15" s="9"/>
      <c r="GPM15" s="9"/>
      <c r="GPN15" s="9"/>
      <c r="GPO15" s="9"/>
      <c r="GPP15" s="10"/>
      <c r="GPQ15" s="11"/>
      <c r="GPR15" s="12"/>
      <c r="GPS15" s="12"/>
      <c r="GPT15" s="12"/>
      <c r="GPU15" s="13"/>
      <c r="GPV15" s="9"/>
      <c r="GPW15" s="9"/>
      <c r="GPX15" s="9"/>
      <c r="GPY15" s="9"/>
      <c r="GPZ15" s="10"/>
      <c r="GQA15" s="11"/>
      <c r="GQB15" s="12"/>
      <c r="GQC15" s="12"/>
      <c r="GQD15" s="12"/>
      <c r="GQE15" s="13"/>
      <c r="GQF15" s="9"/>
      <c r="GQG15" s="9"/>
      <c r="GQH15" s="9"/>
      <c r="GQI15" s="9"/>
      <c r="GQJ15" s="10"/>
      <c r="GQK15" s="11"/>
      <c r="GQL15" s="12"/>
      <c r="GQM15" s="12"/>
      <c r="GQN15" s="12"/>
      <c r="GQO15" s="13"/>
      <c r="GQP15" s="9"/>
      <c r="GQQ15" s="9"/>
      <c r="GQR15" s="9"/>
      <c r="GQS15" s="9"/>
      <c r="GQT15" s="10"/>
      <c r="GQU15" s="11"/>
      <c r="GQV15" s="12"/>
      <c r="GQW15" s="12"/>
      <c r="GQX15" s="12"/>
      <c r="GQY15" s="13"/>
      <c r="GQZ15" s="9"/>
      <c r="GRA15" s="9"/>
      <c r="GRB15" s="9"/>
      <c r="GRC15" s="9"/>
      <c r="GRD15" s="10"/>
      <c r="GRE15" s="11"/>
      <c r="GRF15" s="12"/>
      <c r="GRG15" s="12"/>
      <c r="GRH15" s="12"/>
      <c r="GRI15" s="13"/>
      <c r="GRJ15" s="9"/>
      <c r="GRK15" s="9"/>
      <c r="GRL15" s="9"/>
      <c r="GRM15" s="9"/>
      <c r="GRN15" s="10"/>
      <c r="GRO15" s="11"/>
      <c r="GRP15" s="12"/>
      <c r="GRQ15" s="12"/>
      <c r="GRR15" s="12"/>
      <c r="GRS15" s="13"/>
      <c r="GRT15" s="9"/>
      <c r="GRU15" s="9"/>
      <c r="GRV15" s="9"/>
      <c r="GRW15" s="9"/>
      <c r="GRX15" s="10"/>
      <c r="GRY15" s="11"/>
      <c r="GRZ15" s="12"/>
      <c r="GSA15" s="12"/>
      <c r="GSB15" s="12"/>
      <c r="GSC15" s="13"/>
      <c r="GSD15" s="9"/>
      <c r="GSE15" s="9"/>
      <c r="GSF15" s="9"/>
      <c r="GSG15" s="9"/>
      <c r="GSH15" s="10"/>
      <c r="GSI15" s="11"/>
      <c r="GSJ15" s="12"/>
      <c r="GSK15" s="12"/>
      <c r="GSL15" s="12"/>
      <c r="GSM15" s="13"/>
      <c r="GSN15" s="9"/>
      <c r="GSO15" s="9"/>
      <c r="GSP15" s="9"/>
      <c r="GSQ15" s="9"/>
      <c r="GSR15" s="10"/>
      <c r="GSS15" s="11"/>
      <c r="GST15" s="12"/>
      <c r="GSU15" s="12"/>
      <c r="GSV15" s="12"/>
      <c r="GSW15" s="13"/>
      <c r="GSX15" s="9"/>
      <c r="GSY15" s="9"/>
      <c r="GSZ15" s="9"/>
      <c r="GTA15" s="9"/>
      <c r="GTB15" s="10"/>
      <c r="GTC15" s="11"/>
      <c r="GTD15" s="12"/>
      <c r="GTE15" s="12"/>
      <c r="GTF15" s="12"/>
      <c r="GTG15" s="13"/>
      <c r="GTH15" s="9"/>
      <c r="GTI15" s="9"/>
      <c r="GTJ15" s="9"/>
      <c r="GTK15" s="9"/>
      <c r="GTL15" s="10"/>
      <c r="GTM15" s="11"/>
      <c r="GTN15" s="12"/>
      <c r="GTO15" s="12"/>
      <c r="GTP15" s="12"/>
      <c r="GTQ15" s="13"/>
      <c r="GTR15" s="9"/>
      <c r="GTS15" s="9"/>
      <c r="GTT15" s="9"/>
      <c r="GTU15" s="9"/>
      <c r="GTV15" s="10"/>
      <c r="GTW15" s="11"/>
      <c r="GTX15" s="12"/>
      <c r="GTY15" s="12"/>
      <c r="GTZ15" s="12"/>
      <c r="GUA15" s="13"/>
      <c r="GUB15" s="9"/>
      <c r="GUC15" s="9"/>
      <c r="GUD15" s="9"/>
      <c r="GUE15" s="9"/>
      <c r="GUF15" s="10"/>
      <c r="GUG15" s="11"/>
      <c r="GUH15" s="12"/>
      <c r="GUI15" s="12"/>
      <c r="GUJ15" s="12"/>
      <c r="GUK15" s="13"/>
      <c r="GUL15" s="9"/>
      <c r="GUM15" s="9"/>
      <c r="GUN15" s="9"/>
      <c r="GUO15" s="9"/>
      <c r="GUP15" s="10"/>
      <c r="GUQ15" s="11"/>
      <c r="GUR15" s="12"/>
      <c r="GUS15" s="12"/>
      <c r="GUT15" s="12"/>
      <c r="GUU15" s="13"/>
      <c r="GUV15" s="9"/>
      <c r="GUW15" s="9"/>
      <c r="GUX15" s="9"/>
      <c r="GUY15" s="9"/>
      <c r="GUZ15" s="10"/>
      <c r="GVA15" s="11"/>
      <c r="GVB15" s="12"/>
      <c r="GVC15" s="12"/>
      <c r="GVD15" s="12"/>
      <c r="GVE15" s="13"/>
      <c r="GVF15" s="9"/>
      <c r="GVG15" s="9"/>
      <c r="GVH15" s="9"/>
      <c r="GVI15" s="9"/>
      <c r="GVJ15" s="10"/>
      <c r="GVK15" s="11"/>
      <c r="GVL15" s="12"/>
      <c r="GVM15" s="12"/>
      <c r="GVN15" s="12"/>
      <c r="GVO15" s="13"/>
      <c r="GVP15" s="9"/>
      <c r="GVQ15" s="9"/>
      <c r="GVR15" s="9"/>
      <c r="GVS15" s="9"/>
      <c r="GVT15" s="10"/>
      <c r="GVU15" s="11"/>
      <c r="GVV15" s="12"/>
      <c r="GVW15" s="12"/>
      <c r="GVX15" s="12"/>
      <c r="GVY15" s="13"/>
      <c r="GVZ15" s="9"/>
      <c r="GWA15" s="9"/>
      <c r="GWB15" s="9"/>
      <c r="GWC15" s="9"/>
      <c r="GWD15" s="10"/>
      <c r="GWE15" s="11"/>
      <c r="GWF15" s="12"/>
      <c r="GWG15" s="12"/>
      <c r="GWH15" s="12"/>
      <c r="GWI15" s="13"/>
      <c r="GWJ15" s="9"/>
      <c r="GWK15" s="9"/>
      <c r="GWL15" s="9"/>
      <c r="GWM15" s="9"/>
      <c r="GWN15" s="10"/>
      <c r="GWO15" s="11"/>
      <c r="GWP15" s="12"/>
      <c r="GWQ15" s="12"/>
      <c r="GWR15" s="12"/>
      <c r="GWS15" s="13"/>
      <c r="GWT15" s="9"/>
      <c r="GWU15" s="9"/>
      <c r="GWV15" s="9"/>
      <c r="GWW15" s="9"/>
      <c r="GWX15" s="10"/>
      <c r="GWY15" s="11"/>
      <c r="GWZ15" s="12"/>
      <c r="GXA15" s="12"/>
      <c r="GXB15" s="12"/>
      <c r="GXC15" s="13"/>
      <c r="GXD15" s="9"/>
      <c r="GXE15" s="9"/>
      <c r="GXF15" s="9"/>
      <c r="GXG15" s="9"/>
      <c r="GXH15" s="10"/>
      <c r="GXI15" s="11"/>
      <c r="GXJ15" s="12"/>
      <c r="GXK15" s="12"/>
      <c r="GXL15" s="12"/>
      <c r="GXM15" s="13"/>
      <c r="GXN15" s="9"/>
      <c r="GXO15" s="9"/>
      <c r="GXP15" s="9"/>
      <c r="GXQ15" s="9"/>
      <c r="GXR15" s="10"/>
      <c r="GXS15" s="11"/>
      <c r="GXT15" s="12"/>
      <c r="GXU15" s="12"/>
      <c r="GXV15" s="12"/>
      <c r="GXW15" s="13"/>
      <c r="GXX15" s="9"/>
      <c r="GXY15" s="9"/>
      <c r="GXZ15" s="9"/>
      <c r="GYA15" s="9"/>
      <c r="GYB15" s="10"/>
      <c r="GYC15" s="11"/>
      <c r="GYD15" s="12"/>
      <c r="GYE15" s="12"/>
      <c r="GYF15" s="12"/>
      <c r="GYG15" s="13"/>
      <c r="GYH15" s="9"/>
      <c r="GYI15" s="9"/>
      <c r="GYJ15" s="9"/>
      <c r="GYK15" s="9"/>
      <c r="GYL15" s="10"/>
      <c r="GYM15" s="11"/>
      <c r="GYN15" s="12"/>
      <c r="GYO15" s="12"/>
      <c r="GYP15" s="12"/>
      <c r="GYQ15" s="13"/>
      <c r="GYR15" s="9"/>
      <c r="GYS15" s="9"/>
      <c r="GYT15" s="9"/>
      <c r="GYU15" s="9"/>
      <c r="GYV15" s="10"/>
      <c r="GYW15" s="11"/>
      <c r="GYX15" s="12"/>
      <c r="GYY15" s="12"/>
      <c r="GYZ15" s="12"/>
      <c r="GZA15" s="13"/>
      <c r="GZB15" s="9"/>
      <c r="GZC15" s="9"/>
      <c r="GZD15" s="9"/>
      <c r="GZE15" s="9"/>
      <c r="GZF15" s="10"/>
      <c r="GZG15" s="11"/>
      <c r="GZH15" s="12"/>
      <c r="GZI15" s="12"/>
      <c r="GZJ15" s="12"/>
      <c r="GZK15" s="13"/>
      <c r="GZL15" s="9"/>
      <c r="GZM15" s="9"/>
      <c r="GZN15" s="9"/>
      <c r="GZO15" s="9"/>
      <c r="GZP15" s="10"/>
      <c r="GZQ15" s="11"/>
      <c r="GZR15" s="12"/>
      <c r="GZS15" s="12"/>
      <c r="GZT15" s="12"/>
      <c r="GZU15" s="13"/>
      <c r="GZV15" s="9"/>
      <c r="GZW15" s="9"/>
      <c r="GZX15" s="9"/>
      <c r="GZY15" s="9"/>
      <c r="GZZ15" s="10"/>
      <c r="HAA15" s="11"/>
      <c r="HAB15" s="12"/>
      <c r="HAC15" s="12"/>
      <c r="HAD15" s="12"/>
      <c r="HAE15" s="13"/>
      <c r="HAF15" s="9"/>
      <c r="HAG15" s="9"/>
      <c r="HAH15" s="9"/>
      <c r="HAI15" s="9"/>
      <c r="HAJ15" s="10"/>
      <c r="HAK15" s="11"/>
      <c r="HAL15" s="12"/>
      <c r="HAM15" s="12"/>
      <c r="HAN15" s="12"/>
      <c r="HAO15" s="13"/>
      <c r="HAP15" s="9"/>
      <c r="HAQ15" s="9"/>
      <c r="HAR15" s="9"/>
      <c r="HAS15" s="9"/>
      <c r="HAT15" s="10"/>
      <c r="HAU15" s="11"/>
      <c r="HAV15" s="12"/>
      <c r="HAW15" s="12"/>
      <c r="HAX15" s="12"/>
      <c r="HAY15" s="13"/>
      <c r="HAZ15" s="9"/>
      <c r="HBA15" s="9"/>
      <c r="HBB15" s="9"/>
      <c r="HBC15" s="9"/>
      <c r="HBD15" s="10"/>
      <c r="HBE15" s="11"/>
      <c r="HBF15" s="12"/>
      <c r="HBG15" s="12"/>
      <c r="HBH15" s="12"/>
      <c r="HBI15" s="13"/>
      <c r="HBJ15" s="9"/>
      <c r="HBK15" s="9"/>
      <c r="HBL15" s="9"/>
      <c r="HBM15" s="9"/>
      <c r="HBN15" s="10"/>
      <c r="HBO15" s="11"/>
      <c r="HBP15" s="12"/>
      <c r="HBQ15" s="12"/>
      <c r="HBR15" s="12"/>
      <c r="HBS15" s="13"/>
      <c r="HBT15" s="9"/>
      <c r="HBU15" s="9"/>
      <c r="HBV15" s="9"/>
      <c r="HBW15" s="9"/>
      <c r="HBX15" s="10"/>
      <c r="HBY15" s="11"/>
      <c r="HBZ15" s="12"/>
      <c r="HCA15" s="12"/>
      <c r="HCB15" s="12"/>
      <c r="HCC15" s="13"/>
      <c r="HCD15" s="9"/>
      <c r="HCE15" s="9"/>
      <c r="HCF15" s="9"/>
      <c r="HCG15" s="9"/>
      <c r="HCH15" s="10"/>
      <c r="HCI15" s="11"/>
      <c r="HCJ15" s="12"/>
      <c r="HCK15" s="12"/>
      <c r="HCL15" s="12"/>
      <c r="HCM15" s="13"/>
      <c r="HCN15" s="9"/>
      <c r="HCO15" s="9"/>
      <c r="HCP15" s="9"/>
      <c r="HCQ15" s="9"/>
      <c r="HCR15" s="10"/>
      <c r="HCS15" s="11"/>
      <c r="HCT15" s="12"/>
      <c r="HCU15" s="12"/>
      <c r="HCV15" s="12"/>
      <c r="HCW15" s="13"/>
      <c r="HCX15" s="9"/>
      <c r="HCY15" s="9"/>
      <c r="HCZ15" s="9"/>
      <c r="HDA15" s="9"/>
      <c r="HDB15" s="10"/>
      <c r="HDC15" s="11"/>
      <c r="HDD15" s="12"/>
      <c r="HDE15" s="12"/>
      <c r="HDF15" s="12"/>
      <c r="HDG15" s="13"/>
      <c r="HDH15" s="9"/>
      <c r="HDI15" s="9"/>
      <c r="HDJ15" s="9"/>
      <c r="HDK15" s="9"/>
      <c r="HDL15" s="10"/>
      <c r="HDM15" s="11"/>
      <c r="HDN15" s="12"/>
      <c r="HDO15" s="12"/>
      <c r="HDP15" s="12"/>
      <c r="HDQ15" s="13"/>
      <c r="HDR15" s="9"/>
      <c r="HDS15" s="9"/>
      <c r="HDT15" s="9"/>
      <c r="HDU15" s="9"/>
      <c r="HDV15" s="10"/>
      <c r="HDW15" s="11"/>
      <c r="HDX15" s="12"/>
      <c r="HDY15" s="12"/>
      <c r="HDZ15" s="12"/>
      <c r="HEA15" s="13"/>
      <c r="HEB15" s="9"/>
      <c r="HEC15" s="9"/>
      <c r="HED15" s="9"/>
      <c r="HEE15" s="9"/>
      <c r="HEF15" s="10"/>
      <c r="HEG15" s="11"/>
      <c r="HEH15" s="12"/>
      <c r="HEI15" s="12"/>
      <c r="HEJ15" s="12"/>
      <c r="HEK15" s="13"/>
      <c r="HEL15" s="9"/>
      <c r="HEM15" s="9"/>
      <c r="HEN15" s="9"/>
      <c r="HEO15" s="9"/>
      <c r="HEP15" s="10"/>
      <c r="HEQ15" s="11"/>
      <c r="HER15" s="12"/>
      <c r="HES15" s="12"/>
      <c r="HET15" s="12"/>
      <c r="HEU15" s="13"/>
      <c r="HEV15" s="9"/>
      <c r="HEW15" s="9"/>
      <c r="HEX15" s="9"/>
      <c r="HEY15" s="9"/>
      <c r="HEZ15" s="10"/>
      <c r="HFA15" s="11"/>
      <c r="HFB15" s="12"/>
      <c r="HFC15" s="12"/>
      <c r="HFD15" s="12"/>
      <c r="HFE15" s="13"/>
      <c r="HFF15" s="9"/>
      <c r="HFG15" s="9"/>
      <c r="HFH15" s="9"/>
      <c r="HFI15" s="9"/>
      <c r="HFJ15" s="10"/>
      <c r="HFK15" s="11"/>
      <c r="HFL15" s="12"/>
      <c r="HFM15" s="12"/>
      <c r="HFN15" s="12"/>
      <c r="HFO15" s="13"/>
      <c r="HFP15" s="9"/>
      <c r="HFQ15" s="9"/>
      <c r="HFR15" s="9"/>
      <c r="HFS15" s="9"/>
      <c r="HFT15" s="10"/>
      <c r="HFU15" s="11"/>
      <c r="HFV15" s="12"/>
      <c r="HFW15" s="12"/>
      <c r="HFX15" s="12"/>
      <c r="HFY15" s="13"/>
      <c r="HFZ15" s="9"/>
      <c r="HGA15" s="9"/>
      <c r="HGB15" s="9"/>
      <c r="HGC15" s="9"/>
      <c r="HGD15" s="10"/>
      <c r="HGE15" s="11"/>
      <c r="HGF15" s="12"/>
      <c r="HGG15" s="12"/>
      <c r="HGH15" s="12"/>
      <c r="HGI15" s="13"/>
      <c r="HGJ15" s="9"/>
      <c r="HGK15" s="9"/>
      <c r="HGL15" s="9"/>
      <c r="HGM15" s="9"/>
      <c r="HGN15" s="10"/>
      <c r="HGO15" s="11"/>
      <c r="HGP15" s="12"/>
      <c r="HGQ15" s="12"/>
      <c r="HGR15" s="12"/>
      <c r="HGS15" s="13"/>
      <c r="HGT15" s="9"/>
      <c r="HGU15" s="9"/>
      <c r="HGV15" s="9"/>
      <c r="HGW15" s="9"/>
      <c r="HGX15" s="10"/>
      <c r="HGY15" s="11"/>
      <c r="HGZ15" s="12"/>
      <c r="HHA15" s="12"/>
      <c r="HHB15" s="12"/>
      <c r="HHC15" s="13"/>
      <c r="HHD15" s="9"/>
      <c r="HHE15" s="9"/>
      <c r="HHF15" s="9"/>
      <c r="HHG15" s="9"/>
      <c r="HHH15" s="10"/>
      <c r="HHI15" s="11"/>
      <c r="HHJ15" s="12"/>
      <c r="HHK15" s="12"/>
      <c r="HHL15" s="12"/>
      <c r="HHM15" s="13"/>
      <c r="HHN15" s="9"/>
      <c r="HHO15" s="9"/>
      <c r="HHP15" s="9"/>
      <c r="HHQ15" s="9"/>
      <c r="HHR15" s="10"/>
      <c r="HHS15" s="11"/>
      <c r="HHT15" s="12"/>
      <c r="HHU15" s="12"/>
      <c r="HHV15" s="12"/>
      <c r="HHW15" s="13"/>
      <c r="HHX15" s="9"/>
      <c r="HHY15" s="9"/>
      <c r="HHZ15" s="9"/>
      <c r="HIA15" s="9"/>
      <c r="HIB15" s="10"/>
      <c r="HIC15" s="11"/>
      <c r="HID15" s="12"/>
      <c r="HIE15" s="12"/>
      <c r="HIF15" s="12"/>
      <c r="HIG15" s="13"/>
      <c r="HIH15" s="9"/>
      <c r="HII15" s="9"/>
      <c r="HIJ15" s="9"/>
      <c r="HIK15" s="9"/>
      <c r="HIL15" s="10"/>
      <c r="HIM15" s="11"/>
      <c r="HIN15" s="12"/>
      <c r="HIO15" s="12"/>
      <c r="HIP15" s="12"/>
      <c r="HIQ15" s="13"/>
      <c r="HIR15" s="9"/>
      <c r="HIS15" s="9"/>
      <c r="HIT15" s="9"/>
      <c r="HIU15" s="9"/>
      <c r="HIV15" s="10"/>
      <c r="HIW15" s="11"/>
      <c r="HIX15" s="12"/>
      <c r="HIY15" s="12"/>
      <c r="HIZ15" s="12"/>
      <c r="HJA15" s="13"/>
      <c r="HJB15" s="9"/>
      <c r="HJC15" s="9"/>
      <c r="HJD15" s="9"/>
      <c r="HJE15" s="9"/>
      <c r="HJF15" s="10"/>
      <c r="HJG15" s="11"/>
      <c r="HJH15" s="12"/>
      <c r="HJI15" s="12"/>
      <c r="HJJ15" s="12"/>
      <c r="HJK15" s="13"/>
      <c r="HJL15" s="9"/>
      <c r="HJM15" s="9"/>
      <c r="HJN15" s="9"/>
      <c r="HJO15" s="9"/>
      <c r="HJP15" s="10"/>
      <c r="HJQ15" s="11"/>
      <c r="HJR15" s="12"/>
      <c r="HJS15" s="12"/>
      <c r="HJT15" s="12"/>
      <c r="HJU15" s="13"/>
      <c r="HJV15" s="9"/>
      <c r="HJW15" s="9"/>
      <c r="HJX15" s="9"/>
      <c r="HJY15" s="9"/>
      <c r="HJZ15" s="10"/>
      <c r="HKA15" s="11"/>
      <c r="HKB15" s="12"/>
      <c r="HKC15" s="12"/>
      <c r="HKD15" s="12"/>
      <c r="HKE15" s="13"/>
      <c r="HKF15" s="9"/>
      <c r="HKG15" s="9"/>
      <c r="HKH15" s="9"/>
      <c r="HKI15" s="9"/>
      <c r="HKJ15" s="10"/>
      <c r="HKK15" s="11"/>
      <c r="HKL15" s="12"/>
      <c r="HKM15" s="12"/>
      <c r="HKN15" s="12"/>
      <c r="HKO15" s="13"/>
      <c r="HKP15" s="9"/>
      <c r="HKQ15" s="9"/>
      <c r="HKR15" s="9"/>
      <c r="HKS15" s="9"/>
      <c r="HKT15" s="10"/>
      <c r="HKU15" s="11"/>
      <c r="HKV15" s="12"/>
      <c r="HKW15" s="12"/>
      <c r="HKX15" s="12"/>
      <c r="HKY15" s="13"/>
      <c r="HKZ15" s="9"/>
      <c r="HLA15" s="9"/>
      <c r="HLB15" s="9"/>
      <c r="HLC15" s="9"/>
      <c r="HLD15" s="10"/>
      <c r="HLE15" s="11"/>
      <c r="HLF15" s="12"/>
      <c r="HLG15" s="12"/>
      <c r="HLH15" s="12"/>
      <c r="HLI15" s="13"/>
      <c r="HLJ15" s="9"/>
      <c r="HLK15" s="9"/>
      <c r="HLL15" s="9"/>
      <c r="HLM15" s="9"/>
      <c r="HLN15" s="10"/>
      <c r="HLO15" s="11"/>
      <c r="HLP15" s="12"/>
      <c r="HLQ15" s="12"/>
      <c r="HLR15" s="12"/>
      <c r="HLS15" s="13"/>
      <c r="HLT15" s="9"/>
      <c r="HLU15" s="9"/>
      <c r="HLV15" s="9"/>
      <c r="HLW15" s="9"/>
      <c r="HLX15" s="10"/>
      <c r="HLY15" s="11"/>
      <c r="HLZ15" s="12"/>
      <c r="HMA15" s="12"/>
      <c r="HMB15" s="12"/>
      <c r="HMC15" s="13"/>
      <c r="HMD15" s="9"/>
      <c r="HME15" s="9"/>
      <c r="HMF15" s="9"/>
      <c r="HMG15" s="9"/>
      <c r="HMH15" s="10"/>
      <c r="HMI15" s="11"/>
      <c r="HMJ15" s="12"/>
      <c r="HMK15" s="12"/>
      <c r="HML15" s="12"/>
      <c r="HMM15" s="13"/>
      <c r="HMN15" s="9"/>
      <c r="HMO15" s="9"/>
      <c r="HMP15" s="9"/>
      <c r="HMQ15" s="9"/>
      <c r="HMR15" s="10"/>
      <c r="HMS15" s="11"/>
      <c r="HMT15" s="12"/>
      <c r="HMU15" s="12"/>
      <c r="HMV15" s="12"/>
      <c r="HMW15" s="13"/>
      <c r="HMX15" s="9"/>
      <c r="HMY15" s="9"/>
      <c r="HMZ15" s="9"/>
      <c r="HNA15" s="9"/>
      <c r="HNB15" s="10"/>
      <c r="HNC15" s="11"/>
      <c r="HND15" s="12"/>
      <c r="HNE15" s="12"/>
      <c r="HNF15" s="12"/>
      <c r="HNG15" s="13"/>
      <c r="HNH15" s="9"/>
      <c r="HNI15" s="9"/>
      <c r="HNJ15" s="9"/>
      <c r="HNK15" s="9"/>
      <c r="HNL15" s="10"/>
      <c r="HNM15" s="11"/>
      <c r="HNN15" s="12"/>
      <c r="HNO15" s="12"/>
      <c r="HNP15" s="12"/>
      <c r="HNQ15" s="13"/>
      <c r="HNR15" s="9"/>
      <c r="HNS15" s="9"/>
      <c r="HNT15" s="9"/>
      <c r="HNU15" s="9"/>
      <c r="HNV15" s="10"/>
      <c r="HNW15" s="11"/>
      <c r="HNX15" s="12"/>
      <c r="HNY15" s="12"/>
      <c r="HNZ15" s="12"/>
      <c r="HOA15" s="13"/>
      <c r="HOB15" s="9"/>
      <c r="HOC15" s="9"/>
      <c r="HOD15" s="9"/>
      <c r="HOE15" s="9"/>
      <c r="HOF15" s="10"/>
      <c r="HOG15" s="11"/>
      <c r="HOH15" s="12"/>
      <c r="HOI15" s="12"/>
      <c r="HOJ15" s="12"/>
      <c r="HOK15" s="13"/>
      <c r="HOL15" s="9"/>
      <c r="HOM15" s="9"/>
      <c r="HON15" s="9"/>
      <c r="HOO15" s="9"/>
      <c r="HOP15" s="10"/>
      <c r="HOQ15" s="11"/>
      <c r="HOR15" s="12"/>
      <c r="HOS15" s="12"/>
      <c r="HOT15" s="12"/>
      <c r="HOU15" s="13"/>
      <c r="HOV15" s="9"/>
      <c r="HOW15" s="9"/>
      <c r="HOX15" s="9"/>
      <c r="HOY15" s="9"/>
      <c r="HOZ15" s="10"/>
      <c r="HPA15" s="11"/>
      <c r="HPB15" s="12"/>
      <c r="HPC15" s="12"/>
      <c r="HPD15" s="12"/>
      <c r="HPE15" s="13"/>
      <c r="HPF15" s="9"/>
      <c r="HPG15" s="9"/>
      <c r="HPH15" s="9"/>
      <c r="HPI15" s="9"/>
      <c r="HPJ15" s="10"/>
      <c r="HPK15" s="11"/>
      <c r="HPL15" s="12"/>
      <c r="HPM15" s="12"/>
      <c r="HPN15" s="12"/>
      <c r="HPO15" s="13"/>
      <c r="HPP15" s="9"/>
      <c r="HPQ15" s="9"/>
      <c r="HPR15" s="9"/>
      <c r="HPS15" s="9"/>
      <c r="HPT15" s="10"/>
      <c r="HPU15" s="11"/>
      <c r="HPV15" s="12"/>
      <c r="HPW15" s="12"/>
      <c r="HPX15" s="12"/>
      <c r="HPY15" s="13"/>
      <c r="HPZ15" s="9"/>
      <c r="HQA15" s="9"/>
      <c r="HQB15" s="9"/>
      <c r="HQC15" s="9"/>
      <c r="HQD15" s="10"/>
      <c r="HQE15" s="11"/>
      <c r="HQF15" s="12"/>
      <c r="HQG15" s="12"/>
      <c r="HQH15" s="12"/>
      <c r="HQI15" s="13"/>
      <c r="HQJ15" s="9"/>
      <c r="HQK15" s="9"/>
      <c r="HQL15" s="9"/>
      <c r="HQM15" s="9"/>
      <c r="HQN15" s="10"/>
      <c r="HQO15" s="11"/>
      <c r="HQP15" s="12"/>
      <c r="HQQ15" s="12"/>
      <c r="HQR15" s="12"/>
      <c r="HQS15" s="13"/>
      <c r="HQT15" s="9"/>
      <c r="HQU15" s="9"/>
      <c r="HQV15" s="9"/>
      <c r="HQW15" s="9"/>
      <c r="HQX15" s="10"/>
      <c r="HQY15" s="11"/>
      <c r="HQZ15" s="12"/>
      <c r="HRA15" s="12"/>
      <c r="HRB15" s="12"/>
      <c r="HRC15" s="13"/>
      <c r="HRD15" s="9"/>
      <c r="HRE15" s="9"/>
      <c r="HRF15" s="9"/>
      <c r="HRG15" s="9"/>
      <c r="HRH15" s="10"/>
      <c r="HRI15" s="11"/>
      <c r="HRJ15" s="12"/>
      <c r="HRK15" s="12"/>
      <c r="HRL15" s="12"/>
      <c r="HRM15" s="13"/>
      <c r="HRN15" s="9"/>
      <c r="HRO15" s="9"/>
      <c r="HRP15" s="9"/>
      <c r="HRQ15" s="9"/>
      <c r="HRR15" s="10"/>
      <c r="HRS15" s="11"/>
      <c r="HRT15" s="12"/>
      <c r="HRU15" s="12"/>
      <c r="HRV15" s="12"/>
      <c r="HRW15" s="13"/>
      <c r="HRX15" s="9"/>
      <c r="HRY15" s="9"/>
      <c r="HRZ15" s="9"/>
      <c r="HSA15" s="9"/>
      <c r="HSB15" s="10"/>
      <c r="HSC15" s="11"/>
      <c r="HSD15" s="12"/>
      <c r="HSE15" s="12"/>
      <c r="HSF15" s="12"/>
      <c r="HSG15" s="13"/>
      <c r="HSH15" s="9"/>
      <c r="HSI15" s="9"/>
      <c r="HSJ15" s="9"/>
      <c r="HSK15" s="9"/>
      <c r="HSL15" s="10"/>
      <c r="HSM15" s="11"/>
      <c r="HSN15" s="12"/>
      <c r="HSO15" s="12"/>
      <c r="HSP15" s="12"/>
      <c r="HSQ15" s="13"/>
      <c r="HSR15" s="9"/>
      <c r="HSS15" s="9"/>
      <c r="HST15" s="9"/>
      <c r="HSU15" s="9"/>
      <c r="HSV15" s="10"/>
      <c r="HSW15" s="11"/>
      <c r="HSX15" s="12"/>
      <c r="HSY15" s="12"/>
      <c r="HSZ15" s="12"/>
      <c r="HTA15" s="13"/>
      <c r="HTB15" s="9"/>
      <c r="HTC15" s="9"/>
      <c r="HTD15" s="9"/>
      <c r="HTE15" s="9"/>
      <c r="HTF15" s="10"/>
      <c r="HTG15" s="11"/>
      <c r="HTH15" s="12"/>
      <c r="HTI15" s="12"/>
      <c r="HTJ15" s="12"/>
      <c r="HTK15" s="13"/>
      <c r="HTL15" s="9"/>
      <c r="HTM15" s="9"/>
      <c r="HTN15" s="9"/>
      <c r="HTO15" s="9"/>
      <c r="HTP15" s="10"/>
      <c r="HTQ15" s="11"/>
      <c r="HTR15" s="12"/>
      <c r="HTS15" s="12"/>
      <c r="HTT15" s="12"/>
      <c r="HTU15" s="13"/>
      <c r="HTV15" s="9"/>
      <c r="HTW15" s="9"/>
      <c r="HTX15" s="9"/>
      <c r="HTY15" s="9"/>
      <c r="HTZ15" s="10"/>
      <c r="HUA15" s="11"/>
      <c r="HUB15" s="12"/>
      <c r="HUC15" s="12"/>
      <c r="HUD15" s="12"/>
      <c r="HUE15" s="13"/>
      <c r="HUF15" s="9"/>
      <c r="HUG15" s="9"/>
      <c r="HUH15" s="9"/>
      <c r="HUI15" s="9"/>
      <c r="HUJ15" s="10"/>
      <c r="HUK15" s="11"/>
      <c r="HUL15" s="12"/>
      <c r="HUM15" s="12"/>
      <c r="HUN15" s="12"/>
      <c r="HUO15" s="13"/>
      <c r="HUP15" s="9"/>
      <c r="HUQ15" s="9"/>
      <c r="HUR15" s="9"/>
      <c r="HUS15" s="9"/>
      <c r="HUT15" s="10"/>
      <c r="HUU15" s="11"/>
      <c r="HUV15" s="12"/>
      <c r="HUW15" s="12"/>
      <c r="HUX15" s="12"/>
      <c r="HUY15" s="13"/>
      <c r="HUZ15" s="9"/>
      <c r="HVA15" s="9"/>
      <c r="HVB15" s="9"/>
      <c r="HVC15" s="9"/>
      <c r="HVD15" s="10"/>
      <c r="HVE15" s="11"/>
      <c r="HVF15" s="12"/>
      <c r="HVG15" s="12"/>
      <c r="HVH15" s="12"/>
      <c r="HVI15" s="13"/>
      <c r="HVJ15" s="9"/>
      <c r="HVK15" s="9"/>
      <c r="HVL15" s="9"/>
      <c r="HVM15" s="9"/>
      <c r="HVN15" s="10"/>
      <c r="HVO15" s="11"/>
      <c r="HVP15" s="12"/>
      <c r="HVQ15" s="12"/>
      <c r="HVR15" s="12"/>
      <c r="HVS15" s="13"/>
      <c r="HVT15" s="9"/>
      <c r="HVU15" s="9"/>
      <c r="HVV15" s="9"/>
      <c r="HVW15" s="9"/>
      <c r="HVX15" s="10"/>
      <c r="HVY15" s="11"/>
      <c r="HVZ15" s="12"/>
      <c r="HWA15" s="12"/>
      <c r="HWB15" s="12"/>
      <c r="HWC15" s="13"/>
      <c r="HWD15" s="9"/>
      <c r="HWE15" s="9"/>
      <c r="HWF15" s="9"/>
      <c r="HWG15" s="9"/>
      <c r="HWH15" s="10"/>
      <c r="HWI15" s="11"/>
      <c r="HWJ15" s="12"/>
      <c r="HWK15" s="12"/>
      <c r="HWL15" s="12"/>
      <c r="HWM15" s="13"/>
      <c r="HWN15" s="9"/>
      <c r="HWO15" s="9"/>
      <c r="HWP15" s="9"/>
      <c r="HWQ15" s="9"/>
      <c r="HWR15" s="10"/>
      <c r="HWS15" s="11"/>
      <c r="HWT15" s="12"/>
      <c r="HWU15" s="12"/>
      <c r="HWV15" s="12"/>
      <c r="HWW15" s="13"/>
      <c r="HWX15" s="9"/>
      <c r="HWY15" s="9"/>
      <c r="HWZ15" s="9"/>
      <c r="HXA15" s="9"/>
      <c r="HXB15" s="10"/>
      <c r="HXC15" s="11"/>
      <c r="HXD15" s="12"/>
      <c r="HXE15" s="12"/>
      <c r="HXF15" s="12"/>
      <c r="HXG15" s="13"/>
      <c r="HXH15" s="9"/>
      <c r="HXI15" s="9"/>
      <c r="HXJ15" s="9"/>
      <c r="HXK15" s="9"/>
      <c r="HXL15" s="10"/>
      <c r="HXM15" s="11"/>
      <c r="HXN15" s="12"/>
      <c r="HXO15" s="12"/>
      <c r="HXP15" s="12"/>
      <c r="HXQ15" s="13"/>
      <c r="HXR15" s="9"/>
      <c r="HXS15" s="9"/>
      <c r="HXT15" s="9"/>
      <c r="HXU15" s="9"/>
      <c r="HXV15" s="10"/>
      <c r="HXW15" s="11"/>
      <c r="HXX15" s="12"/>
      <c r="HXY15" s="12"/>
      <c r="HXZ15" s="12"/>
      <c r="HYA15" s="13"/>
      <c r="HYB15" s="9"/>
      <c r="HYC15" s="9"/>
      <c r="HYD15" s="9"/>
      <c r="HYE15" s="9"/>
      <c r="HYF15" s="10"/>
      <c r="HYG15" s="11"/>
      <c r="HYH15" s="12"/>
      <c r="HYI15" s="12"/>
      <c r="HYJ15" s="12"/>
      <c r="HYK15" s="13"/>
      <c r="HYL15" s="9"/>
      <c r="HYM15" s="9"/>
      <c r="HYN15" s="9"/>
      <c r="HYO15" s="9"/>
      <c r="HYP15" s="10"/>
      <c r="HYQ15" s="11"/>
      <c r="HYR15" s="12"/>
      <c r="HYS15" s="12"/>
      <c r="HYT15" s="12"/>
      <c r="HYU15" s="13"/>
      <c r="HYV15" s="9"/>
      <c r="HYW15" s="9"/>
      <c r="HYX15" s="9"/>
      <c r="HYY15" s="9"/>
      <c r="HYZ15" s="10"/>
      <c r="HZA15" s="11"/>
      <c r="HZB15" s="12"/>
      <c r="HZC15" s="12"/>
      <c r="HZD15" s="12"/>
      <c r="HZE15" s="13"/>
      <c r="HZF15" s="9"/>
      <c r="HZG15" s="9"/>
      <c r="HZH15" s="9"/>
      <c r="HZI15" s="9"/>
      <c r="HZJ15" s="10"/>
      <c r="HZK15" s="11"/>
      <c r="HZL15" s="12"/>
      <c r="HZM15" s="12"/>
      <c r="HZN15" s="12"/>
      <c r="HZO15" s="13"/>
      <c r="HZP15" s="9"/>
      <c r="HZQ15" s="9"/>
      <c r="HZR15" s="9"/>
      <c r="HZS15" s="9"/>
      <c r="HZT15" s="10"/>
      <c r="HZU15" s="11"/>
      <c r="HZV15" s="12"/>
      <c r="HZW15" s="12"/>
      <c r="HZX15" s="12"/>
      <c r="HZY15" s="13"/>
      <c r="HZZ15" s="9"/>
      <c r="IAA15" s="9"/>
      <c r="IAB15" s="9"/>
      <c r="IAC15" s="9"/>
      <c r="IAD15" s="10"/>
      <c r="IAE15" s="11"/>
      <c r="IAF15" s="12"/>
      <c r="IAG15" s="12"/>
      <c r="IAH15" s="12"/>
      <c r="IAI15" s="13"/>
      <c r="IAJ15" s="9"/>
      <c r="IAK15" s="9"/>
      <c r="IAL15" s="9"/>
      <c r="IAM15" s="9"/>
      <c r="IAN15" s="10"/>
      <c r="IAO15" s="11"/>
      <c r="IAP15" s="12"/>
      <c r="IAQ15" s="12"/>
      <c r="IAR15" s="12"/>
      <c r="IAS15" s="13"/>
      <c r="IAT15" s="9"/>
      <c r="IAU15" s="9"/>
      <c r="IAV15" s="9"/>
      <c r="IAW15" s="9"/>
      <c r="IAX15" s="10"/>
      <c r="IAY15" s="11"/>
      <c r="IAZ15" s="12"/>
      <c r="IBA15" s="12"/>
      <c r="IBB15" s="12"/>
      <c r="IBC15" s="13"/>
      <c r="IBD15" s="9"/>
      <c r="IBE15" s="9"/>
      <c r="IBF15" s="9"/>
      <c r="IBG15" s="9"/>
      <c r="IBH15" s="10"/>
      <c r="IBI15" s="11"/>
      <c r="IBJ15" s="12"/>
      <c r="IBK15" s="12"/>
      <c r="IBL15" s="12"/>
      <c r="IBM15" s="13"/>
      <c r="IBN15" s="9"/>
      <c r="IBO15" s="9"/>
      <c r="IBP15" s="9"/>
      <c r="IBQ15" s="9"/>
      <c r="IBR15" s="10"/>
      <c r="IBS15" s="11"/>
      <c r="IBT15" s="12"/>
      <c r="IBU15" s="12"/>
      <c r="IBV15" s="12"/>
      <c r="IBW15" s="13"/>
      <c r="IBX15" s="9"/>
      <c r="IBY15" s="9"/>
      <c r="IBZ15" s="9"/>
      <c r="ICA15" s="9"/>
      <c r="ICB15" s="10"/>
      <c r="ICC15" s="11"/>
      <c r="ICD15" s="12"/>
      <c r="ICE15" s="12"/>
      <c r="ICF15" s="12"/>
      <c r="ICG15" s="13"/>
      <c r="ICH15" s="9"/>
      <c r="ICI15" s="9"/>
      <c r="ICJ15" s="9"/>
      <c r="ICK15" s="9"/>
      <c r="ICL15" s="10"/>
      <c r="ICM15" s="11"/>
      <c r="ICN15" s="12"/>
      <c r="ICO15" s="12"/>
      <c r="ICP15" s="12"/>
      <c r="ICQ15" s="13"/>
      <c r="ICR15" s="9"/>
      <c r="ICS15" s="9"/>
      <c r="ICT15" s="9"/>
      <c r="ICU15" s="9"/>
      <c r="ICV15" s="10"/>
      <c r="ICW15" s="11"/>
      <c r="ICX15" s="12"/>
      <c r="ICY15" s="12"/>
      <c r="ICZ15" s="12"/>
      <c r="IDA15" s="13"/>
      <c r="IDB15" s="9"/>
      <c r="IDC15" s="9"/>
      <c r="IDD15" s="9"/>
      <c r="IDE15" s="9"/>
      <c r="IDF15" s="10"/>
      <c r="IDG15" s="11"/>
      <c r="IDH15" s="12"/>
      <c r="IDI15" s="12"/>
      <c r="IDJ15" s="12"/>
      <c r="IDK15" s="13"/>
      <c r="IDL15" s="9"/>
      <c r="IDM15" s="9"/>
      <c r="IDN15" s="9"/>
      <c r="IDO15" s="9"/>
      <c r="IDP15" s="10"/>
      <c r="IDQ15" s="11"/>
      <c r="IDR15" s="12"/>
      <c r="IDS15" s="12"/>
      <c r="IDT15" s="12"/>
      <c r="IDU15" s="13"/>
      <c r="IDV15" s="9"/>
      <c r="IDW15" s="9"/>
      <c r="IDX15" s="9"/>
      <c r="IDY15" s="9"/>
      <c r="IDZ15" s="10"/>
      <c r="IEA15" s="11"/>
      <c r="IEB15" s="12"/>
      <c r="IEC15" s="12"/>
      <c r="IED15" s="12"/>
      <c r="IEE15" s="13"/>
      <c r="IEF15" s="9"/>
      <c r="IEG15" s="9"/>
      <c r="IEH15" s="9"/>
      <c r="IEI15" s="9"/>
      <c r="IEJ15" s="10"/>
      <c r="IEK15" s="11"/>
      <c r="IEL15" s="12"/>
      <c r="IEM15" s="12"/>
      <c r="IEN15" s="12"/>
      <c r="IEO15" s="13"/>
      <c r="IEP15" s="9"/>
      <c r="IEQ15" s="9"/>
      <c r="IER15" s="9"/>
      <c r="IES15" s="9"/>
      <c r="IET15" s="10"/>
      <c r="IEU15" s="11"/>
      <c r="IEV15" s="12"/>
      <c r="IEW15" s="12"/>
      <c r="IEX15" s="12"/>
      <c r="IEY15" s="13"/>
      <c r="IEZ15" s="9"/>
      <c r="IFA15" s="9"/>
      <c r="IFB15" s="9"/>
      <c r="IFC15" s="9"/>
      <c r="IFD15" s="10"/>
      <c r="IFE15" s="11"/>
      <c r="IFF15" s="12"/>
      <c r="IFG15" s="12"/>
      <c r="IFH15" s="12"/>
      <c r="IFI15" s="13"/>
      <c r="IFJ15" s="9"/>
      <c r="IFK15" s="9"/>
      <c r="IFL15" s="9"/>
      <c r="IFM15" s="9"/>
      <c r="IFN15" s="10"/>
      <c r="IFO15" s="11"/>
      <c r="IFP15" s="12"/>
      <c r="IFQ15" s="12"/>
      <c r="IFR15" s="12"/>
      <c r="IFS15" s="13"/>
      <c r="IFT15" s="9"/>
      <c r="IFU15" s="9"/>
      <c r="IFV15" s="9"/>
      <c r="IFW15" s="9"/>
      <c r="IFX15" s="10"/>
      <c r="IFY15" s="11"/>
      <c r="IFZ15" s="12"/>
      <c r="IGA15" s="12"/>
      <c r="IGB15" s="12"/>
      <c r="IGC15" s="13"/>
      <c r="IGD15" s="9"/>
      <c r="IGE15" s="9"/>
      <c r="IGF15" s="9"/>
      <c r="IGG15" s="9"/>
      <c r="IGH15" s="10"/>
      <c r="IGI15" s="11"/>
      <c r="IGJ15" s="12"/>
      <c r="IGK15" s="12"/>
      <c r="IGL15" s="12"/>
      <c r="IGM15" s="13"/>
      <c r="IGN15" s="9"/>
      <c r="IGO15" s="9"/>
      <c r="IGP15" s="9"/>
      <c r="IGQ15" s="9"/>
      <c r="IGR15" s="10"/>
      <c r="IGS15" s="11"/>
      <c r="IGT15" s="12"/>
      <c r="IGU15" s="12"/>
      <c r="IGV15" s="12"/>
      <c r="IGW15" s="13"/>
      <c r="IGX15" s="9"/>
      <c r="IGY15" s="9"/>
      <c r="IGZ15" s="9"/>
      <c r="IHA15" s="9"/>
      <c r="IHB15" s="10"/>
      <c r="IHC15" s="11"/>
      <c r="IHD15" s="12"/>
      <c r="IHE15" s="12"/>
      <c r="IHF15" s="12"/>
      <c r="IHG15" s="13"/>
      <c r="IHH15" s="9"/>
      <c r="IHI15" s="9"/>
      <c r="IHJ15" s="9"/>
      <c r="IHK15" s="9"/>
      <c r="IHL15" s="10"/>
      <c r="IHM15" s="11"/>
      <c r="IHN15" s="12"/>
      <c r="IHO15" s="12"/>
      <c r="IHP15" s="12"/>
      <c r="IHQ15" s="13"/>
      <c r="IHR15" s="9"/>
      <c r="IHS15" s="9"/>
      <c r="IHT15" s="9"/>
      <c r="IHU15" s="9"/>
      <c r="IHV15" s="10"/>
      <c r="IHW15" s="11"/>
      <c r="IHX15" s="12"/>
      <c r="IHY15" s="12"/>
      <c r="IHZ15" s="12"/>
      <c r="IIA15" s="13"/>
      <c r="IIB15" s="9"/>
      <c r="IIC15" s="9"/>
      <c r="IID15" s="9"/>
      <c r="IIE15" s="9"/>
      <c r="IIF15" s="10"/>
      <c r="IIG15" s="11"/>
      <c r="IIH15" s="12"/>
      <c r="III15" s="12"/>
      <c r="IIJ15" s="12"/>
      <c r="IIK15" s="13"/>
      <c r="IIL15" s="9"/>
      <c r="IIM15" s="9"/>
      <c r="IIN15" s="9"/>
      <c r="IIO15" s="9"/>
      <c r="IIP15" s="10"/>
      <c r="IIQ15" s="11"/>
      <c r="IIR15" s="12"/>
      <c r="IIS15" s="12"/>
      <c r="IIT15" s="12"/>
      <c r="IIU15" s="13"/>
      <c r="IIV15" s="9"/>
      <c r="IIW15" s="9"/>
      <c r="IIX15" s="9"/>
      <c r="IIY15" s="9"/>
      <c r="IIZ15" s="10"/>
      <c r="IJA15" s="11"/>
      <c r="IJB15" s="12"/>
      <c r="IJC15" s="12"/>
      <c r="IJD15" s="12"/>
      <c r="IJE15" s="13"/>
      <c r="IJF15" s="9"/>
      <c r="IJG15" s="9"/>
      <c r="IJH15" s="9"/>
      <c r="IJI15" s="9"/>
      <c r="IJJ15" s="10"/>
      <c r="IJK15" s="11"/>
      <c r="IJL15" s="12"/>
      <c r="IJM15" s="12"/>
      <c r="IJN15" s="12"/>
      <c r="IJO15" s="13"/>
      <c r="IJP15" s="9"/>
      <c r="IJQ15" s="9"/>
      <c r="IJR15" s="9"/>
      <c r="IJS15" s="9"/>
      <c r="IJT15" s="10"/>
      <c r="IJU15" s="11"/>
      <c r="IJV15" s="12"/>
      <c r="IJW15" s="12"/>
      <c r="IJX15" s="12"/>
      <c r="IJY15" s="13"/>
      <c r="IJZ15" s="9"/>
      <c r="IKA15" s="9"/>
      <c r="IKB15" s="9"/>
      <c r="IKC15" s="9"/>
      <c r="IKD15" s="10"/>
      <c r="IKE15" s="11"/>
      <c r="IKF15" s="12"/>
      <c r="IKG15" s="12"/>
      <c r="IKH15" s="12"/>
      <c r="IKI15" s="13"/>
      <c r="IKJ15" s="9"/>
      <c r="IKK15" s="9"/>
      <c r="IKL15" s="9"/>
      <c r="IKM15" s="9"/>
      <c r="IKN15" s="10"/>
      <c r="IKO15" s="11"/>
      <c r="IKP15" s="12"/>
      <c r="IKQ15" s="12"/>
      <c r="IKR15" s="12"/>
      <c r="IKS15" s="13"/>
      <c r="IKT15" s="9"/>
      <c r="IKU15" s="9"/>
      <c r="IKV15" s="9"/>
      <c r="IKW15" s="9"/>
      <c r="IKX15" s="10"/>
      <c r="IKY15" s="11"/>
      <c r="IKZ15" s="12"/>
      <c r="ILA15" s="12"/>
      <c r="ILB15" s="12"/>
      <c r="ILC15" s="13"/>
      <c r="ILD15" s="9"/>
      <c r="ILE15" s="9"/>
      <c r="ILF15" s="9"/>
      <c r="ILG15" s="9"/>
      <c r="ILH15" s="10"/>
      <c r="ILI15" s="11"/>
      <c r="ILJ15" s="12"/>
      <c r="ILK15" s="12"/>
      <c r="ILL15" s="12"/>
      <c r="ILM15" s="13"/>
      <c r="ILN15" s="9"/>
      <c r="ILO15" s="9"/>
      <c r="ILP15" s="9"/>
      <c r="ILQ15" s="9"/>
      <c r="ILR15" s="10"/>
      <c r="ILS15" s="11"/>
      <c r="ILT15" s="12"/>
      <c r="ILU15" s="12"/>
      <c r="ILV15" s="12"/>
      <c r="ILW15" s="13"/>
      <c r="ILX15" s="9"/>
      <c r="ILY15" s="9"/>
      <c r="ILZ15" s="9"/>
      <c r="IMA15" s="9"/>
      <c r="IMB15" s="10"/>
      <c r="IMC15" s="11"/>
      <c r="IMD15" s="12"/>
      <c r="IME15" s="12"/>
      <c r="IMF15" s="12"/>
      <c r="IMG15" s="13"/>
      <c r="IMH15" s="9"/>
      <c r="IMI15" s="9"/>
      <c r="IMJ15" s="9"/>
      <c r="IMK15" s="9"/>
      <c r="IML15" s="10"/>
      <c r="IMM15" s="11"/>
      <c r="IMN15" s="12"/>
      <c r="IMO15" s="12"/>
      <c r="IMP15" s="12"/>
      <c r="IMQ15" s="13"/>
      <c r="IMR15" s="9"/>
      <c r="IMS15" s="9"/>
      <c r="IMT15" s="9"/>
      <c r="IMU15" s="9"/>
      <c r="IMV15" s="10"/>
      <c r="IMW15" s="11"/>
      <c r="IMX15" s="12"/>
      <c r="IMY15" s="12"/>
      <c r="IMZ15" s="12"/>
      <c r="INA15" s="13"/>
      <c r="INB15" s="9"/>
      <c r="INC15" s="9"/>
      <c r="IND15" s="9"/>
      <c r="INE15" s="9"/>
      <c r="INF15" s="10"/>
      <c r="ING15" s="11"/>
      <c r="INH15" s="12"/>
      <c r="INI15" s="12"/>
      <c r="INJ15" s="12"/>
      <c r="INK15" s="13"/>
      <c r="INL15" s="9"/>
      <c r="INM15" s="9"/>
      <c r="INN15" s="9"/>
      <c r="INO15" s="9"/>
      <c r="INP15" s="10"/>
      <c r="INQ15" s="11"/>
      <c r="INR15" s="12"/>
      <c r="INS15" s="12"/>
      <c r="INT15" s="12"/>
      <c r="INU15" s="13"/>
      <c r="INV15" s="9"/>
      <c r="INW15" s="9"/>
      <c r="INX15" s="9"/>
      <c r="INY15" s="9"/>
      <c r="INZ15" s="10"/>
      <c r="IOA15" s="11"/>
      <c r="IOB15" s="12"/>
      <c r="IOC15" s="12"/>
      <c r="IOD15" s="12"/>
      <c r="IOE15" s="13"/>
      <c r="IOF15" s="9"/>
      <c r="IOG15" s="9"/>
      <c r="IOH15" s="9"/>
      <c r="IOI15" s="9"/>
      <c r="IOJ15" s="10"/>
      <c r="IOK15" s="11"/>
      <c r="IOL15" s="12"/>
      <c r="IOM15" s="12"/>
      <c r="ION15" s="12"/>
      <c r="IOO15" s="13"/>
      <c r="IOP15" s="9"/>
      <c r="IOQ15" s="9"/>
      <c r="IOR15" s="9"/>
      <c r="IOS15" s="9"/>
      <c r="IOT15" s="10"/>
      <c r="IOU15" s="11"/>
      <c r="IOV15" s="12"/>
      <c r="IOW15" s="12"/>
      <c r="IOX15" s="12"/>
      <c r="IOY15" s="13"/>
      <c r="IOZ15" s="9"/>
      <c r="IPA15" s="9"/>
      <c r="IPB15" s="9"/>
      <c r="IPC15" s="9"/>
      <c r="IPD15" s="10"/>
      <c r="IPE15" s="11"/>
      <c r="IPF15" s="12"/>
      <c r="IPG15" s="12"/>
      <c r="IPH15" s="12"/>
      <c r="IPI15" s="13"/>
      <c r="IPJ15" s="9"/>
      <c r="IPK15" s="9"/>
      <c r="IPL15" s="9"/>
      <c r="IPM15" s="9"/>
      <c r="IPN15" s="10"/>
      <c r="IPO15" s="11"/>
      <c r="IPP15" s="12"/>
      <c r="IPQ15" s="12"/>
      <c r="IPR15" s="12"/>
      <c r="IPS15" s="13"/>
      <c r="IPT15" s="9"/>
      <c r="IPU15" s="9"/>
      <c r="IPV15" s="9"/>
      <c r="IPW15" s="9"/>
      <c r="IPX15" s="10"/>
      <c r="IPY15" s="11"/>
      <c r="IPZ15" s="12"/>
      <c r="IQA15" s="12"/>
      <c r="IQB15" s="12"/>
      <c r="IQC15" s="13"/>
      <c r="IQD15" s="9"/>
      <c r="IQE15" s="9"/>
      <c r="IQF15" s="9"/>
      <c r="IQG15" s="9"/>
      <c r="IQH15" s="10"/>
      <c r="IQI15" s="11"/>
      <c r="IQJ15" s="12"/>
      <c r="IQK15" s="12"/>
      <c r="IQL15" s="12"/>
      <c r="IQM15" s="13"/>
      <c r="IQN15" s="9"/>
      <c r="IQO15" s="9"/>
      <c r="IQP15" s="9"/>
      <c r="IQQ15" s="9"/>
      <c r="IQR15" s="10"/>
      <c r="IQS15" s="11"/>
      <c r="IQT15" s="12"/>
      <c r="IQU15" s="12"/>
      <c r="IQV15" s="12"/>
      <c r="IQW15" s="13"/>
      <c r="IQX15" s="9"/>
      <c r="IQY15" s="9"/>
      <c r="IQZ15" s="9"/>
      <c r="IRA15" s="9"/>
      <c r="IRB15" s="10"/>
      <c r="IRC15" s="11"/>
      <c r="IRD15" s="12"/>
      <c r="IRE15" s="12"/>
      <c r="IRF15" s="12"/>
      <c r="IRG15" s="13"/>
      <c r="IRH15" s="9"/>
      <c r="IRI15" s="9"/>
      <c r="IRJ15" s="9"/>
      <c r="IRK15" s="9"/>
      <c r="IRL15" s="10"/>
      <c r="IRM15" s="11"/>
      <c r="IRN15" s="12"/>
      <c r="IRO15" s="12"/>
      <c r="IRP15" s="12"/>
      <c r="IRQ15" s="13"/>
      <c r="IRR15" s="9"/>
      <c r="IRS15" s="9"/>
      <c r="IRT15" s="9"/>
      <c r="IRU15" s="9"/>
      <c r="IRV15" s="10"/>
      <c r="IRW15" s="11"/>
      <c r="IRX15" s="12"/>
      <c r="IRY15" s="12"/>
      <c r="IRZ15" s="12"/>
      <c r="ISA15" s="13"/>
      <c r="ISB15" s="9"/>
      <c r="ISC15" s="9"/>
      <c r="ISD15" s="9"/>
      <c r="ISE15" s="9"/>
      <c r="ISF15" s="10"/>
      <c r="ISG15" s="11"/>
      <c r="ISH15" s="12"/>
      <c r="ISI15" s="12"/>
      <c r="ISJ15" s="12"/>
      <c r="ISK15" s="13"/>
      <c r="ISL15" s="9"/>
      <c r="ISM15" s="9"/>
      <c r="ISN15" s="9"/>
      <c r="ISO15" s="9"/>
      <c r="ISP15" s="10"/>
      <c r="ISQ15" s="11"/>
      <c r="ISR15" s="12"/>
      <c r="ISS15" s="12"/>
      <c r="IST15" s="12"/>
      <c r="ISU15" s="13"/>
      <c r="ISV15" s="9"/>
      <c r="ISW15" s="9"/>
      <c r="ISX15" s="9"/>
      <c r="ISY15" s="9"/>
      <c r="ISZ15" s="10"/>
      <c r="ITA15" s="11"/>
      <c r="ITB15" s="12"/>
      <c r="ITC15" s="12"/>
      <c r="ITD15" s="12"/>
      <c r="ITE15" s="13"/>
      <c r="ITF15" s="9"/>
      <c r="ITG15" s="9"/>
      <c r="ITH15" s="9"/>
      <c r="ITI15" s="9"/>
      <c r="ITJ15" s="10"/>
      <c r="ITK15" s="11"/>
      <c r="ITL15" s="12"/>
      <c r="ITM15" s="12"/>
      <c r="ITN15" s="12"/>
      <c r="ITO15" s="13"/>
      <c r="ITP15" s="9"/>
      <c r="ITQ15" s="9"/>
      <c r="ITR15" s="9"/>
      <c r="ITS15" s="9"/>
      <c r="ITT15" s="10"/>
      <c r="ITU15" s="11"/>
      <c r="ITV15" s="12"/>
      <c r="ITW15" s="12"/>
      <c r="ITX15" s="12"/>
      <c r="ITY15" s="13"/>
      <c r="ITZ15" s="9"/>
      <c r="IUA15" s="9"/>
      <c r="IUB15" s="9"/>
      <c r="IUC15" s="9"/>
      <c r="IUD15" s="10"/>
      <c r="IUE15" s="11"/>
      <c r="IUF15" s="12"/>
      <c r="IUG15" s="12"/>
      <c r="IUH15" s="12"/>
      <c r="IUI15" s="13"/>
      <c r="IUJ15" s="9"/>
      <c r="IUK15" s="9"/>
      <c r="IUL15" s="9"/>
      <c r="IUM15" s="9"/>
      <c r="IUN15" s="10"/>
      <c r="IUO15" s="11"/>
      <c r="IUP15" s="12"/>
      <c r="IUQ15" s="12"/>
      <c r="IUR15" s="12"/>
      <c r="IUS15" s="13"/>
      <c r="IUT15" s="9"/>
      <c r="IUU15" s="9"/>
      <c r="IUV15" s="9"/>
      <c r="IUW15" s="9"/>
      <c r="IUX15" s="10"/>
      <c r="IUY15" s="11"/>
      <c r="IUZ15" s="12"/>
      <c r="IVA15" s="12"/>
      <c r="IVB15" s="12"/>
      <c r="IVC15" s="13"/>
      <c r="IVD15" s="9"/>
      <c r="IVE15" s="9"/>
      <c r="IVF15" s="9"/>
      <c r="IVG15" s="9"/>
      <c r="IVH15" s="10"/>
      <c r="IVI15" s="11"/>
      <c r="IVJ15" s="12"/>
      <c r="IVK15" s="12"/>
      <c r="IVL15" s="12"/>
      <c r="IVM15" s="13"/>
      <c r="IVN15" s="9"/>
      <c r="IVO15" s="9"/>
      <c r="IVP15" s="9"/>
      <c r="IVQ15" s="9"/>
      <c r="IVR15" s="10"/>
      <c r="IVS15" s="11"/>
      <c r="IVT15" s="12"/>
      <c r="IVU15" s="12"/>
      <c r="IVV15" s="12"/>
      <c r="IVW15" s="13"/>
      <c r="IVX15" s="9"/>
      <c r="IVY15" s="9"/>
      <c r="IVZ15" s="9"/>
      <c r="IWA15" s="9"/>
      <c r="IWB15" s="10"/>
      <c r="IWC15" s="11"/>
      <c r="IWD15" s="12"/>
      <c r="IWE15" s="12"/>
      <c r="IWF15" s="12"/>
      <c r="IWG15" s="13"/>
      <c r="IWH15" s="9"/>
      <c r="IWI15" s="9"/>
      <c r="IWJ15" s="9"/>
      <c r="IWK15" s="9"/>
      <c r="IWL15" s="10"/>
      <c r="IWM15" s="11"/>
      <c r="IWN15" s="12"/>
      <c r="IWO15" s="12"/>
      <c r="IWP15" s="12"/>
      <c r="IWQ15" s="13"/>
      <c r="IWR15" s="9"/>
      <c r="IWS15" s="9"/>
      <c r="IWT15" s="9"/>
      <c r="IWU15" s="9"/>
      <c r="IWV15" s="10"/>
      <c r="IWW15" s="11"/>
      <c r="IWX15" s="12"/>
      <c r="IWY15" s="12"/>
      <c r="IWZ15" s="12"/>
      <c r="IXA15" s="13"/>
      <c r="IXB15" s="9"/>
      <c r="IXC15" s="9"/>
      <c r="IXD15" s="9"/>
      <c r="IXE15" s="9"/>
      <c r="IXF15" s="10"/>
      <c r="IXG15" s="11"/>
      <c r="IXH15" s="12"/>
      <c r="IXI15" s="12"/>
      <c r="IXJ15" s="12"/>
      <c r="IXK15" s="13"/>
      <c r="IXL15" s="9"/>
      <c r="IXM15" s="9"/>
      <c r="IXN15" s="9"/>
      <c r="IXO15" s="9"/>
      <c r="IXP15" s="10"/>
      <c r="IXQ15" s="11"/>
      <c r="IXR15" s="12"/>
      <c r="IXS15" s="12"/>
      <c r="IXT15" s="12"/>
      <c r="IXU15" s="13"/>
      <c r="IXV15" s="9"/>
      <c r="IXW15" s="9"/>
      <c r="IXX15" s="9"/>
      <c r="IXY15" s="9"/>
      <c r="IXZ15" s="10"/>
      <c r="IYA15" s="11"/>
      <c r="IYB15" s="12"/>
      <c r="IYC15" s="12"/>
      <c r="IYD15" s="12"/>
      <c r="IYE15" s="13"/>
      <c r="IYF15" s="9"/>
      <c r="IYG15" s="9"/>
      <c r="IYH15" s="9"/>
      <c r="IYI15" s="9"/>
      <c r="IYJ15" s="10"/>
      <c r="IYK15" s="11"/>
      <c r="IYL15" s="12"/>
      <c r="IYM15" s="12"/>
      <c r="IYN15" s="12"/>
      <c r="IYO15" s="13"/>
      <c r="IYP15" s="9"/>
      <c r="IYQ15" s="9"/>
      <c r="IYR15" s="9"/>
      <c r="IYS15" s="9"/>
      <c r="IYT15" s="10"/>
      <c r="IYU15" s="11"/>
      <c r="IYV15" s="12"/>
      <c r="IYW15" s="12"/>
      <c r="IYX15" s="12"/>
      <c r="IYY15" s="13"/>
      <c r="IYZ15" s="9"/>
      <c r="IZA15" s="9"/>
      <c r="IZB15" s="9"/>
      <c r="IZC15" s="9"/>
      <c r="IZD15" s="10"/>
      <c r="IZE15" s="11"/>
      <c r="IZF15" s="12"/>
      <c r="IZG15" s="12"/>
      <c r="IZH15" s="12"/>
      <c r="IZI15" s="13"/>
      <c r="IZJ15" s="9"/>
      <c r="IZK15" s="9"/>
      <c r="IZL15" s="9"/>
      <c r="IZM15" s="9"/>
      <c r="IZN15" s="10"/>
      <c r="IZO15" s="11"/>
      <c r="IZP15" s="12"/>
      <c r="IZQ15" s="12"/>
      <c r="IZR15" s="12"/>
      <c r="IZS15" s="13"/>
      <c r="IZT15" s="9"/>
      <c r="IZU15" s="9"/>
      <c r="IZV15" s="9"/>
      <c r="IZW15" s="9"/>
      <c r="IZX15" s="10"/>
      <c r="IZY15" s="11"/>
      <c r="IZZ15" s="12"/>
      <c r="JAA15" s="12"/>
      <c r="JAB15" s="12"/>
      <c r="JAC15" s="13"/>
      <c r="JAD15" s="9"/>
      <c r="JAE15" s="9"/>
      <c r="JAF15" s="9"/>
      <c r="JAG15" s="9"/>
      <c r="JAH15" s="10"/>
      <c r="JAI15" s="11"/>
      <c r="JAJ15" s="12"/>
      <c r="JAK15" s="12"/>
      <c r="JAL15" s="12"/>
      <c r="JAM15" s="13"/>
      <c r="JAN15" s="9"/>
      <c r="JAO15" s="9"/>
      <c r="JAP15" s="9"/>
      <c r="JAQ15" s="9"/>
      <c r="JAR15" s="10"/>
      <c r="JAS15" s="11"/>
      <c r="JAT15" s="12"/>
      <c r="JAU15" s="12"/>
      <c r="JAV15" s="12"/>
      <c r="JAW15" s="13"/>
      <c r="JAX15" s="9"/>
      <c r="JAY15" s="9"/>
      <c r="JAZ15" s="9"/>
      <c r="JBA15" s="9"/>
      <c r="JBB15" s="10"/>
      <c r="JBC15" s="11"/>
      <c r="JBD15" s="12"/>
      <c r="JBE15" s="12"/>
      <c r="JBF15" s="12"/>
      <c r="JBG15" s="13"/>
      <c r="JBH15" s="9"/>
      <c r="JBI15" s="9"/>
      <c r="JBJ15" s="9"/>
      <c r="JBK15" s="9"/>
      <c r="JBL15" s="10"/>
      <c r="JBM15" s="11"/>
      <c r="JBN15" s="12"/>
      <c r="JBO15" s="12"/>
      <c r="JBP15" s="12"/>
      <c r="JBQ15" s="13"/>
      <c r="JBR15" s="9"/>
      <c r="JBS15" s="9"/>
      <c r="JBT15" s="9"/>
      <c r="JBU15" s="9"/>
      <c r="JBV15" s="10"/>
      <c r="JBW15" s="11"/>
      <c r="JBX15" s="12"/>
      <c r="JBY15" s="12"/>
      <c r="JBZ15" s="12"/>
      <c r="JCA15" s="13"/>
      <c r="JCB15" s="9"/>
      <c r="JCC15" s="9"/>
      <c r="JCD15" s="9"/>
      <c r="JCE15" s="9"/>
      <c r="JCF15" s="10"/>
      <c r="JCG15" s="11"/>
      <c r="JCH15" s="12"/>
      <c r="JCI15" s="12"/>
      <c r="JCJ15" s="12"/>
      <c r="JCK15" s="13"/>
      <c r="JCL15" s="9"/>
      <c r="JCM15" s="9"/>
      <c r="JCN15" s="9"/>
      <c r="JCO15" s="9"/>
      <c r="JCP15" s="10"/>
      <c r="JCQ15" s="11"/>
      <c r="JCR15" s="12"/>
      <c r="JCS15" s="12"/>
      <c r="JCT15" s="12"/>
      <c r="JCU15" s="13"/>
      <c r="JCV15" s="9"/>
      <c r="JCW15" s="9"/>
      <c r="JCX15" s="9"/>
      <c r="JCY15" s="9"/>
      <c r="JCZ15" s="10"/>
      <c r="JDA15" s="11"/>
      <c r="JDB15" s="12"/>
      <c r="JDC15" s="12"/>
      <c r="JDD15" s="12"/>
      <c r="JDE15" s="13"/>
      <c r="JDF15" s="9"/>
      <c r="JDG15" s="9"/>
      <c r="JDH15" s="9"/>
      <c r="JDI15" s="9"/>
      <c r="JDJ15" s="10"/>
      <c r="JDK15" s="11"/>
      <c r="JDL15" s="12"/>
      <c r="JDM15" s="12"/>
      <c r="JDN15" s="12"/>
      <c r="JDO15" s="13"/>
      <c r="JDP15" s="9"/>
      <c r="JDQ15" s="9"/>
      <c r="JDR15" s="9"/>
      <c r="JDS15" s="9"/>
      <c r="JDT15" s="10"/>
      <c r="JDU15" s="11"/>
      <c r="JDV15" s="12"/>
      <c r="JDW15" s="12"/>
      <c r="JDX15" s="12"/>
      <c r="JDY15" s="13"/>
      <c r="JDZ15" s="9"/>
      <c r="JEA15" s="9"/>
      <c r="JEB15" s="9"/>
      <c r="JEC15" s="9"/>
      <c r="JED15" s="10"/>
      <c r="JEE15" s="11"/>
      <c r="JEF15" s="12"/>
      <c r="JEG15" s="12"/>
      <c r="JEH15" s="12"/>
      <c r="JEI15" s="13"/>
      <c r="JEJ15" s="9"/>
      <c r="JEK15" s="9"/>
      <c r="JEL15" s="9"/>
      <c r="JEM15" s="9"/>
      <c r="JEN15" s="10"/>
      <c r="JEO15" s="11"/>
      <c r="JEP15" s="12"/>
      <c r="JEQ15" s="12"/>
      <c r="JER15" s="12"/>
      <c r="JES15" s="13"/>
      <c r="JET15" s="9"/>
      <c r="JEU15" s="9"/>
      <c r="JEV15" s="9"/>
      <c r="JEW15" s="9"/>
      <c r="JEX15" s="10"/>
      <c r="JEY15" s="11"/>
      <c r="JEZ15" s="12"/>
      <c r="JFA15" s="12"/>
      <c r="JFB15" s="12"/>
      <c r="JFC15" s="13"/>
      <c r="JFD15" s="9"/>
      <c r="JFE15" s="9"/>
      <c r="JFF15" s="9"/>
      <c r="JFG15" s="9"/>
      <c r="JFH15" s="10"/>
      <c r="JFI15" s="11"/>
      <c r="JFJ15" s="12"/>
      <c r="JFK15" s="12"/>
      <c r="JFL15" s="12"/>
      <c r="JFM15" s="13"/>
      <c r="JFN15" s="9"/>
      <c r="JFO15" s="9"/>
      <c r="JFP15" s="9"/>
      <c r="JFQ15" s="9"/>
      <c r="JFR15" s="10"/>
      <c r="JFS15" s="11"/>
      <c r="JFT15" s="12"/>
      <c r="JFU15" s="12"/>
      <c r="JFV15" s="12"/>
      <c r="JFW15" s="13"/>
      <c r="JFX15" s="9"/>
      <c r="JFY15" s="9"/>
      <c r="JFZ15" s="9"/>
      <c r="JGA15" s="9"/>
      <c r="JGB15" s="10"/>
      <c r="JGC15" s="11"/>
      <c r="JGD15" s="12"/>
      <c r="JGE15" s="12"/>
      <c r="JGF15" s="12"/>
      <c r="JGG15" s="13"/>
      <c r="JGH15" s="9"/>
      <c r="JGI15" s="9"/>
      <c r="JGJ15" s="9"/>
      <c r="JGK15" s="9"/>
      <c r="JGL15" s="10"/>
      <c r="JGM15" s="11"/>
      <c r="JGN15" s="12"/>
      <c r="JGO15" s="12"/>
      <c r="JGP15" s="12"/>
      <c r="JGQ15" s="13"/>
      <c r="JGR15" s="9"/>
      <c r="JGS15" s="9"/>
      <c r="JGT15" s="9"/>
      <c r="JGU15" s="9"/>
      <c r="JGV15" s="10"/>
      <c r="JGW15" s="11"/>
      <c r="JGX15" s="12"/>
      <c r="JGY15" s="12"/>
      <c r="JGZ15" s="12"/>
      <c r="JHA15" s="13"/>
      <c r="JHB15" s="9"/>
      <c r="JHC15" s="9"/>
      <c r="JHD15" s="9"/>
      <c r="JHE15" s="9"/>
      <c r="JHF15" s="10"/>
      <c r="JHG15" s="11"/>
      <c r="JHH15" s="12"/>
      <c r="JHI15" s="12"/>
      <c r="JHJ15" s="12"/>
      <c r="JHK15" s="13"/>
      <c r="JHL15" s="9"/>
      <c r="JHM15" s="9"/>
      <c r="JHN15" s="9"/>
      <c r="JHO15" s="9"/>
      <c r="JHP15" s="10"/>
      <c r="JHQ15" s="11"/>
      <c r="JHR15" s="12"/>
      <c r="JHS15" s="12"/>
      <c r="JHT15" s="12"/>
      <c r="JHU15" s="13"/>
      <c r="JHV15" s="9"/>
      <c r="JHW15" s="9"/>
      <c r="JHX15" s="9"/>
      <c r="JHY15" s="9"/>
      <c r="JHZ15" s="10"/>
      <c r="JIA15" s="11"/>
      <c r="JIB15" s="12"/>
      <c r="JIC15" s="12"/>
      <c r="JID15" s="12"/>
      <c r="JIE15" s="13"/>
      <c r="JIF15" s="9"/>
      <c r="JIG15" s="9"/>
      <c r="JIH15" s="9"/>
      <c r="JII15" s="9"/>
      <c r="JIJ15" s="10"/>
      <c r="JIK15" s="11"/>
      <c r="JIL15" s="12"/>
      <c r="JIM15" s="12"/>
      <c r="JIN15" s="12"/>
      <c r="JIO15" s="13"/>
      <c r="JIP15" s="9"/>
      <c r="JIQ15" s="9"/>
      <c r="JIR15" s="9"/>
      <c r="JIS15" s="9"/>
      <c r="JIT15" s="10"/>
      <c r="JIU15" s="11"/>
      <c r="JIV15" s="12"/>
      <c r="JIW15" s="12"/>
      <c r="JIX15" s="12"/>
      <c r="JIY15" s="13"/>
      <c r="JIZ15" s="9"/>
      <c r="JJA15" s="9"/>
      <c r="JJB15" s="9"/>
      <c r="JJC15" s="9"/>
      <c r="JJD15" s="10"/>
      <c r="JJE15" s="11"/>
      <c r="JJF15" s="12"/>
      <c r="JJG15" s="12"/>
      <c r="JJH15" s="12"/>
      <c r="JJI15" s="13"/>
      <c r="JJJ15" s="9"/>
      <c r="JJK15" s="9"/>
      <c r="JJL15" s="9"/>
      <c r="JJM15" s="9"/>
      <c r="JJN15" s="10"/>
      <c r="JJO15" s="11"/>
      <c r="JJP15" s="12"/>
      <c r="JJQ15" s="12"/>
      <c r="JJR15" s="12"/>
      <c r="JJS15" s="13"/>
      <c r="JJT15" s="9"/>
      <c r="JJU15" s="9"/>
      <c r="JJV15" s="9"/>
      <c r="JJW15" s="9"/>
      <c r="JJX15" s="10"/>
      <c r="JJY15" s="11"/>
      <c r="JJZ15" s="12"/>
      <c r="JKA15" s="12"/>
      <c r="JKB15" s="12"/>
      <c r="JKC15" s="13"/>
      <c r="JKD15" s="9"/>
      <c r="JKE15" s="9"/>
      <c r="JKF15" s="9"/>
      <c r="JKG15" s="9"/>
      <c r="JKH15" s="10"/>
      <c r="JKI15" s="11"/>
      <c r="JKJ15" s="12"/>
      <c r="JKK15" s="12"/>
      <c r="JKL15" s="12"/>
      <c r="JKM15" s="13"/>
      <c r="JKN15" s="9"/>
      <c r="JKO15" s="9"/>
      <c r="JKP15" s="9"/>
      <c r="JKQ15" s="9"/>
      <c r="JKR15" s="10"/>
      <c r="JKS15" s="11"/>
      <c r="JKT15" s="12"/>
      <c r="JKU15" s="12"/>
      <c r="JKV15" s="12"/>
      <c r="JKW15" s="13"/>
      <c r="JKX15" s="9"/>
      <c r="JKY15" s="9"/>
      <c r="JKZ15" s="9"/>
      <c r="JLA15" s="9"/>
      <c r="JLB15" s="10"/>
      <c r="JLC15" s="11"/>
      <c r="JLD15" s="12"/>
      <c r="JLE15" s="12"/>
      <c r="JLF15" s="12"/>
      <c r="JLG15" s="13"/>
      <c r="JLH15" s="9"/>
      <c r="JLI15" s="9"/>
      <c r="JLJ15" s="9"/>
      <c r="JLK15" s="9"/>
      <c r="JLL15" s="10"/>
      <c r="JLM15" s="11"/>
      <c r="JLN15" s="12"/>
      <c r="JLO15" s="12"/>
      <c r="JLP15" s="12"/>
      <c r="JLQ15" s="13"/>
      <c r="JLR15" s="9"/>
      <c r="JLS15" s="9"/>
      <c r="JLT15" s="9"/>
      <c r="JLU15" s="9"/>
      <c r="JLV15" s="10"/>
      <c r="JLW15" s="11"/>
      <c r="JLX15" s="12"/>
      <c r="JLY15" s="12"/>
      <c r="JLZ15" s="12"/>
      <c r="JMA15" s="13"/>
      <c r="JMB15" s="9"/>
      <c r="JMC15" s="9"/>
      <c r="JMD15" s="9"/>
      <c r="JME15" s="9"/>
      <c r="JMF15" s="10"/>
      <c r="JMG15" s="11"/>
      <c r="JMH15" s="12"/>
      <c r="JMI15" s="12"/>
      <c r="JMJ15" s="12"/>
      <c r="JMK15" s="13"/>
      <c r="JML15" s="9"/>
      <c r="JMM15" s="9"/>
      <c r="JMN15" s="9"/>
      <c r="JMO15" s="9"/>
      <c r="JMP15" s="10"/>
      <c r="JMQ15" s="11"/>
      <c r="JMR15" s="12"/>
      <c r="JMS15" s="12"/>
      <c r="JMT15" s="12"/>
      <c r="JMU15" s="13"/>
      <c r="JMV15" s="9"/>
      <c r="JMW15" s="9"/>
      <c r="JMX15" s="9"/>
      <c r="JMY15" s="9"/>
      <c r="JMZ15" s="10"/>
      <c r="JNA15" s="11"/>
      <c r="JNB15" s="12"/>
      <c r="JNC15" s="12"/>
      <c r="JND15" s="12"/>
      <c r="JNE15" s="13"/>
      <c r="JNF15" s="9"/>
      <c r="JNG15" s="9"/>
      <c r="JNH15" s="9"/>
      <c r="JNI15" s="9"/>
      <c r="JNJ15" s="10"/>
      <c r="JNK15" s="11"/>
      <c r="JNL15" s="12"/>
      <c r="JNM15" s="12"/>
      <c r="JNN15" s="12"/>
      <c r="JNO15" s="13"/>
      <c r="JNP15" s="9"/>
      <c r="JNQ15" s="9"/>
      <c r="JNR15" s="9"/>
      <c r="JNS15" s="9"/>
      <c r="JNT15" s="10"/>
      <c r="JNU15" s="11"/>
      <c r="JNV15" s="12"/>
      <c r="JNW15" s="12"/>
      <c r="JNX15" s="12"/>
      <c r="JNY15" s="13"/>
      <c r="JNZ15" s="9"/>
      <c r="JOA15" s="9"/>
      <c r="JOB15" s="9"/>
      <c r="JOC15" s="9"/>
      <c r="JOD15" s="10"/>
      <c r="JOE15" s="11"/>
      <c r="JOF15" s="12"/>
      <c r="JOG15" s="12"/>
      <c r="JOH15" s="12"/>
      <c r="JOI15" s="13"/>
      <c r="JOJ15" s="9"/>
      <c r="JOK15" s="9"/>
      <c r="JOL15" s="9"/>
      <c r="JOM15" s="9"/>
      <c r="JON15" s="10"/>
      <c r="JOO15" s="11"/>
      <c r="JOP15" s="12"/>
      <c r="JOQ15" s="12"/>
      <c r="JOR15" s="12"/>
      <c r="JOS15" s="13"/>
      <c r="JOT15" s="9"/>
      <c r="JOU15" s="9"/>
      <c r="JOV15" s="9"/>
      <c r="JOW15" s="9"/>
      <c r="JOX15" s="10"/>
      <c r="JOY15" s="11"/>
      <c r="JOZ15" s="12"/>
      <c r="JPA15" s="12"/>
      <c r="JPB15" s="12"/>
      <c r="JPC15" s="13"/>
      <c r="JPD15" s="9"/>
      <c r="JPE15" s="9"/>
      <c r="JPF15" s="9"/>
      <c r="JPG15" s="9"/>
      <c r="JPH15" s="10"/>
      <c r="JPI15" s="11"/>
      <c r="JPJ15" s="12"/>
      <c r="JPK15" s="12"/>
      <c r="JPL15" s="12"/>
      <c r="JPM15" s="13"/>
      <c r="JPN15" s="9"/>
      <c r="JPO15" s="9"/>
      <c r="JPP15" s="9"/>
      <c r="JPQ15" s="9"/>
      <c r="JPR15" s="10"/>
      <c r="JPS15" s="11"/>
      <c r="JPT15" s="12"/>
      <c r="JPU15" s="12"/>
      <c r="JPV15" s="12"/>
      <c r="JPW15" s="13"/>
      <c r="JPX15" s="9"/>
      <c r="JPY15" s="9"/>
      <c r="JPZ15" s="9"/>
      <c r="JQA15" s="9"/>
      <c r="JQB15" s="10"/>
      <c r="JQC15" s="11"/>
      <c r="JQD15" s="12"/>
      <c r="JQE15" s="12"/>
      <c r="JQF15" s="12"/>
      <c r="JQG15" s="13"/>
      <c r="JQH15" s="9"/>
      <c r="JQI15" s="9"/>
      <c r="JQJ15" s="9"/>
      <c r="JQK15" s="9"/>
      <c r="JQL15" s="10"/>
      <c r="JQM15" s="11"/>
      <c r="JQN15" s="12"/>
      <c r="JQO15" s="12"/>
      <c r="JQP15" s="12"/>
      <c r="JQQ15" s="13"/>
      <c r="JQR15" s="9"/>
      <c r="JQS15" s="9"/>
      <c r="JQT15" s="9"/>
      <c r="JQU15" s="9"/>
      <c r="JQV15" s="10"/>
      <c r="JQW15" s="11"/>
      <c r="JQX15" s="12"/>
      <c r="JQY15" s="12"/>
      <c r="JQZ15" s="12"/>
      <c r="JRA15" s="13"/>
      <c r="JRB15" s="9"/>
      <c r="JRC15" s="9"/>
      <c r="JRD15" s="9"/>
      <c r="JRE15" s="9"/>
      <c r="JRF15" s="10"/>
      <c r="JRG15" s="11"/>
      <c r="JRH15" s="12"/>
      <c r="JRI15" s="12"/>
      <c r="JRJ15" s="12"/>
      <c r="JRK15" s="13"/>
      <c r="JRL15" s="9"/>
      <c r="JRM15" s="9"/>
      <c r="JRN15" s="9"/>
      <c r="JRO15" s="9"/>
      <c r="JRP15" s="10"/>
      <c r="JRQ15" s="11"/>
      <c r="JRR15" s="12"/>
      <c r="JRS15" s="12"/>
      <c r="JRT15" s="12"/>
      <c r="JRU15" s="13"/>
      <c r="JRV15" s="9"/>
      <c r="JRW15" s="9"/>
      <c r="JRX15" s="9"/>
      <c r="JRY15" s="9"/>
      <c r="JRZ15" s="10"/>
      <c r="JSA15" s="11"/>
      <c r="JSB15" s="12"/>
      <c r="JSC15" s="12"/>
      <c r="JSD15" s="12"/>
      <c r="JSE15" s="13"/>
      <c r="JSF15" s="9"/>
      <c r="JSG15" s="9"/>
      <c r="JSH15" s="9"/>
      <c r="JSI15" s="9"/>
      <c r="JSJ15" s="10"/>
      <c r="JSK15" s="11"/>
      <c r="JSL15" s="12"/>
      <c r="JSM15" s="12"/>
      <c r="JSN15" s="12"/>
      <c r="JSO15" s="13"/>
      <c r="JSP15" s="9"/>
      <c r="JSQ15" s="9"/>
      <c r="JSR15" s="9"/>
      <c r="JSS15" s="9"/>
      <c r="JST15" s="10"/>
      <c r="JSU15" s="11"/>
      <c r="JSV15" s="12"/>
      <c r="JSW15" s="12"/>
      <c r="JSX15" s="12"/>
      <c r="JSY15" s="13"/>
      <c r="JSZ15" s="9"/>
      <c r="JTA15" s="9"/>
      <c r="JTB15" s="9"/>
      <c r="JTC15" s="9"/>
      <c r="JTD15" s="10"/>
      <c r="JTE15" s="11"/>
      <c r="JTF15" s="12"/>
      <c r="JTG15" s="12"/>
      <c r="JTH15" s="12"/>
      <c r="JTI15" s="13"/>
      <c r="JTJ15" s="9"/>
      <c r="JTK15" s="9"/>
      <c r="JTL15" s="9"/>
      <c r="JTM15" s="9"/>
      <c r="JTN15" s="10"/>
      <c r="JTO15" s="11"/>
      <c r="JTP15" s="12"/>
      <c r="JTQ15" s="12"/>
      <c r="JTR15" s="12"/>
      <c r="JTS15" s="13"/>
      <c r="JTT15" s="9"/>
      <c r="JTU15" s="9"/>
      <c r="JTV15" s="9"/>
      <c r="JTW15" s="9"/>
      <c r="JTX15" s="10"/>
      <c r="JTY15" s="11"/>
      <c r="JTZ15" s="12"/>
      <c r="JUA15" s="12"/>
      <c r="JUB15" s="12"/>
      <c r="JUC15" s="13"/>
      <c r="JUD15" s="9"/>
      <c r="JUE15" s="9"/>
      <c r="JUF15" s="9"/>
      <c r="JUG15" s="9"/>
      <c r="JUH15" s="10"/>
      <c r="JUI15" s="11"/>
      <c r="JUJ15" s="12"/>
      <c r="JUK15" s="12"/>
      <c r="JUL15" s="12"/>
      <c r="JUM15" s="13"/>
      <c r="JUN15" s="9"/>
      <c r="JUO15" s="9"/>
      <c r="JUP15" s="9"/>
      <c r="JUQ15" s="9"/>
      <c r="JUR15" s="10"/>
      <c r="JUS15" s="11"/>
      <c r="JUT15" s="12"/>
      <c r="JUU15" s="12"/>
      <c r="JUV15" s="12"/>
      <c r="JUW15" s="13"/>
      <c r="JUX15" s="9"/>
      <c r="JUY15" s="9"/>
      <c r="JUZ15" s="9"/>
      <c r="JVA15" s="9"/>
      <c r="JVB15" s="10"/>
      <c r="JVC15" s="11"/>
      <c r="JVD15" s="12"/>
      <c r="JVE15" s="12"/>
      <c r="JVF15" s="12"/>
      <c r="JVG15" s="13"/>
      <c r="JVH15" s="9"/>
      <c r="JVI15" s="9"/>
      <c r="JVJ15" s="9"/>
      <c r="JVK15" s="9"/>
      <c r="JVL15" s="10"/>
      <c r="JVM15" s="11"/>
      <c r="JVN15" s="12"/>
      <c r="JVO15" s="12"/>
      <c r="JVP15" s="12"/>
      <c r="JVQ15" s="13"/>
      <c r="JVR15" s="9"/>
      <c r="JVS15" s="9"/>
      <c r="JVT15" s="9"/>
      <c r="JVU15" s="9"/>
      <c r="JVV15" s="10"/>
      <c r="JVW15" s="11"/>
      <c r="JVX15" s="12"/>
      <c r="JVY15" s="12"/>
      <c r="JVZ15" s="12"/>
      <c r="JWA15" s="13"/>
      <c r="JWB15" s="9"/>
      <c r="JWC15" s="9"/>
      <c r="JWD15" s="9"/>
      <c r="JWE15" s="9"/>
      <c r="JWF15" s="10"/>
      <c r="JWG15" s="11"/>
      <c r="JWH15" s="12"/>
      <c r="JWI15" s="12"/>
      <c r="JWJ15" s="12"/>
      <c r="JWK15" s="13"/>
      <c r="JWL15" s="9"/>
      <c r="JWM15" s="9"/>
      <c r="JWN15" s="9"/>
      <c r="JWO15" s="9"/>
      <c r="JWP15" s="10"/>
      <c r="JWQ15" s="11"/>
      <c r="JWR15" s="12"/>
      <c r="JWS15" s="12"/>
      <c r="JWT15" s="12"/>
      <c r="JWU15" s="13"/>
      <c r="JWV15" s="9"/>
      <c r="JWW15" s="9"/>
      <c r="JWX15" s="9"/>
      <c r="JWY15" s="9"/>
      <c r="JWZ15" s="10"/>
      <c r="JXA15" s="11"/>
      <c r="JXB15" s="12"/>
      <c r="JXC15" s="12"/>
      <c r="JXD15" s="12"/>
      <c r="JXE15" s="13"/>
      <c r="JXF15" s="9"/>
      <c r="JXG15" s="9"/>
      <c r="JXH15" s="9"/>
      <c r="JXI15" s="9"/>
      <c r="JXJ15" s="10"/>
      <c r="JXK15" s="11"/>
      <c r="JXL15" s="12"/>
      <c r="JXM15" s="12"/>
      <c r="JXN15" s="12"/>
      <c r="JXO15" s="13"/>
      <c r="JXP15" s="9"/>
      <c r="JXQ15" s="9"/>
      <c r="JXR15" s="9"/>
      <c r="JXS15" s="9"/>
      <c r="JXT15" s="10"/>
      <c r="JXU15" s="11"/>
      <c r="JXV15" s="12"/>
      <c r="JXW15" s="12"/>
      <c r="JXX15" s="12"/>
      <c r="JXY15" s="13"/>
      <c r="JXZ15" s="9"/>
      <c r="JYA15" s="9"/>
      <c r="JYB15" s="9"/>
      <c r="JYC15" s="9"/>
      <c r="JYD15" s="10"/>
      <c r="JYE15" s="11"/>
      <c r="JYF15" s="12"/>
      <c r="JYG15" s="12"/>
      <c r="JYH15" s="12"/>
      <c r="JYI15" s="13"/>
      <c r="JYJ15" s="9"/>
      <c r="JYK15" s="9"/>
      <c r="JYL15" s="9"/>
      <c r="JYM15" s="9"/>
      <c r="JYN15" s="10"/>
      <c r="JYO15" s="11"/>
      <c r="JYP15" s="12"/>
      <c r="JYQ15" s="12"/>
      <c r="JYR15" s="12"/>
      <c r="JYS15" s="13"/>
      <c r="JYT15" s="9"/>
      <c r="JYU15" s="9"/>
      <c r="JYV15" s="9"/>
      <c r="JYW15" s="9"/>
      <c r="JYX15" s="10"/>
      <c r="JYY15" s="11"/>
      <c r="JYZ15" s="12"/>
      <c r="JZA15" s="12"/>
      <c r="JZB15" s="12"/>
      <c r="JZC15" s="13"/>
      <c r="JZD15" s="9"/>
      <c r="JZE15" s="9"/>
      <c r="JZF15" s="9"/>
      <c r="JZG15" s="9"/>
      <c r="JZH15" s="10"/>
      <c r="JZI15" s="11"/>
      <c r="JZJ15" s="12"/>
      <c r="JZK15" s="12"/>
      <c r="JZL15" s="12"/>
      <c r="JZM15" s="13"/>
      <c r="JZN15" s="9"/>
      <c r="JZO15" s="9"/>
      <c r="JZP15" s="9"/>
      <c r="JZQ15" s="9"/>
      <c r="JZR15" s="10"/>
      <c r="JZS15" s="11"/>
      <c r="JZT15" s="12"/>
      <c r="JZU15" s="12"/>
      <c r="JZV15" s="12"/>
      <c r="JZW15" s="13"/>
      <c r="JZX15" s="9"/>
      <c r="JZY15" s="9"/>
      <c r="JZZ15" s="9"/>
      <c r="KAA15" s="9"/>
      <c r="KAB15" s="10"/>
      <c r="KAC15" s="11"/>
      <c r="KAD15" s="12"/>
      <c r="KAE15" s="12"/>
      <c r="KAF15" s="12"/>
      <c r="KAG15" s="13"/>
      <c r="KAH15" s="9"/>
      <c r="KAI15" s="9"/>
      <c r="KAJ15" s="9"/>
      <c r="KAK15" s="9"/>
      <c r="KAL15" s="10"/>
      <c r="KAM15" s="11"/>
      <c r="KAN15" s="12"/>
      <c r="KAO15" s="12"/>
      <c r="KAP15" s="12"/>
      <c r="KAQ15" s="13"/>
      <c r="KAR15" s="9"/>
      <c r="KAS15" s="9"/>
      <c r="KAT15" s="9"/>
      <c r="KAU15" s="9"/>
      <c r="KAV15" s="10"/>
      <c r="KAW15" s="11"/>
      <c r="KAX15" s="12"/>
      <c r="KAY15" s="12"/>
      <c r="KAZ15" s="12"/>
      <c r="KBA15" s="13"/>
      <c r="KBB15" s="9"/>
      <c r="KBC15" s="9"/>
      <c r="KBD15" s="9"/>
      <c r="KBE15" s="9"/>
      <c r="KBF15" s="10"/>
      <c r="KBG15" s="11"/>
      <c r="KBH15" s="12"/>
      <c r="KBI15" s="12"/>
      <c r="KBJ15" s="12"/>
      <c r="KBK15" s="13"/>
      <c r="KBL15" s="9"/>
      <c r="KBM15" s="9"/>
      <c r="KBN15" s="9"/>
      <c r="KBO15" s="9"/>
      <c r="KBP15" s="10"/>
      <c r="KBQ15" s="11"/>
      <c r="KBR15" s="12"/>
      <c r="KBS15" s="12"/>
      <c r="KBT15" s="12"/>
      <c r="KBU15" s="13"/>
      <c r="KBV15" s="9"/>
      <c r="KBW15" s="9"/>
      <c r="KBX15" s="9"/>
      <c r="KBY15" s="9"/>
      <c r="KBZ15" s="10"/>
      <c r="KCA15" s="11"/>
      <c r="KCB15" s="12"/>
      <c r="KCC15" s="12"/>
      <c r="KCD15" s="12"/>
      <c r="KCE15" s="13"/>
      <c r="KCF15" s="9"/>
      <c r="KCG15" s="9"/>
      <c r="KCH15" s="9"/>
      <c r="KCI15" s="9"/>
      <c r="KCJ15" s="10"/>
      <c r="KCK15" s="11"/>
      <c r="KCL15" s="12"/>
      <c r="KCM15" s="12"/>
      <c r="KCN15" s="12"/>
      <c r="KCO15" s="13"/>
      <c r="KCP15" s="9"/>
      <c r="KCQ15" s="9"/>
      <c r="KCR15" s="9"/>
      <c r="KCS15" s="9"/>
      <c r="KCT15" s="10"/>
      <c r="KCU15" s="11"/>
      <c r="KCV15" s="12"/>
      <c r="KCW15" s="12"/>
      <c r="KCX15" s="12"/>
      <c r="KCY15" s="13"/>
      <c r="KCZ15" s="9"/>
      <c r="KDA15" s="9"/>
      <c r="KDB15" s="9"/>
      <c r="KDC15" s="9"/>
      <c r="KDD15" s="10"/>
      <c r="KDE15" s="11"/>
      <c r="KDF15" s="12"/>
      <c r="KDG15" s="12"/>
      <c r="KDH15" s="12"/>
      <c r="KDI15" s="13"/>
      <c r="KDJ15" s="9"/>
      <c r="KDK15" s="9"/>
      <c r="KDL15" s="9"/>
      <c r="KDM15" s="9"/>
      <c r="KDN15" s="10"/>
      <c r="KDO15" s="11"/>
      <c r="KDP15" s="12"/>
      <c r="KDQ15" s="12"/>
      <c r="KDR15" s="12"/>
      <c r="KDS15" s="13"/>
      <c r="KDT15" s="9"/>
      <c r="KDU15" s="9"/>
      <c r="KDV15" s="9"/>
      <c r="KDW15" s="9"/>
      <c r="KDX15" s="10"/>
      <c r="KDY15" s="11"/>
      <c r="KDZ15" s="12"/>
      <c r="KEA15" s="12"/>
      <c r="KEB15" s="12"/>
      <c r="KEC15" s="13"/>
      <c r="KED15" s="9"/>
      <c r="KEE15" s="9"/>
      <c r="KEF15" s="9"/>
      <c r="KEG15" s="9"/>
      <c r="KEH15" s="10"/>
      <c r="KEI15" s="11"/>
      <c r="KEJ15" s="12"/>
      <c r="KEK15" s="12"/>
      <c r="KEL15" s="12"/>
      <c r="KEM15" s="13"/>
      <c r="KEN15" s="9"/>
      <c r="KEO15" s="9"/>
      <c r="KEP15" s="9"/>
      <c r="KEQ15" s="9"/>
      <c r="KER15" s="10"/>
      <c r="KES15" s="11"/>
      <c r="KET15" s="12"/>
      <c r="KEU15" s="12"/>
      <c r="KEV15" s="12"/>
      <c r="KEW15" s="13"/>
      <c r="KEX15" s="9"/>
      <c r="KEY15" s="9"/>
      <c r="KEZ15" s="9"/>
      <c r="KFA15" s="9"/>
      <c r="KFB15" s="10"/>
      <c r="KFC15" s="11"/>
      <c r="KFD15" s="12"/>
      <c r="KFE15" s="12"/>
      <c r="KFF15" s="12"/>
      <c r="KFG15" s="13"/>
      <c r="KFH15" s="9"/>
      <c r="KFI15" s="9"/>
      <c r="KFJ15" s="9"/>
      <c r="KFK15" s="9"/>
      <c r="KFL15" s="10"/>
      <c r="KFM15" s="11"/>
      <c r="KFN15" s="12"/>
      <c r="KFO15" s="12"/>
      <c r="KFP15" s="12"/>
      <c r="KFQ15" s="13"/>
      <c r="KFR15" s="9"/>
      <c r="KFS15" s="9"/>
      <c r="KFT15" s="9"/>
      <c r="KFU15" s="9"/>
      <c r="KFV15" s="10"/>
      <c r="KFW15" s="11"/>
      <c r="KFX15" s="12"/>
      <c r="KFY15" s="12"/>
      <c r="KFZ15" s="12"/>
      <c r="KGA15" s="13"/>
      <c r="KGB15" s="9"/>
      <c r="KGC15" s="9"/>
      <c r="KGD15" s="9"/>
      <c r="KGE15" s="9"/>
      <c r="KGF15" s="10"/>
      <c r="KGG15" s="11"/>
      <c r="KGH15" s="12"/>
      <c r="KGI15" s="12"/>
      <c r="KGJ15" s="12"/>
      <c r="KGK15" s="13"/>
      <c r="KGL15" s="9"/>
      <c r="KGM15" s="9"/>
      <c r="KGN15" s="9"/>
      <c r="KGO15" s="9"/>
      <c r="KGP15" s="10"/>
      <c r="KGQ15" s="11"/>
      <c r="KGR15" s="12"/>
      <c r="KGS15" s="12"/>
      <c r="KGT15" s="12"/>
      <c r="KGU15" s="13"/>
      <c r="KGV15" s="9"/>
      <c r="KGW15" s="9"/>
      <c r="KGX15" s="9"/>
      <c r="KGY15" s="9"/>
      <c r="KGZ15" s="10"/>
      <c r="KHA15" s="11"/>
      <c r="KHB15" s="12"/>
      <c r="KHC15" s="12"/>
      <c r="KHD15" s="12"/>
      <c r="KHE15" s="13"/>
      <c r="KHF15" s="9"/>
      <c r="KHG15" s="9"/>
      <c r="KHH15" s="9"/>
      <c r="KHI15" s="9"/>
      <c r="KHJ15" s="10"/>
      <c r="KHK15" s="11"/>
      <c r="KHL15" s="12"/>
      <c r="KHM15" s="12"/>
      <c r="KHN15" s="12"/>
      <c r="KHO15" s="13"/>
      <c r="KHP15" s="9"/>
      <c r="KHQ15" s="9"/>
      <c r="KHR15" s="9"/>
      <c r="KHS15" s="9"/>
      <c r="KHT15" s="10"/>
      <c r="KHU15" s="11"/>
      <c r="KHV15" s="12"/>
      <c r="KHW15" s="12"/>
      <c r="KHX15" s="12"/>
      <c r="KHY15" s="13"/>
      <c r="KHZ15" s="9"/>
      <c r="KIA15" s="9"/>
      <c r="KIB15" s="9"/>
      <c r="KIC15" s="9"/>
      <c r="KID15" s="10"/>
      <c r="KIE15" s="11"/>
      <c r="KIF15" s="12"/>
      <c r="KIG15" s="12"/>
      <c r="KIH15" s="12"/>
      <c r="KII15" s="13"/>
      <c r="KIJ15" s="9"/>
      <c r="KIK15" s="9"/>
      <c r="KIL15" s="9"/>
      <c r="KIM15" s="9"/>
      <c r="KIN15" s="10"/>
      <c r="KIO15" s="11"/>
      <c r="KIP15" s="12"/>
      <c r="KIQ15" s="12"/>
      <c r="KIR15" s="12"/>
      <c r="KIS15" s="13"/>
      <c r="KIT15" s="9"/>
      <c r="KIU15" s="9"/>
      <c r="KIV15" s="9"/>
      <c r="KIW15" s="9"/>
      <c r="KIX15" s="10"/>
      <c r="KIY15" s="11"/>
      <c r="KIZ15" s="12"/>
      <c r="KJA15" s="12"/>
      <c r="KJB15" s="12"/>
      <c r="KJC15" s="13"/>
      <c r="KJD15" s="9"/>
      <c r="KJE15" s="9"/>
      <c r="KJF15" s="9"/>
      <c r="KJG15" s="9"/>
      <c r="KJH15" s="10"/>
      <c r="KJI15" s="11"/>
      <c r="KJJ15" s="12"/>
      <c r="KJK15" s="12"/>
      <c r="KJL15" s="12"/>
      <c r="KJM15" s="13"/>
      <c r="KJN15" s="9"/>
      <c r="KJO15" s="9"/>
      <c r="KJP15" s="9"/>
      <c r="KJQ15" s="9"/>
      <c r="KJR15" s="10"/>
      <c r="KJS15" s="11"/>
      <c r="KJT15" s="12"/>
      <c r="KJU15" s="12"/>
      <c r="KJV15" s="12"/>
      <c r="KJW15" s="13"/>
      <c r="KJX15" s="9"/>
      <c r="KJY15" s="9"/>
      <c r="KJZ15" s="9"/>
      <c r="KKA15" s="9"/>
      <c r="KKB15" s="10"/>
      <c r="KKC15" s="11"/>
      <c r="KKD15" s="12"/>
      <c r="KKE15" s="12"/>
      <c r="KKF15" s="12"/>
      <c r="KKG15" s="13"/>
      <c r="KKH15" s="9"/>
      <c r="KKI15" s="9"/>
      <c r="KKJ15" s="9"/>
      <c r="KKK15" s="9"/>
      <c r="KKL15" s="10"/>
      <c r="KKM15" s="11"/>
      <c r="KKN15" s="12"/>
      <c r="KKO15" s="12"/>
      <c r="KKP15" s="12"/>
      <c r="KKQ15" s="13"/>
      <c r="KKR15" s="9"/>
      <c r="KKS15" s="9"/>
      <c r="KKT15" s="9"/>
      <c r="KKU15" s="9"/>
      <c r="KKV15" s="10"/>
      <c r="KKW15" s="11"/>
      <c r="KKX15" s="12"/>
      <c r="KKY15" s="12"/>
      <c r="KKZ15" s="12"/>
      <c r="KLA15" s="13"/>
      <c r="KLB15" s="9"/>
      <c r="KLC15" s="9"/>
      <c r="KLD15" s="9"/>
      <c r="KLE15" s="9"/>
      <c r="KLF15" s="10"/>
      <c r="KLG15" s="11"/>
      <c r="KLH15" s="12"/>
      <c r="KLI15" s="12"/>
      <c r="KLJ15" s="12"/>
      <c r="KLK15" s="13"/>
      <c r="KLL15" s="9"/>
      <c r="KLM15" s="9"/>
      <c r="KLN15" s="9"/>
      <c r="KLO15" s="9"/>
      <c r="KLP15" s="10"/>
      <c r="KLQ15" s="11"/>
      <c r="KLR15" s="12"/>
      <c r="KLS15" s="12"/>
      <c r="KLT15" s="12"/>
      <c r="KLU15" s="13"/>
      <c r="KLV15" s="9"/>
      <c r="KLW15" s="9"/>
      <c r="KLX15" s="9"/>
      <c r="KLY15" s="9"/>
      <c r="KLZ15" s="10"/>
      <c r="KMA15" s="11"/>
      <c r="KMB15" s="12"/>
      <c r="KMC15" s="12"/>
      <c r="KMD15" s="12"/>
      <c r="KME15" s="13"/>
      <c r="KMF15" s="9"/>
      <c r="KMG15" s="9"/>
      <c r="KMH15" s="9"/>
      <c r="KMI15" s="9"/>
      <c r="KMJ15" s="10"/>
      <c r="KMK15" s="11"/>
      <c r="KML15" s="12"/>
      <c r="KMM15" s="12"/>
      <c r="KMN15" s="12"/>
      <c r="KMO15" s="13"/>
      <c r="KMP15" s="9"/>
      <c r="KMQ15" s="9"/>
      <c r="KMR15" s="9"/>
      <c r="KMS15" s="9"/>
      <c r="KMT15" s="10"/>
      <c r="KMU15" s="11"/>
      <c r="KMV15" s="12"/>
      <c r="KMW15" s="12"/>
      <c r="KMX15" s="12"/>
      <c r="KMY15" s="13"/>
      <c r="KMZ15" s="9"/>
      <c r="KNA15" s="9"/>
      <c r="KNB15" s="9"/>
      <c r="KNC15" s="9"/>
      <c r="KND15" s="10"/>
      <c r="KNE15" s="11"/>
      <c r="KNF15" s="12"/>
      <c r="KNG15" s="12"/>
      <c r="KNH15" s="12"/>
      <c r="KNI15" s="13"/>
      <c r="KNJ15" s="9"/>
      <c r="KNK15" s="9"/>
      <c r="KNL15" s="9"/>
      <c r="KNM15" s="9"/>
      <c r="KNN15" s="10"/>
      <c r="KNO15" s="11"/>
      <c r="KNP15" s="12"/>
      <c r="KNQ15" s="12"/>
      <c r="KNR15" s="12"/>
      <c r="KNS15" s="13"/>
      <c r="KNT15" s="9"/>
      <c r="KNU15" s="9"/>
      <c r="KNV15" s="9"/>
      <c r="KNW15" s="9"/>
      <c r="KNX15" s="10"/>
      <c r="KNY15" s="11"/>
      <c r="KNZ15" s="12"/>
      <c r="KOA15" s="12"/>
      <c r="KOB15" s="12"/>
      <c r="KOC15" s="13"/>
      <c r="KOD15" s="9"/>
      <c r="KOE15" s="9"/>
      <c r="KOF15" s="9"/>
      <c r="KOG15" s="9"/>
      <c r="KOH15" s="10"/>
      <c r="KOI15" s="11"/>
      <c r="KOJ15" s="12"/>
      <c r="KOK15" s="12"/>
      <c r="KOL15" s="12"/>
      <c r="KOM15" s="13"/>
      <c r="KON15" s="9"/>
      <c r="KOO15" s="9"/>
      <c r="KOP15" s="9"/>
      <c r="KOQ15" s="9"/>
      <c r="KOR15" s="10"/>
      <c r="KOS15" s="11"/>
      <c r="KOT15" s="12"/>
      <c r="KOU15" s="12"/>
      <c r="KOV15" s="12"/>
      <c r="KOW15" s="13"/>
      <c r="KOX15" s="9"/>
      <c r="KOY15" s="9"/>
      <c r="KOZ15" s="9"/>
      <c r="KPA15" s="9"/>
      <c r="KPB15" s="10"/>
      <c r="KPC15" s="11"/>
      <c r="KPD15" s="12"/>
      <c r="KPE15" s="12"/>
      <c r="KPF15" s="12"/>
      <c r="KPG15" s="13"/>
      <c r="KPH15" s="9"/>
      <c r="KPI15" s="9"/>
      <c r="KPJ15" s="9"/>
      <c r="KPK15" s="9"/>
      <c r="KPL15" s="10"/>
      <c r="KPM15" s="11"/>
      <c r="KPN15" s="12"/>
      <c r="KPO15" s="12"/>
      <c r="KPP15" s="12"/>
      <c r="KPQ15" s="13"/>
      <c r="KPR15" s="9"/>
      <c r="KPS15" s="9"/>
      <c r="KPT15" s="9"/>
      <c r="KPU15" s="9"/>
      <c r="KPV15" s="10"/>
      <c r="KPW15" s="11"/>
      <c r="KPX15" s="12"/>
      <c r="KPY15" s="12"/>
      <c r="KPZ15" s="12"/>
      <c r="KQA15" s="13"/>
      <c r="KQB15" s="9"/>
      <c r="KQC15" s="9"/>
      <c r="KQD15" s="9"/>
      <c r="KQE15" s="9"/>
      <c r="KQF15" s="10"/>
      <c r="KQG15" s="11"/>
      <c r="KQH15" s="12"/>
      <c r="KQI15" s="12"/>
      <c r="KQJ15" s="12"/>
      <c r="KQK15" s="13"/>
      <c r="KQL15" s="9"/>
      <c r="KQM15" s="9"/>
      <c r="KQN15" s="9"/>
      <c r="KQO15" s="9"/>
      <c r="KQP15" s="10"/>
      <c r="KQQ15" s="11"/>
      <c r="KQR15" s="12"/>
      <c r="KQS15" s="12"/>
      <c r="KQT15" s="12"/>
      <c r="KQU15" s="13"/>
      <c r="KQV15" s="9"/>
      <c r="KQW15" s="9"/>
      <c r="KQX15" s="9"/>
      <c r="KQY15" s="9"/>
      <c r="KQZ15" s="10"/>
      <c r="KRA15" s="11"/>
      <c r="KRB15" s="12"/>
      <c r="KRC15" s="12"/>
      <c r="KRD15" s="12"/>
      <c r="KRE15" s="13"/>
      <c r="KRF15" s="9"/>
      <c r="KRG15" s="9"/>
      <c r="KRH15" s="9"/>
      <c r="KRI15" s="9"/>
      <c r="KRJ15" s="10"/>
      <c r="KRK15" s="11"/>
      <c r="KRL15" s="12"/>
      <c r="KRM15" s="12"/>
      <c r="KRN15" s="12"/>
      <c r="KRO15" s="13"/>
      <c r="KRP15" s="9"/>
      <c r="KRQ15" s="9"/>
      <c r="KRR15" s="9"/>
      <c r="KRS15" s="9"/>
      <c r="KRT15" s="10"/>
      <c r="KRU15" s="11"/>
      <c r="KRV15" s="12"/>
      <c r="KRW15" s="12"/>
      <c r="KRX15" s="12"/>
      <c r="KRY15" s="13"/>
      <c r="KRZ15" s="9"/>
      <c r="KSA15" s="9"/>
      <c r="KSB15" s="9"/>
      <c r="KSC15" s="9"/>
      <c r="KSD15" s="10"/>
      <c r="KSE15" s="11"/>
      <c r="KSF15" s="12"/>
      <c r="KSG15" s="12"/>
      <c r="KSH15" s="12"/>
      <c r="KSI15" s="13"/>
      <c r="KSJ15" s="9"/>
      <c r="KSK15" s="9"/>
      <c r="KSL15" s="9"/>
      <c r="KSM15" s="9"/>
      <c r="KSN15" s="10"/>
      <c r="KSO15" s="11"/>
      <c r="KSP15" s="12"/>
      <c r="KSQ15" s="12"/>
      <c r="KSR15" s="12"/>
      <c r="KSS15" s="13"/>
      <c r="KST15" s="9"/>
      <c r="KSU15" s="9"/>
      <c r="KSV15" s="9"/>
      <c r="KSW15" s="9"/>
      <c r="KSX15" s="10"/>
      <c r="KSY15" s="11"/>
      <c r="KSZ15" s="12"/>
      <c r="KTA15" s="12"/>
      <c r="KTB15" s="12"/>
      <c r="KTC15" s="13"/>
      <c r="KTD15" s="9"/>
      <c r="KTE15" s="9"/>
      <c r="KTF15" s="9"/>
      <c r="KTG15" s="9"/>
      <c r="KTH15" s="10"/>
      <c r="KTI15" s="11"/>
      <c r="KTJ15" s="12"/>
      <c r="KTK15" s="12"/>
      <c r="KTL15" s="12"/>
      <c r="KTM15" s="13"/>
      <c r="KTN15" s="9"/>
      <c r="KTO15" s="9"/>
      <c r="KTP15" s="9"/>
      <c r="KTQ15" s="9"/>
      <c r="KTR15" s="10"/>
      <c r="KTS15" s="11"/>
      <c r="KTT15" s="12"/>
      <c r="KTU15" s="12"/>
      <c r="KTV15" s="12"/>
      <c r="KTW15" s="13"/>
      <c r="KTX15" s="9"/>
      <c r="KTY15" s="9"/>
      <c r="KTZ15" s="9"/>
      <c r="KUA15" s="9"/>
      <c r="KUB15" s="10"/>
      <c r="KUC15" s="11"/>
      <c r="KUD15" s="12"/>
      <c r="KUE15" s="12"/>
      <c r="KUF15" s="12"/>
      <c r="KUG15" s="13"/>
      <c r="KUH15" s="9"/>
      <c r="KUI15" s="9"/>
      <c r="KUJ15" s="9"/>
      <c r="KUK15" s="9"/>
      <c r="KUL15" s="10"/>
      <c r="KUM15" s="11"/>
      <c r="KUN15" s="12"/>
      <c r="KUO15" s="12"/>
      <c r="KUP15" s="12"/>
      <c r="KUQ15" s="13"/>
      <c r="KUR15" s="9"/>
      <c r="KUS15" s="9"/>
      <c r="KUT15" s="9"/>
      <c r="KUU15" s="9"/>
      <c r="KUV15" s="10"/>
      <c r="KUW15" s="11"/>
      <c r="KUX15" s="12"/>
      <c r="KUY15" s="12"/>
      <c r="KUZ15" s="12"/>
      <c r="KVA15" s="13"/>
      <c r="KVB15" s="9"/>
      <c r="KVC15" s="9"/>
      <c r="KVD15" s="9"/>
      <c r="KVE15" s="9"/>
      <c r="KVF15" s="10"/>
      <c r="KVG15" s="11"/>
      <c r="KVH15" s="12"/>
      <c r="KVI15" s="12"/>
      <c r="KVJ15" s="12"/>
      <c r="KVK15" s="13"/>
      <c r="KVL15" s="9"/>
      <c r="KVM15" s="9"/>
      <c r="KVN15" s="9"/>
      <c r="KVO15" s="9"/>
      <c r="KVP15" s="10"/>
      <c r="KVQ15" s="11"/>
      <c r="KVR15" s="12"/>
      <c r="KVS15" s="12"/>
      <c r="KVT15" s="12"/>
      <c r="KVU15" s="13"/>
      <c r="KVV15" s="9"/>
      <c r="KVW15" s="9"/>
      <c r="KVX15" s="9"/>
      <c r="KVY15" s="9"/>
      <c r="KVZ15" s="10"/>
      <c r="KWA15" s="11"/>
      <c r="KWB15" s="12"/>
      <c r="KWC15" s="12"/>
      <c r="KWD15" s="12"/>
      <c r="KWE15" s="13"/>
      <c r="KWF15" s="9"/>
      <c r="KWG15" s="9"/>
      <c r="KWH15" s="9"/>
      <c r="KWI15" s="9"/>
      <c r="KWJ15" s="10"/>
      <c r="KWK15" s="11"/>
      <c r="KWL15" s="12"/>
      <c r="KWM15" s="12"/>
      <c r="KWN15" s="12"/>
      <c r="KWO15" s="13"/>
      <c r="KWP15" s="9"/>
      <c r="KWQ15" s="9"/>
      <c r="KWR15" s="9"/>
      <c r="KWS15" s="9"/>
      <c r="KWT15" s="10"/>
      <c r="KWU15" s="11"/>
      <c r="KWV15" s="12"/>
      <c r="KWW15" s="12"/>
      <c r="KWX15" s="12"/>
      <c r="KWY15" s="13"/>
      <c r="KWZ15" s="9"/>
      <c r="KXA15" s="9"/>
      <c r="KXB15" s="9"/>
      <c r="KXC15" s="9"/>
      <c r="KXD15" s="10"/>
      <c r="KXE15" s="11"/>
      <c r="KXF15" s="12"/>
      <c r="KXG15" s="12"/>
      <c r="KXH15" s="12"/>
      <c r="KXI15" s="13"/>
      <c r="KXJ15" s="9"/>
      <c r="KXK15" s="9"/>
      <c r="KXL15" s="9"/>
      <c r="KXM15" s="9"/>
      <c r="KXN15" s="10"/>
      <c r="KXO15" s="11"/>
      <c r="KXP15" s="12"/>
      <c r="KXQ15" s="12"/>
      <c r="KXR15" s="12"/>
      <c r="KXS15" s="13"/>
      <c r="KXT15" s="9"/>
      <c r="KXU15" s="9"/>
      <c r="KXV15" s="9"/>
      <c r="KXW15" s="9"/>
      <c r="KXX15" s="10"/>
      <c r="KXY15" s="11"/>
      <c r="KXZ15" s="12"/>
      <c r="KYA15" s="12"/>
      <c r="KYB15" s="12"/>
      <c r="KYC15" s="13"/>
      <c r="KYD15" s="9"/>
      <c r="KYE15" s="9"/>
      <c r="KYF15" s="9"/>
      <c r="KYG15" s="9"/>
      <c r="KYH15" s="10"/>
      <c r="KYI15" s="11"/>
      <c r="KYJ15" s="12"/>
      <c r="KYK15" s="12"/>
      <c r="KYL15" s="12"/>
      <c r="KYM15" s="13"/>
      <c r="KYN15" s="9"/>
      <c r="KYO15" s="9"/>
      <c r="KYP15" s="9"/>
      <c r="KYQ15" s="9"/>
      <c r="KYR15" s="10"/>
      <c r="KYS15" s="11"/>
      <c r="KYT15" s="12"/>
      <c r="KYU15" s="12"/>
      <c r="KYV15" s="12"/>
      <c r="KYW15" s="13"/>
      <c r="KYX15" s="9"/>
      <c r="KYY15" s="9"/>
      <c r="KYZ15" s="9"/>
      <c r="KZA15" s="9"/>
      <c r="KZB15" s="10"/>
      <c r="KZC15" s="11"/>
      <c r="KZD15" s="12"/>
      <c r="KZE15" s="12"/>
      <c r="KZF15" s="12"/>
      <c r="KZG15" s="13"/>
      <c r="KZH15" s="9"/>
      <c r="KZI15" s="9"/>
      <c r="KZJ15" s="9"/>
      <c r="KZK15" s="9"/>
      <c r="KZL15" s="10"/>
      <c r="KZM15" s="11"/>
      <c r="KZN15" s="12"/>
      <c r="KZO15" s="12"/>
      <c r="KZP15" s="12"/>
      <c r="KZQ15" s="13"/>
      <c r="KZR15" s="9"/>
      <c r="KZS15" s="9"/>
      <c r="KZT15" s="9"/>
      <c r="KZU15" s="9"/>
      <c r="KZV15" s="10"/>
      <c r="KZW15" s="11"/>
      <c r="KZX15" s="12"/>
      <c r="KZY15" s="12"/>
      <c r="KZZ15" s="12"/>
      <c r="LAA15" s="13"/>
      <c r="LAB15" s="9"/>
      <c r="LAC15" s="9"/>
      <c r="LAD15" s="9"/>
      <c r="LAE15" s="9"/>
      <c r="LAF15" s="10"/>
      <c r="LAG15" s="11"/>
      <c r="LAH15" s="12"/>
      <c r="LAI15" s="12"/>
      <c r="LAJ15" s="12"/>
      <c r="LAK15" s="13"/>
      <c r="LAL15" s="9"/>
      <c r="LAM15" s="9"/>
      <c r="LAN15" s="9"/>
      <c r="LAO15" s="9"/>
      <c r="LAP15" s="10"/>
      <c r="LAQ15" s="11"/>
      <c r="LAR15" s="12"/>
      <c r="LAS15" s="12"/>
      <c r="LAT15" s="12"/>
      <c r="LAU15" s="13"/>
      <c r="LAV15" s="9"/>
      <c r="LAW15" s="9"/>
      <c r="LAX15" s="9"/>
      <c r="LAY15" s="9"/>
      <c r="LAZ15" s="10"/>
      <c r="LBA15" s="11"/>
      <c r="LBB15" s="12"/>
      <c r="LBC15" s="12"/>
      <c r="LBD15" s="12"/>
      <c r="LBE15" s="13"/>
      <c r="LBF15" s="9"/>
      <c r="LBG15" s="9"/>
      <c r="LBH15" s="9"/>
      <c r="LBI15" s="9"/>
      <c r="LBJ15" s="10"/>
      <c r="LBK15" s="11"/>
      <c r="LBL15" s="12"/>
      <c r="LBM15" s="12"/>
      <c r="LBN15" s="12"/>
      <c r="LBO15" s="13"/>
      <c r="LBP15" s="9"/>
      <c r="LBQ15" s="9"/>
      <c r="LBR15" s="9"/>
      <c r="LBS15" s="9"/>
      <c r="LBT15" s="10"/>
      <c r="LBU15" s="11"/>
      <c r="LBV15" s="12"/>
      <c r="LBW15" s="12"/>
      <c r="LBX15" s="12"/>
      <c r="LBY15" s="13"/>
      <c r="LBZ15" s="9"/>
      <c r="LCA15" s="9"/>
      <c r="LCB15" s="9"/>
      <c r="LCC15" s="9"/>
      <c r="LCD15" s="10"/>
      <c r="LCE15" s="11"/>
      <c r="LCF15" s="12"/>
      <c r="LCG15" s="12"/>
      <c r="LCH15" s="12"/>
      <c r="LCI15" s="13"/>
      <c r="LCJ15" s="9"/>
      <c r="LCK15" s="9"/>
      <c r="LCL15" s="9"/>
      <c r="LCM15" s="9"/>
      <c r="LCN15" s="10"/>
      <c r="LCO15" s="11"/>
      <c r="LCP15" s="12"/>
      <c r="LCQ15" s="12"/>
      <c r="LCR15" s="12"/>
      <c r="LCS15" s="13"/>
      <c r="LCT15" s="9"/>
      <c r="LCU15" s="9"/>
      <c r="LCV15" s="9"/>
      <c r="LCW15" s="9"/>
      <c r="LCX15" s="10"/>
      <c r="LCY15" s="11"/>
      <c r="LCZ15" s="12"/>
      <c r="LDA15" s="12"/>
      <c r="LDB15" s="12"/>
      <c r="LDC15" s="13"/>
      <c r="LDD15" s="9"/>
      <c r="LDE15" s="9"/>
      <c r="LDF15" s="9"/>
      <c r="LDG15" s="9"/>
      <c r="LDH15" s="10"/>
      <c r="LDI15" s="11"/>
      <c r="LDJ15" s="12"/>
      <c r="LDK15" s="12"/>
      <c r="LDL15" s="12"/>
      <c r="LDM15" s="13"/>
      <c r="LDN15" s="9"/>
      <c r="LDO15" s="9"/>
      <c r="LDP15" s="9"/>
      <c r="LDQ15" s="9"/>
      <c r="LDR15" s="10"/>
      <c r="LDS15" s="11"/>
      <c r="LDT15" s="12"/>
      <c r="LDU15" s="12"/>
      <c r="LDV15" s="12"/>
      <c r="LDW15" s="13"/>
      <c r="LDX15" s="9"/>
      <c r="LDY15" s="9"/>
      <c r="LDZ15" s="9"/>
      <c r="LEA15" s="9"/>
      <c r="LEB15" s="10"/>
      <c r="LEC15" s="11"/>
      <c r="LED15" s="12"/>
      <c r="LEE15" s="12"/>
      <c r="LEF15" s="12"/>
      <c r="LEG15" s="13"/>
      <c r="LEH15" s="9"/>
      <c r="LEI15" s="9"/>
      <c r="LEJ15" s="9"/>
      <c r="LEK15" s="9"/>
      <c r="LEL15" s="10"/>
      <c r="LEM15" s="11"/>
      <c r="LEN15" s="12"/>
      <c r="LEO15" s="12"/>
      <c r="LEP15" s="12"/>
      <c r="LEQ15" s="13"/>
      <c r="LER15" s="9"/>
      <c r="LES15" s="9"/>
      <c r="LET15" s="9"/>
      <c r="LEU15" s="9"/>
      <c r="LEV15" s="10"/>
      <c r="LEW15" s="11"/>
      <c r="LEX15" s="12"/>
      <c r="LEY15" s="12"/>
      <c r="LEZ15" s="12"/>
      <c r="LFA15" s="13"/>
      <c r="LFB15" s="9"/>
      <c r="LFC15" s="9"/>
      <c r="LFD15" s="9"/>
      <c r="LFE15" s="9"/>
      <c r="LFF15" s="10"/>
      <c r="LFG15" s="11"/>
      <c r="LFH15" s="12"/>
      <c r="LFI15" s="12"/>
      <c r="LFJ15" s="12"/>
      <c r="LFK15" s="13"/>
      <c r="LFL15" s="9"/>
      <c r="LFM15" s="9"/>
      <c r="LFN15" s="9"/>
      <c r="LFO15" s="9"/>
      <c r="LFP15" s="10"/>
      <c r="LFQ15" s="11"/>
      <c r="LFR15" s="12"/>
      <c r="LFS15" s="12"/>
      <c r="LFT15" s="12"/>
      <c r="LFU15" s="13"/>
      <c r="LFV15" s="9"/>
      <c r="LFW15" s="9"/>
      <c r="LFX15" s="9"/>
      <c r="LFY15" s="9"/>
      <c r="LFZ15" s="10"/>
      <c r="LGA15" s="11"/>
      <c r="LGB15" s="12"/>
      <c r="LGC15" s="12"/>
      <c r="LGD15" s="12"/>
      <c r="LGE15" s="13"/>
      <c r="LGF15" s="9"/>
      <c r="LGG15" s="9"/>
      <c r="LGH15" s="9"/>
      <c r="LGI15" s="9"/>
      <c r="LGJ15" s="10"/>
      <c r="LGK15" s="11"/>
      <c r="LGL15" s="12"/>
      <c r="LGM15" s="12"/>
      <c r="LGN15" s="12"/>
      <c r="LGO15" s="13"/>
      <c r="LGP15" s="9"/>
      <c r="LGQ15" s="9"/>
      <c r="LGR15" s="9"/>
      <c r="LGS15" s="9"/>
      <c r="LGT15" s="10"/>
      <c r="LGU15" s="11"/>
      <c r="LGV15" s="12"/>
      <c r="LGW15" s="12"/>
      <c r="LGX15" s="12"/>
      <c r="LGY15" s="13"/>
      <c r="LGZ15" s="9"/>
      <c r="LHA15" s="9"/>
      <c r="LHB15" s="9"/>
      <c r="LHC15" s="9"/>
      <c r="LHD15" s="10"/>
      <c r="LHE15" s="11"/>
      <c r="LHF15" s="12"/>
      <c r="LHG15" s="12"/>
      <c r="LHH15" s="12"/>
      <c r="LHI15" s="13"/>
      <c r="LHJ15" s="9"/>
      <c r="LHK15" s="9"/>
      <c r="LHL15" s="9"/>
      <c r="LHM15" s="9"/>
      <c r="LHN15" s="10"/>
      <c r="LHO15" s="11"/>
      <c r="LHP15" s="12"/>
      <c r="LHQ15" s="12"/>
      <c r="LHR15" s="12"/>
      <c r="LHS15" s="13"/>
      <c r="LHT15" s="9"/>
      <c r="LHU15" s="9"/>
      <c r="LHV15" s="9"/>
      <c r="LHW15" s="9"/>
      <c r="LHX15" s="10"/>
      <c r="LHY15" s="11"/>
      <c r="LHZ15" s="12"/>
      <c r="LIA15" s="12"/>
      <c r="LIB15" s="12"/>
      <c r="LIC15" s="13"/>
      <c r="LID15" s="9"/>
      <c r="LIE15" s="9"/>
      <c r="LIF15" s="9"/>
      <c r="LIG15" s="9"/>
      <c r="LIH15" s="10"/>
      <c r="LII15" s="11"/>
      <c r="LIJ15" s="12"/>
      <c r="LIK15" s="12"/>
      <c r="LIL15" s="12"/>
      <c r="LIM15" s="13"/>
      <c r="LIN15" s="9"/>
      <c r="LIO15" s="9"/>
      <c r="LIP15" s="9"/>
      <c r="LIQ15" s="9"/>
      <c r="LIR15" s="10"/>
      <c r="LIS15" s="11"/>
      <c r="LIT15" s="12"/>
      <c r="LIU15" s="12"/>
      <c r="LIV15" s="12"/>
      <c r="LIW15" s="13"/>
      <c r="LIX15" s="9"/>
      <c r="LIY15" s="9"/>
      <c r="LIZ15" s="9"/>
      <c r="LJA15" s="9"/>
      <c r="LJB15" s="10"/>
      <c r="LJC15" s="11"/>
      <c r="LJD15" s="12"/>
      <c r="LJE15" s="12"/>
      <c r="LJF15" s="12"/>
      <c r="LJG15" s="13"/>
      <c r="LJH15" s="9"/>
      <c r="LJI15" s="9"/>
      <c r="LJJ15" s="9"/>
      <c r="LJK15" s="9"/>
      <c r="LJL15" s="10"/>
      <c r="LJM15" s="11"/>
      <c r="LJN15" s="12"/>
      <c r="LJO15" s="12"/>
      <c r="LJP15" s="12"/>
      <c r="LJQ15" s="13"/>
      <c r="LJR15" s="9"/>
      <c r="LJS15" s="9"/>
      <c r="LJT15" s="9"/>
      <c r="LJU15" s="9"/>
      <c r="LJV15" s="10"/>
      <c r="LJW15" s="11"/>
      <c r="LJX15" s="12"/>
      <c r="LJY15" s="12"/>
      <c r="LJZ15" s="12"/>
      <c r="LKA15" s="13"/>
      <c r="LKB15" s="9"/>
      <c r="LKC15" s="9"/>
      <c r="LKD15" s="9"/>
      <c r="LKE15" s="9"/>
      <c r="LKF15" s="10"/>
      <c r="LKG15" s="11"/>
      <c r="LKH15" s="12"/>
      <c r="LKI15" s="12"/>
      <c r="LKJ15" s="12"/>
      <c r="LKK15" s="13"/>
      <c r="LKL15" s="9"/>
      <c r="LKM15" s="9"/>
      <c r="LKN15" s="9"/>
      <c r="LKO15" s="9"/>
      <c r="LKP15" s="10"/>
      <c r="LKQ15" s="11"/>
      <c r="LKR15" s="12"/>
      <c r="LKS15" s="12"/>
      <c r="LKT15" s="12"/>
      <c r="LKU15" s="13"/>
      <c r="LKV15" s="9"/>
      <c r="LKW15" s="9"/>
      <c r="LKX15" s="9"/>
      <c r="LKY15" s="9"/>
      <c r="LKZ15" s="10"/>
      <c r="LLA15" s="11"/>
      <c r="LLB15" s="12"/>
      <c r="LLC15" s="12"/>
      <c r="LLD15" s="12"/>
      <c r="LLE15" s="13"/>
      <c r="LLF15" s="9"/>
      <c r="LLG15" s="9"/>
      <c r="LLH15" s="9"/>
      <c r="LLI15" s="9"/>
      <c r="LLJ15" s="10"/>
      <c r="LLK15" s="11"/>
      <c r="LLL15" s="12"/>
      <c r="LLM15" s="12"/>
      <c r="LLN15" s="12"/>
      <c r="LLO15" s="13"/>
      <c r="LLP15" s="9"/>
      <c r="LLQ15" s="9"/>
      <c r="LLR15" s="9"/>
      <c r="LLS15" s="9"/>
      <c r="LLT15" s="10"/>
      <c r="LLU15" s="11"/>
      <c r="LLV15" s="12"/>
      <c r="LLW15" s="12"/>
      <c r="LLX15" s="12"/>
      <c r="LLY15" s="13"/>
      <c r="LLZ15" s="9"/>
      <c r="LMA15" s="9"/>
      <c r="LMB15" s="9"/>
      <c r="LMC15" s="9"/>
      <c r="LMD15" s="10"/>
      <c r="LME15" s="11"/>
      <c r="LMF15" s="12"/>
      <c r="LMG15" s="12"/>
      <c r="LMH15" s="12"/>
      <c r="LMI15" s="13"/>
      <c r="LMJ15" s="9"/>
      <c r="LMK15" s="9"/>
      <c r="LML15" s="9"/>
      <c r="LMM15" s="9"/>
      <c r="LMN15" s="10"/>
      <c r="LMO15" s="11"/>
      <c r="LMP15" s="12"/>
      <c r="LMQ15" s="12"/>
      <c r="LMR15" s="12"/>
      <c r="LMS15" s="13"/>
      <c r="LMT15" s="9"/>
      <c r="LMU15" s="9"/>
      <c r="LMV15" s="9"/>
      <c r="LMW15" s="9"/>
      <c r="LMX15" s="10"/>
      <c r="LMY15" s="11"/>
      <c r="LMZ15" s="12"/>
      <c r="LNA15" s="12"/>
      <c r="LNB15" s="12"/>
      <c r="LNC15" s="13"/>
      <c r="LND15" s="9"/>
      <c r="LNE15" s="9"/>
      <c r="LNF15" s="9"/>
      <c r="LNG15" s="9"/>
      <c r="LNH15" s="10"/>
      <c r="LNI15" s="11"/>
      <c r="LNJ15" s="12"/>
      <c r="LNK15" s="12"/>
      <c r="LNL15" s="12"/>
      <c r="LNM15" s="13"/>
      <c r="LNN15" s="9"/>
      <c r="LNO15" s="9"/>
      <c r="LNP15" s="9"/>
      <c r="LNQ15" s="9"/>
      <c r="LNR15" s="10"/>
      <c r="LNS15" s="11"/>
      <c r="LNT15" s="12"/>
      <c r="LNU15" s="12"/>
      <c r="LNV15" s="12"/>
      <c r="LNW15" s="13"/>
      <c r="LNX15" s="9"/>
      <c r="LNY15" s="9"/>
      <c r="LNZ15" s="9"/>
      <c r="LOA15" s="9"/>
      <c r="LOB15" s="10"/>
      <c r="LOC15" s="11"/>
      <c r="LOD15" s="12"/>
      <c r="LOE15" s="12"/>
      <c r="LOF15" s="12"/>
      <c r="LOG15" s="13"/>
      <c r="LOH15" s="9"/>
      <c r="LOI15" s="9"/>
      <c r="LOJ15" s="9"/>
      <c r="LOK15" s="9"/>
      <c r="LOL15" s="10"/>
      <c r="LOM15" s="11"/>
      <c r="LON15" s="12"/>
      <c r="LOO15" s="12"/>
      <c r="LOP15" s="12"/>
      <c r="LOQ15" s="13"/>
      <c r="LOR15" s="9"/>
      <c r="LOS15" s="9"/>
      <c r="LOT15" s="9"/>
      <c r="LOU15" s="9"/>
      <c r="LOV15" s="10"/>
      <c r="LOW15" s="11"/>
      <c r="LOX15" s="12"/>
      <c r="LOY15" s="12"/>
      <c r="LOZ15" s="12"/>
      <c r="LPA15" s="13"/>
      <c r="LPB15" s="9"/>
      <c r="LPC15" s="9"/>
      <c r="LPD15" s="9"/>
      <c r="LPE15" s="9"/>
      <c r="LPF15" s="10"/>
      <c r="LPG15" s="11"/>
      <c r="LPH15" s="12"/>
      <c r="LPI15" s="12"/>
      <c r="LPJ15" s="12"/>
      <c r="LPK15" s="13"/>
      <c r="LPL15" s="9"/>
      <c r="LPM15" s="9"/>
      <c r="LPN15" s="9"/>
      <c r="LPO15" s="9"/>
      <c r="LPP15" s="10"/>
      <c r="LPQ15" s="11"/>
      <c r="LPR15" s="12"/>
      <c r="LPS15" s="12"/>
      <c r="LPT15" s="12"/>
      <c r="LPU15" s="13"/>
      <c r="LPV15" s="9"/>
      <c r="LPW15" s="9"/>
      <c r="LPX15" s="9"/>
      <c r="LPY15" s="9"/>
      <c r="LPZ15" s="10"/>
      <c r="LQA15" s="11"/>
      <c r="LQB15" s="12"/>
      <c r="LQC15" s="12"/>
      <c r="LQD15" s="12"/>
      <c r="LQE15" s="13"/>
      <c r="LQF15" s="9"/>
      <c r="LQG15" s="9"/>
      <c r="LQH15" s="9"/>
      <c r="LQI15" s="9"/>
      <c r="LQJ15" s="10"/>
      <c r="LQK15" s="11"/>
      <c r="LQL15" s="12"/>
      <c r="LQM15" s="12"/>
      <c r="LQN15" s="12"/>
      <c r="LQO15" s="13"/>
      <c r="LQP15" s="9"/>
      <c r="LQQ15" s="9"/>
      <c r="LQR15" s="9"/>
      <c r="LQS15" s="9"/>
      <c r="LQT15" s="10"/>
      <c r="LQU15" s="11"/>
      <c r="LQV15" s="12"/>
      <c r="LQW15" s="12"/>
      <c r="LQX15" s="12"/>
      <c r="LQY15" s="13"/>
      <c r="LQZ15" s="9"/>
      <c r="LRA15" s="9"/>
      <c r="LRB15" s="9"/>
      <c r="LRC15" s="9"/>
      <c r="LRD15" s="10"/>
      <c r="LRE15" s="11"/>
      <c r="LRF15" s="12"/>
      <c r="LRG15" s="12"/>
      <c r="LRH15" s="12"/>
      <c r="LRI15" s="13"/>
      <c r="LRJ15" s="9"/>
      <c r="LRK15" s="9"/>
      <c r="LRL15" s="9"/>
      <c r="LRM15" s="9"/>
      <c r="LRN15" s="10"/>
      <c r="LRO15" s="11"/>
      <c r="LRP15" s="12"/>
      <c r="LRQ15" s="12"/>
      <c r="LRR15" s="12"/>
      <c r="LRS15" s="13"/>
      <c r="LRT15" s="9"/>
      <c r="LRU15" s="9"/>
      <c r="LRV15" s="9"/>
      <c r="LRW15" s="9"/>
      <c r="LRX15" s="10"/>
      <c r="LRY15" s="11"/>
      <c r="LRZ15" s="12"/>
      <c r="LSA15" s="12"/>
      <c r="LSB15" s="12"/>
      <c r="LSC15" s="13"/>
      <c r="LSD15" s="9"/>
      <c r="LSE15" s="9"/>
      <c r="LSF15" s="9"/>
      <c r="LSG15" s="9"/>
      <c r="LSH15" s="10"/>
      <c r="LSI15" s="11"/>
      <c r="LSJ15" s="12"/>
      <c r="LSK15" s="12"/>
      <c r="LSL15" s="12"/>
      <c r="LSM15" s="13"/>
      <c r="LSN15" s="9"/>
      <c r="LSO15" s="9"/>
      <c r="LSP15" s="9"/>
      <c r="LSQ15" s="9"/>
      <c r="LSR15" s="10"/>
      <c r="LSS15" s="11"/>
      <c r="LST15" s="12"/>
      <c r="LSU15" s="12"/>
      <c r="LSV15" s="12"/>
      <c r="LSW15" s="13"/>
      <c r="LSX15" s="9"/>
      <c r="LSY15" s="9"/>
      <c r="LSZ15" s="9"/>
      <c r="LTA15" s="9"/>
      <c r="LTB15" s="10"/>
      <c r="LTC15" s="11"/>
      <c r="LTD15" s="12"/>
      <c r="LTE15" s="12"/>
      <c r="LTF15" s="12"/>
      <c r="LTG15" s="13"/>
      <c r="LTH15" s="9"/>
      <c r="LTI15" s="9"/>
      <c r="LTJ15" s="9"/>
      <c r="LTK15" s="9"/>
      <c r="LTL15" s="10"/>
      <c r="LTM15" s="11"/>
      <c r="LTN15" s="12"/>
      <c r="LTO15" s="12"/>
      <c r="LTP15" s="12"/>
      <c r="LTQ15" s="13"/>
      <c r="LTR15" s="9"/>
      <c r="LTS15" s="9"/>
      <c r="LTT15" s="9"/>
      <c r="LTU15" s="9"/>
      <c r="LTV15" s="10"/>
      <c r="LTW15" s="11"/>
      <c r="LTX15" s="12"/>
      <c r="LTY15" s="12"/>
      <c r="LTZ15" s="12"/>
      <c r="LUA15" s="13"/>
      <c r="LUB15" s="9"/>
      <c r="LUC15" s="9"/>
      <c r="LUD15" s="9"/>
      <c r="LUE15" s="9"/>
      <c r="LUF15" s="10"/>
      <c r="LUG15" s="11"/>
      <c r="LUH15" s="12"/>
      <c r="LUI15" s="12"/>
      <c r="LUJ15" s="12"/>
      <c r="LUK15" s="13"/>
      <c r="LUL15" s="9"/>
      <c r="LUM15" s="9"/>
      <c r="LUN15" s="9"/>
      <c r="LUO15" s="9"/>
      <c r="LUP15" s="10"/>
      <c r="LUQ15" s="11"/>
      <c r="LUR15" s="12"/>
      <c r="LUS15" s="12"/>
      <c r="LUT15" s="12"/>
      <c r="LUU15" s="13"/>
      <c r="LUV15" s="9"/>
      <c r="LUW15" s="9"/>
      <c r="LUX15" s="9"/>
      <c r="LUY15" s="9"/>
      <c r="LUZ15" s="10"/>
      <c r="LVA15" s="11"/>
      <c r="LVB15" s="12"/>
      <c r="LVC15" s="12"/>
      <c r="LVD15" s="12"/>
      <c r="LVE15" s="13"/>
      <c r="LVF15" s="9"/>
      <c r="LVG15" s="9"/>
      <c r="LVH15" s="9"/>
      <c r="LVI15" s="9"/>
      <c r="LVJ15" s="10"/>
      <c r="LVK15" s="11"/>
      <c r="LVL15" s="12"/>
      <c r="LVM15" s="12"/>
      <c r="LVN15" s="12"/>
      <c r="LVO15" s="13"/>
      <c r="LVP15" s="9"/>
      <c r="LVQ15" s="9"/>
      <c r="LVR15" s="9"/>
      <c r="LVS15" s="9"/>
      <c r="LVT15" s="10"/>
      <c r="LVU15" s="11"/>
      <c r="LVV15" s="12"/>
      <c r="LVW15" s="12"/>
      <c r="LVX15" s="12"/>
      <c r="LVY15" s="13"/>
      <c r="LVZ15" s="9"/>
      <c r="LWA15" s="9"/>
      <c r="LWB15" s="9"/>
      <c r="LWC15" s="9"/>
      <c r="LWD15" s="10"/>
      <c r="LWE15" s="11"/>
      <c r="LWF15" s="12"/>
      <c r="LWG15" s="12"/>
      <c r="LWH15" s="12"/>
      <c r="LWI15" s="13"/>
      <c r="LWJ15" s="9"/>
      <c r="LWK15" s="9"/>
      <c r="LWL15" s="9"/>
      <c r="LWM15" s="9"/>
      <c r="LWN15" s="10"/>
      <c r="LWO15" s="11"/>
      <c r="LWP15" s="12"/>
      <c r="LWQ15" s="12"/>
      <c r="LWR15" s="12"/>
      <c r="LWS15" s="13"/>
      <c r="LWT15" s="9"/>
      <c r="LWU15" s="9"/>
      <c r="LWV15" s="9"/>
      <c r="LWW15" s="9"/>
      <c r="LWX15" s="10"/>
      <c r="LWY15" s="11"/>
      <c r="LWZ15" s="12"/>
      <c r="LXA15" s="12"/>
      <c r="LXB15" s="12"/>
      <c r="LXC15" s="13"/>
      <c r="LXD15" s="9"/>
      <c r="LXE15" s="9"/>
      <c r="LXF15" s="9"/>
      <c r="LXG15" s="9"/>
      <c r="LXH15" s="10"/>
      <c r="LXI15" s="11"/>
      <c r="LXJ15" s="12"/>
      <c r="LXK15" s="12"/>
      <c r="LXL15" s="12"/>
      <c r="LXM15" s="13"/>
      <c r="LXN15" s="9"/>
      <c r="LXO15" s="9"/>
      <c r="LXP15" s="9"/>
      <c r="LXQ15" s="9"/>
      <c r="LXR15" s="10"/>
      <c r="LXS15" s="11"/>
      <c r="LXT15" s="12"/>
      <c r="LXU15" s="12"/>
      <c r="LXV15" s="12"/>
      <c r="LXW15" s="13"/>
      <c r="LXX15" s="9"/>
      <c r="LXY15" s="9"/>
      <c r="LXZ15" s="9"/>
      <c r="LYA15" s="9"/>
      <c r="LYB15" s="10"/>
      <c r="LYC15" s="11"/>
      <c r="LYD15" s="12"/>
      <c r="LYE15" s="12"/>
      <c r="LYF15" s="12"/>
      <c r="LYG15" s="13"/>
      <c r="LYH15" s="9"/>
      <c r="LYI15" s="9"/>
      <c r="LYJ15" s="9"/>
      <c r="LYK15" s="9"/>
      <c r="LYL15" s="10"/>
      <c r="LYM15" s="11"/>
      <c r="LYN15" s="12"/>
      <c r="LYO15" s="12"/>
      <c r="LYP15" s="12"/>
      <c r="LYQ15" s="13"/>
      <c r="LYR15" s="9"/>
      <c r="LYS15" s="9"/>
      <c r="LYT15" s="9"/>
      <c r="LYU15" s="9"/>
      <c r="LYV15" s="10"/>
      <c r="LYW15" s="11"/>
      <c r="LYX15" s="12"/>
      <c r="LYY15" s="12"/>
      <c r="LYZ15" s="12"/>
      <c r="LZA15" s="13"/>
      <c r="LZB15" s="9"/>
      <c r="LZC15" s="9"/>
      <c r="LZD15" s="9"/>
      <c r="LZE15" s="9"/>
      <c r="LZF15" s="10"/>
      <c r="LZG15" s="11"/>
      <c r="LZH15" s="12"/>
      <c r="LZI15" s="12"/>
      <c r="LZJ15" s="12"/>
      <c r="LZK15" s="13"/>
      <c r="LZL15" s="9"/>
      <c r="LZM15" s="9"/>
      <c r="LZN15" s="9"/>
      <c r="LZO15" s="9"/>
      <c r="LZP15" s="10"/>
      <c r="LZQ15" s="11"/>
      <c r="LZR15" s="12"/>
      <c r="LZS15" s="12"/>
      <c r="LZT15" s="12"/>
      <c r="LZU15" s="13"/>
      <c r="LZV15" s="9"/>
      <c r="LZW15" s="9"/>
      <c r="LZX15" s="9"/>
      <c r="LZY15" s="9"/>
      <c r="LZZ15" s="10"/>
      <c r="MAA15" s="11"/>
      <c r="MAB15" s="12"/>
      <c r="MAC15" s="12"/>
      <c r="MAD15" s="12"/>
      <c r="MAE15" s="13"/>
      <c r="MAF15" s="9"/>
      <c r="MAG15" s="9"/>
      <c r="MAH15" s="9"/>
      <c r="MAI15" s="9"/>
      <c r="MAJ15" s="10"/>
      <c r="MAK15" s="11"/>
      <c r="MAL15" s="12"/>
      <c r="MAM15" s="12"/>
      <c r="MAN15" s="12"/>
      <c r="MAO15" s="13"/>
      <c r="MAP15" s="9"/>
      <c r="MAQ15" s="9"/>
      <c r="MAR15" s="9"/>
      <c r="MAS15" s="9"/>
      <c r="MAT15" s="10"/>
      <c r="MAU15" s="11"/>
      <c r="MAV15" s="12"/>
      <c r="MAW15" s="12"/>
      <c r="MAX15" s="12"/>
      <c r="MAY15" s="13"/>
      <c r="MAZ15" s="9"/>
      <c r="MBA15" s="9"/>
      <c r="MBB15" s="9"/>
      <c r="MBC15" s="9"/>
      <c r="MBD15" s="10"/>
      <c r="MBE15" s="11"/>
      <c r="MBF15" s="12"/>
      <c r="MBG15" s="12"/>
      <c r="MBH15" s="12"/>
      <c r="MBI15" s="13"/>
      <c r="MBJ15" s="9"/>
      <c r="MBK15" s="9"/>
      <c r="MBL15" s="9"/>
      <c r="MBM15" s="9"/>
      <c r="MBN15" s="10"/>
      <c r="MBO15" s="11"/>
      <c r="MBP15" s="12"/>
      <c r="MBQ15" s="12"/>
      <c r="MBR15" s="12"/>
      <c r="MBS15" s="13"/>
      <c r="MBT15" s="9"/>
      <c r="MBU15" s="9"/>
      <c r="MBV15" s="9"/>
      <c r="MBW15" s="9"/>
      <c r="MBX15" s="10"/>
      <c r="MBY15" s="11"/>
      <c r="MBZ15" s="12"/>
      <c r="MCA15" s="12"/>
      <c r="MCB15" s="12"/>
      <c r="MCC15" s="13"/>
      <c r="MCD15" s="9"/>
      <c r="MCE15" s="9"/>
      <c r="MCF15" s="9"/>
      <c r="MCG15" s="9"/>
      <c r="MCH15" s="10"/>
      <c r="MCI15" s="11"/>
      <c r="MCJ15" s="12"/>
      <c r="MCK15" s="12"/>
      <c r="MCL15" s="12"/>
      <c r="MCM15" s="13"/>
      <c r="MCN15" s="9"/>
      <c r="MCO15" s="9"/>
      <c r="MCP15" s="9"/>
      <c r="MCQ15" s="9"/>
      <c r="MCR15" s="10"/>
      <c r="MCS15" s="11"/>
      <c r="MCT15" s="12"/>
      <c r="MCU15" s="12"/>
      <c r="MCV15" s="12"/>
      <c r="MCW15" s="13"/>
      <c r="MCX15" s="9"/>
      <c r="MCY15" s="9"/>
      <c r="MCZ15" s="9"/>
      <c r="MDA15" s="9"/>
      <c r="MDB15" s="10"/>
      <c r="MDC15" s="11"/>
      <c r="MDD15" s="12"/>
      <c r="MDE15" s="12"/>
      <c r="MDF15" s="12"/>
      <c r="MDG15" s="13"/>
      <c r="MDH15" s="9"/>
      <c r="MDI15" s="9"/>
      <c r="MDJ15" s="9"/>
      <c r="MDK15" s="9"/>
      <c r="MDL15" s="10"/>
      <c r="MDM15" s="11"/>
      <c r="MDN15" s="12"/>
      <c r="MDO15" s="12"/>
      <c r="MDP15" s="12"/>
      <c r="MDQ15" s="13"/>
      <c r="MDR15" s="9"/>
      <c r="MDS15" s="9"/>
      <c r="MDT15" s="9"/>
      <c r="MDU15" s="9"/>
      <c r="MDV15" s="10"/>
      <c r="MDW15" s="11"/>
      <c r="MDX15" s="12"/>
      <c r="MDY15" s="12"/>
      <c r="MDZ15" s="12"/>
      <c r="MEA15" s="13"/>
      <c r="MEB15" s="9"/>
      <c r="MEC15" s="9"/>
      <c r="MED15" s="9"/>
      <c r="MEE15" s="9"/>
      <c r="MEF15" s="10"/>
      <c r="MEG15" s="11"/>
      <c r="MEH15" s="12"/>
      <c r="MEI15" s="12"/>
      <c r="MEJ15" s="12"/>
      <c r="MEK15" s="13"/>
      <c r="MEL15" s="9"/>
      <c r="MEM15" s="9"/>
      <c r="MEN15" s="9"/>
      <c r="MEO15" s="9"/>
      <c r="MEP15" s="10"/>
      <c r="MEQ15" s="11"/>
      <c r="MER15" s="12"/>
      <c r="MES15" s="12"/>
      <c r="MET15" s="12"/>
      <c r="MEU15" s="13"/>
      <c r="MEV15" s="9"/>
      <c r="MEW15" s="9"/>
      <c r="MEX15" s="9"/>
      <c r="MEY15" s="9"/>
      <c r="MEZ15" s="10"/>
      <c r="MFA15" s="11"/>
      <c r="MFB15" s="12"/>
      <c r="MFC15" s="12"/>
      <c r="MFD15" s="12"/>
      <c r="MFE15" s="13"/>
      <c r="MFF15" s="9"/>
      <c r="MFG15" s="9"/>
      <c r="MFH15" s="9"/>
      <c r="MFI15" s="9"/>
      <c r="MFJ15" s="10"/>
      <c r="MFK15" s="11"/>
      <c r="MFL15" s="12"/>
      <c r="MFM15" s="12"/>
      <c r="MFN15" s="12"/>
      <c r="MFO15" s="13"/>
      <c r="MFP15" s="9"/>
      <c r="MFQ15" s="9"/>
      <c r="MFR15" s="9"/>
      <c r="MFS15" s="9"/>
      <c r="MFT15" s="10"/>
      <c r="MFU15" s="11"/>
      <c r="MFV15" s="12"/>
      <c r="MFW15" s="12"/>
      <c r="MFX15" s="12"/>
      <c r="MFY15" s="13"/>
      <c r="MFZ15" s="9"/>
      <c r="MGA15" s="9"/>
      <c r="MGB15" s="9"/>
      <c r="MGC15" s="9"/>
      <c r="MGD15" s="10"/>
      <c r="MGE15" s="11"/>
      <c r="MGF15" s="12"/>
      <c r="MGG15" s="12"/>
      <c r="MGH15" s="12"/>
      <c r="MGI15" s="13"/>
      <c r="MGJ15" s="9"/>
      <c r="MGK15" s="9"/>
      <c r="MGL15" s="9"/>
      <c r="MGM15" s="9"/>
      <c r="MGN15" s="10"/>
      <c r="MGO15" s="11"/>
      <c r="MGP15" s="12"/>
      <c r="MGQ15" s="12"/>
      <c r="MGR15" s="12"/>
      <c r="MGS15" s="13"/>
      <c r="MGT15" s="9"/>
      <c r="MGU15" s="9"/>
      <c r="MGV15" s="9"/>
      <c r="MGW15" s="9"/>
      <c r="MGX15" s="10"/>
      <c r="MGY15" s="11"/>
      <c r="MGZ15" s="12"/>
      <c r="MHA15" s="12"/>
      <c r="MHB15" s="12"/>
      <c r="MHC15" s="13"/>
      <c r="MHD15" s="9"/>
      <c r="MHE15" s="9"/>
      <c r="MHF15" s="9"/>
      <c r="MHG15" s="9"/>
      <c r="MHH15" s="10"/>
      <c r="MHI15" s="11"/>
      <c r="MHJ15" s="12"/>
      <c r="MHK15" s="12"/>
      <c r="MHL15" s="12"/>
      <c r="MHM15" s="13"/>
      <c r="MHN15" s="9"/>
      <c r="MHO15" s="9"/>
      <c r="MHP15" s="9"/>
      <c r="MHQ15" s="9"/>
      <c r="MHR15" s="10"/>
      <c r="MHS15" s="11"/>
      <c r="MHT15" s="12"/>
      <c r="MHU15" s="12"/>
      <c r="MHV15" s="12"/>
      <c r="MHW15" s="13"/>
      <c r="MHX15" s="9"/>
      <c r="MHY15" s="9"/>
      <c r="MHZ15" s="9"/>
      <c r="MIA15" s="9"/>
      <c r="MIB15" s="10"/>
      <c r="MIC15" s="11"/>
      <c r="MID15" s="12"/>
      <c r="MIE15" s="12"/>
      <c r="MIF15" s="12"/>
      <c r="MIG15" s="13"/>
      <c r="MIH15" s="9"/>
      <c r="MII15" s="9"/>
      <c r="MIJ15" s="9"/>
      <c r="MIK15" s="9"/>
      <c r="MIL15" s="10"/>
      <c r="MIM15" s="11"/>
      <c r="MIN15" s="12"/>
      <c r="MIO15" s="12"/>
      <c r="MIP15" s="12"/>
      <c r="MIQ15" s="13"/>
      <c r="MIR15" s="9"/>
      <c r="MIS15" s="9"/>
      <c r="MIT15" s="9"/>
      <c r="MIU15" s="9"/>
      <c r="MIV15" s="10"/>
      <c r="MIW15" s="11"/>
      <c r="MIX15" s="12"/>
      <c r="MIY15" s="12"/>
      <c r="MIZ15" s="12"/>
      <c r="MJA15" s="13"/>
      <c r="MJB15" s="9"/>
      <c r="MJC15" s="9"/>
      <c r="MJD15" s="9"/>
      <c r="MJE15" s="9"/>
      <c r="MJF15" s="10"/>
      <c r="MJG15" s="11"/>
      <c r="MJH15" s="12"/>
      <c r="MJI15" s="12"/>
      <c r="MJJ15" s="12"/>
      <c r="MJK15" s="13"/>
      <c r="MJL15" s="9"/>
      <c r="MJM15" s="9"/>
      <c r="MJN15" s="9"/>
      <c r="MJO15" s="9"/>
      <c r="MJP15" s="10"/>
      <c r="MJQ15" s="11"/>
      <c r="MJR15" s="12"/>
      <c r="MJS15" s="12"/>
      <c r="MJT15" s="12"/>
      <c r="MJU15" s="13"/>
      <c r="MJV15" s="9"/>
      <c r="MJW15" s="9"/>
      <c r="MJX15" s="9"/>
      <c r="MJY15" s="9"/>
      <c r="MJZ15" s="10"/>
      <c r="MKA15" s="11"/>
      <c r="MKB15" s="12"/>
      <c r="MKC15" s="12"/>
      <c r="MKD15" s="12"/>
      <c r="MKE15" s="13"/>
      <c r="MKF15" s="9"/>
      <c r="MKG15" s="9"/>
      <c r="MKH15" s="9"/>
      <c r="MKI15" s="9"/>
      <c r="MKJ15" s="10"/>
      <c r="MKK15" s="11"/>
      <c r="MKL15" s="12"/>
      <c r="MKM15" s="12"/>
      <c r="MKN15" s="12"/>
      <c r="MKO15" s="13"/>
      <c r="MKP15" s="9"/>
      <c r="MKQ15" s="9"/>
      <c r="MKR15" s="9"/>
      <c r="MKS15" s="9"/>
      <c r="MKT15" s="10"/>
      <c r="MKU15" s="11"/>
      <c r="MKV15" s="12"/>
      <c r="MKW15" s="12"/>
      <c r="MKX15" s="12"/>
      <c r="MKY15" s="13"/>
      <c r="MKZ15" s="9"/>
      <c r="MLA15" s="9"/>
      <c r="MLB15" s="9"/>
      <c r="MLC15" s="9"/>
      <c r="MLD15" s="10"/>
      <c r="MLE15" s="11"/>
      <c r="MLF15" s="12"/>
      <c r="MLG15" s="12"/>
      <c r="MLH15" s="12"/>
      <c r="MLI15" s="13"/>
      <c r="MLJ15" s="9"/>
      <c r="MLK15" s="9"/>
      <c r="MLL15" s="9"/>
      <c r="MLM15" s="9"/>
      <c r="MLN15" s="10"/>
      <c r="MLO15" s="11"/>
      <c r="MLP15" s="12"/>
      <c r="MLQ15" s="12"/>
      <c r="MLR15" s="12"/>
      <c r="MLS15" s="13"/>
      <c r="MLT15" s="9"/>
      <c r="MLU15" s="9"/>
      <c r="MLV15" s="9"/>
      <c r="MLW15" s="9"/>
      <c r="MLX15" s="10"/>
      <c r="MLY15" s="11"/>
      <c r="MLZ15" s="12"/>
      <c r="MMA15" s="12"/>
      <c r="MMB15" s="12"/>
      <c r="MMC15" s="13"/>
      <c r="MMD15" s="9"/>
      <c r="MME15" s="9"/>
      <c r="MMF15" s="9"/>
      <c r="MMG15" s="9"/>
      <c r="MMH15" s="10"/>
      <c r="MMI15" s="11"/>
      <c r="MMJ15" s="12"/>
      <c r="MMK15" s="12"/>
      <c r="MML15" s="12"/>
      <c r="MMM15" s="13"/>
      <c r="MMN15" s="9"/>
      <c r="MMO15" s="9"/>
      <c r="MMP15" s="9"/>
      <c r="MMQ15" s="9"/>
      <c r="MMR15" s="10"/>
      <c r="MMS15" s="11"/>
      <c r="MMT15" s="12"/>
      <c r="MMU15" s="12"/>
      <c r="MMV15" s="12"/>
      <c r="MMW15" s="13"/>
      <c r="MMX15" s="9"/>
      <c r="MMY15" s="9"/>
      <c r="MMZ15" s="9"/>
      <c r="MNA15" s="9"/>
      <c r="MNB15" s="10"/>
      <c r="MNC15" s="11"/>
      <c r="MND15" s="12"/>
      <c r="MNE15" s="12"/>
      <c r="MNF15" s="12"/>
      <c r="MNG15" s="13"/>
      <c r="MNH15" s="9"/>
      <c r="MNI15" s="9"/>
      <c r="MNJ15" s="9"/>
      <c r="MNK15" s="9"/>
      <c r="MNL15" s="10"/>
      <c r="MNM15" s="11"/>
      <c r="MNN15" s="12"/>
      <c r="MNO15" s="12"/>
      <c r="MNP15" s="12"/>
      <c r="MNQ15" s="13"/>
      <c r="MNR15" s="9"/>
      <c r="MNS15" s="9"/>
      <c r="MNT15" s="9"/>
      <c r="MNU15" s="9"/>
      <c r="MNV15" s="10"/>
      <c r="MNW15" s="11"/>
      <c r="MNX15" s="12"/>
      <c r="MNY15" s="12"/>
      <c r="MNZ15" s="12"/>
      <c r="MOA15" s="13"/>
      <c r="MOB15" s="9"/>
      <c r="MOC15" s="9"/>
      <c r="MOD15" s="9"/>
      <c r="MOE15" s="9"/>
      <c r="MOF15" s="10"/>
      <c r="MOG15" s="11"/>
      <c r="MOH15" s="12"/>
      <c r="MOI15" s="12"/>
      <c r="MOJ15" s="12"/>
      <c r="MOK15" s="13"/>
      <c r="MOL15" s="9"/>
      <c r="MOM15" s="9"/>
      <c r="MON15" s="9"/>
      <c r="MOO15" s="9"/>
      <c r="MOP15" s="10"/>
      <c r="MOQ15" s="11"/>
      <c r="MOR15" s="12"/>
      <c r="MOS15" s="12"/>
      <c r="MOT15" s="12"/>
      <c r="MOU15" s="13"/>
      <c r="MOV15" s="9"/>
      <c r="MOW15" s="9"/>
      <c r="MOX15" s="9"/>
      <c r="MOY15" s="9"/>
      <c r="MOZ15" s="10"/>
      <c r="MPA15" s="11"/>
      <c r="MPB15" s="12"/>
      <c r="MPC15" s="12"/>
      <c r="MPD15" s="12"/>
      <c r="MPE15" s="13"/>
      <c r="MPF15" s="9"/>
      <c r="MPG15" s="9"/>
      <c r="MPH15" s="9"/>
      <c r="MPI15" s="9"/>
      <c r="MPJ15" s="10"/>
      <c r="MPK15" s="11"/>
      <c r="MPL15" s="12"/>
      <c r="MPM15" s="12"/>
      <c r="MPN15" s="12"/>
      <c r="MPO15" s="13"/>
      <c r="MPP15" s="9"/>
      <c r="MPQ15" s="9"/>
      <c r="MPR15" s="9"/>
      <c r="MPS15" s="9"/>
      <c r="MPT15" s="10"/>
      <c r="MPU15" s="11"/>
      <c r="MPV15" s="12"/>
      <c r="MPW15" s="12"/>
      <c r="MPX15" s="12"/>
      <c r="MPY15" s="13"/>
      <c r="MPZ15" s="9"/>
      <c r="MQA15" s="9"/>
      <c r="MQB15" s="9"/>
      <c r="MQC15" s="9"/>
      <c r="MQD15" s="10"/>
      <c r="MQE15" s="11"/>
      <c r="MQF15" s="12"/>
      <c r="MQG15" s="12"/>
      <c r="MQH15" s="12"/>
      <c r="MQI15" s="13"/>
      <c r="MQJ15" s="9"/>
      <c r="MQK15" s="9"/>
      <c r="MQL15" s="9"/>
      <c r="MQM15" s="9"/>
      <c r="MQN15" s="10"/>
      <c r="MQO15" s="11"/>
      <c r="MQP15" s="12"/>
      <c r="MQQ15" s="12"/>
      <c r="MQR15" s="12"/>
      <c r="MQS15" s="13"/>
      <c r="MQT15" s="9"/>
      <c r="MQU15" s="9"/>
      <c r="MQV15" s="9"/>
      <c r="MQW15" s="9"/>
      <c r="MQX15" s="10"/>
      <c r="MQY15" s="11"/>
      <c r="MQZ15" s="12"/>
      <c r="MRA15" s="12"/>
      <c r="MRB15" s="12"/>
      <c r="MRC15" s="13"/>
      <c r="MRD15" s="9"/>
      <c r="MRE15" s="9"/>
      <c r="MRF15" s="9"/>
      <c r="MRG15" s="9"/>
      <c r="MRH15" s="10"/>
      <c r="MRI15" s="11"/>
      <c r="MRJ15" s="12"/>
      <c r="MRK15" s="12"/>
      <c r="MRL15" s="12"/>
      <c r="MRM15" s="13"/>
      <c r="MRN15" s="9"/>
      <c r="MRO15" s="9"/>
      <c r="MRP15" s="9"/>
      <c r="MRQ15" s="9"/>
      <c r="MRR15" s="10"/>
      <c r="MRS15" s="11"/>
      <c r="MRT15" s="12"/>
      <c r="MRU15" s="12"/>
      <c r="MRV15" s="12"/>
      <c r="MRW15" s="13"/>
      <c r="MRX15" s="9"/>
      <c r="MRY15" s="9"/>
      <c r="MRZ15" s="9"/>
      <c r="MSA15" s="9"/>
      <c r="MSB15" s="10"/>
      <c r="MSC15" s="11"/>
      <c r="MSD15" s="12"/>
      <c r="MSE15" s="12"/>
      <c r="MSF15" s="12"/>
      <c r="MSG15" s="13"/>
      <c r="MSH15" s="9"/>
      <c r="MSI15" s="9"/>
      <c r="MSJ15" s="9"/>
      <c r="MSK15" s="9"/>
      <c r="MSL15" s="10"/>
      <c r="MSM15" s="11"/>
      <c r="MSN15" s="12"/>
      <c r="MSO15" s="12"/>
      <c r="MSP15" s="12"/>
      <c r="MSQ15" s="13"/>
      <c r="MSR15" s="9"/>
      <c r="MSS15" s="9"/>
      <c r="MST15" s="9"/>
      <c r="MSU15" s="9"/>
      <c r="MSV15" s="10"/>
      <c r="MSW15" s="11"/>
      <c r="MSX15" s="12"/>
      <c r="MSY15" s="12"/>
      <c r="MSZ15" s="12"/>
      <c r="MTA15" s="13"/>
      <c r="MTB15" s="9"/>
      <c r="MTC15" s="9"/>
      <c r="MTD15" s="9"/>
      <c r="MTE15" s="9"/>
      <c r="MTF15" s="10"/>
      <c r="MTG15" s="11"/>
      <c r="MTH15" s="12"/>
      <c r="MTI15" s="12"/>
      <c r="MTJ15" s="12"/>
      <c r="MTK15" s="13"/>
      <c r="MTL15" s="9"/>
      <c r="MTM15" s="9"/>
      <c r="MTN15" s="9"/>
      <c r="MTO15" s="9"/>
      <c r="MTP15" s="10"/>
      <c r="MTQ15" s="11"/>
      <c r="MTR15" s="12"/>
      <c r="MTS15" s="12"/>
      <c r="MTT15" s="12"/>
      <c r="MTU15" s="13"/>
      <c r="MTV15" s="9"/>
      <c r="MTW15" s="9"/>
      <c r="MTX15" s="9"/>
      <c r="MTY15" s="9"/>
      <c r="MTZ15" s="10"/>
      <c r="MUA15" s="11"/>
      <c r="MUB15" s="12"/>
      <c r="MUC15" s="12"/>
      <c r="MUD15" s="12"/>
      <c r="MUE15" s="13"/>
      <c r="MUF15" s="9"/>
      <c r="MUG15" s="9"/>
      <c r="MUH15" s="9"/>
      <c r="MUI15" s="9"/>
      <c r="MUJ15" s="10"/>
      <c r="MUK15" s="11"/>
      <c r="MUL15" s="12"/>
      <c r="MUM15" s="12"/>
      <c r="MUN15" s="12"/>
      <c r="MUO15" s="13"/>
      <c r="MUP15" s="9"/>
      <c r="MUQ15" s="9"/>
      <c r="MUR15" s="9"/>
      <c r="MUS15" s="9"/>
      <c r="MUT15" s="10"/>
      <c r="MUU15" s="11"/>
      <c r="MUV15" s="12"/>
      <c r="MUW15" s="12"/>
      <c r="MUX15" s="12"/>
      <c r="MUY15" s="13"/>
      <c r="MUZ15" s="9"/>
      <c r="MVA15" s="9"/>
      <c r="MVB15" s="9"/>
      <c r="MVC15" s="9"/>
      <c r="MVD15" s="10"/>
      <c r="MVE15" s="11"/>
      <c r="MVF15" s="12"/>
      <c r="MVG15" s="12"/>
      <c r="MVH15" s="12"/>
      <c r="MVI15" s="13"/>
      <c r="MVJ15" s="9"/>
      <c r="MVK15" s="9"/>
      <c r="MVL15" s="9"/>
      <c r="MVM15" s="9"/>
      <c r="MVN15" s="10"/>
      <c r="MVO15" s="11"/>
      <c r="MVP15" s="12"/>
      <c r="MVQ15" s="12"/>
      <c r="MVR15" s="12"/>
      <c r="MVS15" s="13"/>
      <c r="MVT15" s="9"/>
      <c r="MVU15" s="9"/>
      <c r="MVV15" s="9"/>
      <c r="MVW15" s="9"/>
      <c r="MVX15" s="10"/>
      <c r="MVY15" s="11"/>
      <c r="MVZ15" s="12"/>
      <c r="MWA15" s="12"/>
      <c r="MWB15" s="12"/>
      <c r="MWC15" s="13"/>
      <c r="MWD15" s="9"/>
      <c r="MWE15" s="9"/>
      <c r="MWF15" s="9"/>
      <c r="MWG15" s="9"/>
      <c r="MWH15" s="10"/>
      <c r="MWI15" s="11"/>
      <c r="MWJ15" s="12"/>
      <c r="MWK15" s="12"/>
      <c r="MWL15" s="12"/>
      <c r="MWM15" s="13"/>
      <c r="MWN15" s="9"/>
      <c r="MWO15" s="9"/>
      <c r="MWP15" s="9"/>
      <c r="MWQ15" s="9"/>
      <c r="MWR15" s="10"/>
      <c r="MWS15" s="11"/>
      <c r="MWT15" s="12"/>
      <c r="MWU15" s="12"/>
      <c r="MWV15" s="12"/>
      <c r="MWW15" s="13"/>
      <c r="MWX15" s="9"/>
      <c r="MWY15" s="9"/>
      <c r="MWZ15" s="9"/>
      <c r="MXA15" s="9"/>
      <c r="MXB15" s="10"/>
      <c r="MXC15" s="11"/>
      <c r="MXD15" s="12"/>
      <c r="MXE15" s="12"/>
      <c r="MXF15" s="12"/>
      <c r="MXG15" s="13"/>
      <c r="MXH15" s="9"/>
      <c r="MXI15" s="9"/>
      <c r="MXJ15" s="9"/>
      <c r="MXK15" s="9"/>
      <c r="MXL15" s="10"/>
      <c r="MXM15" s="11"/>
      <c r="MXN15" s="12"/>
      <c r="MXO15" s="12"/>
      <c r="MXP15" s="12"/>
      <c r="MXQ15" s="13"/>
      <c r="MXR15" s="9"/>
      <c r="MXS15" s="9"/>
      <c r="MXT15" s="9"/>
      <c r="MXU15" s="9"/>
      <c r="MXV15" s="10"/>
      <c r="MXW15" s="11"/>
      <c r="MXX15" s="12"/>
      <c r="MXY15" s="12"/>
      <c r="MXZ15" s="12"/>
      <c r="MYA15" s="13"/>
      <c r="MYB15" s="9"/>
      <c r="MYC15" s="9"/>
      <c r="MYD15" s="9"/>
      <c r="MYE15" s="9"/>
      <c r="MYF15" s="10"/>
      <c r="MYG15" s="11"/>
      <c r="MYH15" s="12"/>
      <c r="MYI15" s="12"/>
      <c r="MYJ15" s="12"/>
      <c r="MYK15" s="13"/>
      <c r="MYL15" s="9"/>
      <c r="MYM15" s="9"/>
      <c r="MYN15" s="9"/>
      <c r="MYO15" s="9"/>
      <c r="MYP15" s="10"/>
      <c r="MYQ15" s="11"/>
      <c r="MYR15" s="12"/>
      <c r="MYS15" s="12"/>
      <c r="MYT15" s="12"/>
      <c r="MYU15" s="13"/>
      <c r="MYV15" s="9"/>
      <c r="MYW15" s="9"/>
      <c r="MYX15" s="9"/>
      <c r="MYY15" s="9"/>
      <c r="MYZ15" s="10"/>
      <c r="MZA15" s="11"/>
      <c r="MZB15" s="12"/>
      <c r="MZC15" s="12"/>
      <c r="MZD15" s="12"/>
      <c r="MZE15" s="13"/>
      <c r="MZF15" s="9"/>
      <c r="MZG15" s="9"/>
      <c r="MZH15" s="9"/>
      <c r="MZI15" s="9"/>
      <c r="MZJ15" s="10"/>
      <c r="MZK15" s="11"/>
      <c r="MZL15" s="12"/>
      <c r="MZM15" s="12"/>
      <c r="MZN15" s="12"/>
      <c r="MZO15" s="13"/>
      <c r="MZP15" s="9"/>
      <c r="MZQ15" s="9"/>
      <c r="MZR15" s="9"/>
      <c r="MZS15" s="9"/>
      <c r="MZT15" s="10"/>
      <c r="MZU15" s="11"/>
      <c r="MZV15" s="12"/>
      <c r="MZW15" s="12"/>
      <c r="MZX15" s="12"/>
      <c r="MZY15" s="13"/>
      <c r="MZZ15" s="9"/>
      <c r="NAA15" s="9"/>
      <c r="NAB15" s="9"/>
      <c r="NAC15" s="9"/>
      <c r="NAD15" s="10"/>
      <c r="NAE15" s="11"/>
      <c r="NAF15" s="12"/>
      <c r="NAG15" s="12"/>
      <c r="NAH15" s="12"/>
      <c r="NAI15" s="13"/>
      <c r="NAJ15" s="9"/>
      <c r="NAK15" s="9"/>
      <c r="NAL15" s="9"/>
      <c r="NAM15" s="9"/>
      <c r="NAN15" s="10"/>
      <c r="NAO15" s="11"/>
      <c r="NAP15" s="12"/>
      <c r="NAQ15" s="12"/>
      <c r="NAR15" s="12"/>
      <c r="NAS15" s="13"/>
      <c r="NAT15" s="9"/>
      <c r="NAU15" s="9"/>
      <c r="NAV15" s="9"/>
      <c r="NAW15" s="9"/>
      <c r="NAX15" s="10"/>
      <c r="NAY15" s="11"/>
      <c r="NAZ15" s="12"/>
      <c r="NBA15" s="12"/>
      <c r="NBB15" s="12"/>
      <c r="NBC15" s="13"/>
      <c r="NBD15" s="9"/>
      <c r="NBE15" s="9"/>
      <c r="NBF15" s="9"/>
      <c r="NBG15" s="9"/>
      <c r="NBH15" s="10"/>
      <c r="NBI15" s="11"/>
      <c r="NBJ15" s="12"/>
      <c r="NBK15" s="12"/>
      <c r="NBL15" s="12"/>
      <c r="NBM15" s="13"/>
      <c r="NBN15" s="9"/>
      <c r="NBO15" s="9"/>
      <c r="NBP15" s="9"/>
      <c r="NBQ15" s="9"/>
      <c r="NBR15" s="10"/>
      <c r="NBS15" s="11"/>
      <c r="NBT15" s="12"/>
      <c r="NBU15" s="12"/>
      <c r="NBV15" s="12"/>
      <c r="NBW15" s="13"/>
      <c r="NBX15" s="9"/>
      <c r="NBY15" s="9"/>
      <c r="NBZ15" s="9"/>
      <c r="NCA15" s="9"/>
      <c r="NCB15" s="10"/>
      <c r="NCC15" s="11"/>
      <c r="NCD15" s="12"/>
      <c r="NCE15" s="12"/>
      <c r="NCF15" s="12"/>
      <c r="NCG15" s="13"/>
      <c r="NCH15" s="9"/>
      <c r="NCI15" s="9"/>
      <c r="NCJ15" s="9"/>
      <c r="NCK15" s="9"/>
      <c r="NCL15" s="10"/>
      <c r="NCM15" s="11"/>
      <c r="NCN15" s="12"/>
      <c r="NCO15" s="12"/>
      <c r="NCP15" s="12"/>
      <c r="NCQ15" s="13"/>
      <c r="NCR15" s="9"/>
      <c r="NCS15" s="9"/>
      <c r="NCT15" s="9"/>
      <c r="NCU15" s="9"/>
      <c r="NCV15" s="10"/>
      <c r="NCW15" s="11"/>
      <c r="NCX15" s="12"/>
      <c r="NCY15" s="12"/>
      <c r="NCZ15" s="12"/>
      <c r="NDA15" s="13"/>
      <c r="NDB15" s="9"/>
      <c r="NDC15" s="9"/>
      <c r="NDD15" s="9"/>
      <c r="NDE15" s="9"/>
      <c r="NDF15" s="10"/>
      <c r="NDG15" s="11"/>
      <c r="NDH15" s="12"/>
      <c r="NDI15" s="12"/>
      <c r="NDJ15" s="12"/>
      <c r="NDK15" s="13"/>
      <c r="NDL15" s="9"/>
      <c r="NDM15" s="9"/>
      <c r="NDN15" s="9"/>
      <c r="NDO15" s="9"/>
      <c r="NDP15" s="10"/>
      <c r="NDQ15" s="11"/>
      <c r="NDR15" s="12"/>
      <c r="NDS15" s="12"/>
      <c r="NDT15" s="12"/>
      <c r="NDU15" s="13"/>
      <c r="NDV15" s="9"/>
      <c r="NDW15" s="9"/>
      <c r="NDX15" s="9"/>
      <c r="NDY15" s="9"/>
      <c r="NDZ15" s="10"/>
      <c r="NEA15" s="11"/>
      <c r="NEB15" s="12"/>
      <c r="NEC15" s="12"/>
      <c r="NED15" s="12"/>
      <c r="NEE15" s="13"/>
      <c r="NEF15" s="9"/>
      <c r="NEG15" s="9"/>
      <c r="NEH15" s="9"/>
      <c r="NEI15" s="9"/>
      <c r="NEJ15" s="10"/>
      <c r="NEK15" s="11"/>
      <c r="NEL15" s="12"/>
      <c r="NEM15" s="12"/>
      <c r="NEN15" s="12"/>
      <c r="NEO15" s="13"/>
      <c r="NEP15" s="9"/>
      <c r="NEQ15" s="9"/>
      <c r="NER15" s="9"/>
      <c r="NES15" s="9"/>
      <c r="NET15" s="10"/>
      <c r="NEU15" s="11"/>
      <c r="NEV15" s="12"/>
      <c r="NEW15" s="12"/>
      <c r="NEX15" s="12"/>
      <c r="NEY15" s="13"/>
      <c r="NEZ15" s="9"/>
      <c r="NFA15" s="9"/>
      <c r="NFB15" s="9"/>
      <c r="NFC15" s="9"/>
      <c r="NFD15" s="10"/>
      <c r="NFE15" s="11"/>
      <c r="NFF15" s="12"/>
      <c r="NFG15" s="12"/>
      <c r="NFH15" s="12"/>
      <c r="NFI15" s="13"/>
      <c r="NFJ15" s="9"/>
      <c r="NFK15" s="9"/>
      <c r="NFL15" s="9"/>
      <c r="NFM15" s="9"/>
      <c r="NFN15" s="10"/>
      <c r="NFO15" s="11"/>
      <c r="NFP15" s="12"/>
      <c r="NFQ15" s="12"/>
      <c r="NFR15" s="12"/>
      <c r="NFS15" s="13"/>
      <c r="NFT15" s="9"/>
      <c r="NFU15" s="9"/>
      <c r="NFV15" s="9"/>
      <c r="NFW15" s="9"/>
      <c r="NFX15" s="10"/>
      <c r="NFY15" s="11"/>
      <c r="NFZ15" s="12"/>
      <c r="NGA15" s="12"/>
      <c r="NGB15" s="12"/>
      <c r="NGC15" s="13"/>
      <c r="NGD15" s="9"/>
      <c r="NGE15" s="9"/>
      <c r="NGF15" s="9"/>
      <c r="NGG15" s="9"/>
      <c r="NGH15" s="10"/>
      <c r="NGI15" s="11"/>
      <c r="NGJ15" s="12"/>
      <c r="NGK15" s="12"/>
      <c r="NGL15" s="12"/>
      <c r="NGM15" s="13"/>
      <c r="NGN15" s="9"/>
      <c r="NGO15" s="9"/>
      <c r="NGP15" s="9"/>
      <c r="NGQ15" s="9"/>
      <c r="NGR15" s="10"/>
      <c r="NGS15" s="11"/>
      <c r="NGT15" s="12"/>
      <c r="NGU15" s="12"/>
      <c r="NGV15" s="12"/>
      <c r="NGW15" s="13"/>
      <c r="NGX15" s="9"/>
      <c r="NGY15" s="9"/>
      <c r="NGZ15" s="9"/>
      <c r="NHA15" s="9"/>
      <c r="NHB15" s="10"/>
      <c r="NHC15" s="11"/>
      <c r="NHD15" s="12"/>
      <c r="NHE15" s="12"/>
      <c r="NHF15" s="12"/>
      <c r="NHG15" s="13"/>
      <c r="NHH15" s="9"/>
      <c r="NHI15" s="9"/>
      <c r="NHJ15" s="9"/>
      <c r="NHK15" s="9"/>
      <c r="NHL15" s="10"/>
      <c r="NHM15" s="11"/>
      <c r="NHN15" s="12"/>
      <c r="NHO15" s="12"/>
      <c r="NHP15" s="12"/>
      <c r="NHQ15" s="13"/>
      <c r="NHR15" s="9"/>
      <c r="NHS15" s="9"/>
      <c r="NHT15" s="9"/>
      <c r="NHU15" s="9"/>
      <c r="NHV15" s="10"/>
      <c r="NHW15" s="11"/>
      <c r="NHX15" s="12"/>
      <c r="NHY15" s="12"/>
      <c r="NHZ15" s="12"/>
      <c r="NIA15" s="13"/>
      <c r="NIB15" s="9"/>
      <c r="NIC15" s="9"/>
      <c r="NID15" s="9"/>
      <c r="NIE15" s="9"/>
      <c r="NIF15" s="10"/>
      <c r="NIG15" s="11"/>
      <c r="NIH15" s="12"/>
      <c r="NII15" s="12"/>
      <c r="NIJ15" s="12"/>
      <c r="NIK15" s="13"/>
      <c r="NIL15" s="9"/>
      <c r="NIM15" s="9"/>
      <c r="NIN15" s="9"/>
      <c r="NIO15" s="9"/>
      <c r="NIP15" s="10"/>
      <c r="NIQ15" s="11"/>
      <c r="NIR15" s="12"/>
      <c r="NIS15" s="12"/>
      <c r="NIT15" s="12"/>
      <c r="NIU15" s="13"/>
      <c r="NIV15" s="9"/>
      <c r="NIW15" s="9"/>
      <c r="NIX15" s="9"/>
      <c r="NIY15" s="9"/>
      <c r="NIZ15" s="10"/>
      <c r="NJA15" s="11"/>
      <c r="NJB15" s="12"/>
      <c r="NJC15" s="12"/>
      <c r="NJD15" s="12"/>
      <c r="NJE15" s="13"/>
      <c r="NJF15" s="9"/>
      <c r="NJG15" s="9"/>
      <c r="NJH15" s="9"/>
      <c r="NJI15" s="9"/>
      <c r="NJJ15" s="10"/>
      <c r="NJK15" s="11"/>
      <c r="NJL15" s="12"/>
      <c r="NJM15" s="12"/>
      <c r="NJN15" s="12"/>
      <c r="NJO15" s="13"/>
      <c r="NJP15" s="9"/>
      <c r="NJQ15" s="9"/>
      <c r="NJR15" s="9"/>
      <c r="NJS15" s="9"/>
      <c r="NJT15" s="10"/>
      <c r="NJU15" s="11"/>
      <c r="NJV15" s="12"/>
      <c r="NJW15" s="12"/>
      <c r="NJX15" s="12"/>
      <c r="NJY15" s="13"/>
      <c r="NJZ15" s="9"/>
      <c r="NKA15" s="9"/>
      <c r="NKB15" s="9"/>
      <c r="NKC15" s="9"/>
      <c r="NKD15" s="10"/>
      <c r="NKE15" s="11"/>
      <c r="NKF15" s="12"/>
      <c r="NKG15" s="12"/>
      <c r="NKH15" s="12"/>
      <c r="NKI15" s="13"/>
      <c r="NKJ15" s="9"/>
      <c r="NKK15" s="9"/>
      <c r="NKL15" s="9"/>
      <c r="NKM15" s="9"/>
      <c r="NKN15" s="10"/>
      <c r="NKO15" s="11"/>
      <c r="NKP15" s="12"/>
      <c r="NKQ15" s="12"/>
      <c r="NKR15" s="12"/>
      <c r="NKS15" s="13"/>
      <c r="NKT15" s="9"/>
      <c r="NKU15" s="9"/>
      <c r="NKV15" s="9"/>
      <c r="NKW15" s="9"/>
      <c r="NKX15" s="10"/>
      <c r="NKY15" s="11"/>
      <c r="NKZ15" s="12"/>
      <c r="NLA15" s="12"/>
      <c r="NLB15" s="12"/>
      <c r="NLC15" s="13"/>
      <c r="NLD15" s="9"/>
      <c r="NLE15" s="9"/>
      <c r="NLF15" s="9"/>
      <c r="NLG15" s="9"/>
      <c r="NLH15" s="10"/>
      <c r="NLI15" s="11"/>
      <c r="NLJ15" s="12"/>
      <c r="NLK15" s="12"/>
      <c r="NLL15" s="12"/>
      <c r="NLM15" s="13"/>
      <c r="NLN15" s="9"/>
      <c r="NLO15" s="9"/>
      <c r="NLP15" s="9"/>
      <c r="NLQ15" s="9"/>
      <c r="NLR15" s="10"/>
      <c r="NLS15" s="11"/>
      <c r="NLT15" s="12"/>
      <c r="NLU15" s="12"/>
      <c r="NLV15" s="12"/>
      <c r="NLW15" s="13"/>
      <c r="NLX15" s="9"/>
      <c r="NLY15" s="9"/>
      <c r="NLZ15" s="9"/>
      <c r="NMA15" s="9"/>
      <c r="NMB15" s="10"/>
      <c r="NMC15" s="11"/>
      <c r="NMD15" s="12"/>
      <c r="NME15" s="12"/>
      <c r="NMF15" s="12"/>
      <c r="NMG15" s="13"/>
      <c r="NMH15" s="9"/>
      <c r="NMI15" s="9"/>
      <c r="NMJ15" s="9"/>
      <c r="NMK15" s="9"/>
      <c r="NML15" s="10"/>
      <c r="NMM15" s="11"/>
      <c r="NMN15" s="12"/>
      <c r="NMO15" s="12"/>
      <c r="NMP15" s="12"/>
      <c r="NMQ15" s="13"/>
      <c r="NMR15" s="9"/>
      <c r="NMS15" s="9"/>
      <c r="NMT15" s="9"/>
      <c r="NMU15" s="9"/>
      <c r="NMV15" s="10"/>
      <c r="NMW15" s="11"/>
      <c r="NMX15" s="12"/>
      <c r="NMY15" s="12"/>
      <c r="NMZ15" s="12"/>
      <c r="NNA15" s="13"/>
      <c r="NNB15" s="9"/>
      <c r="NNC15" s="9"/>
      <c r="NND15" s="9"/>
      <c r="NNE15" s="9"/>
      <c r="NNF15" s="10"/>
      <c r="NNG15" s="11"/>
      <c r="NNH15" s="12"/>
      <c r="NNI15" s="12"/>
      <c r="NNJ15" s="12"/>
      <c r="NNK15" s="13"/>
      <c r="NNL15" s="9"/>
      <c r="NNM15" s="9"/>
      <c r="NNN15" s="9"/>
      <c r="NNO15" s="9"/>
      <c r="NNP15" s="10"/>
      <c r="NNQ15" s="11"/>
      <c r="NNR15" s="12"/>
      <c r="NNS15" s="12"/>
      <c r="NNT15" s="12"/>
      <c r="NNU15" s="13"/>
      <c r="NNV15" s="9"/>
      <c r="NNW15" s="9"/>
      <c r="NNX15" s="9"/>
      <c r="NNY15" s="9"/>
      <c r="NNZ15" s="10"/>
      <c r="NOA15" s="11"/>
      <c r="NOB15" s="12"/>
      <c r="NOC15" s="12"/>
      <c r="NOD15" s="12"/>
      <c r="NOE15" s="13"/>
      <c r="NOF15" s="9"/>
      <c r="NOG15" s="9"/>
      <c r="NOH15" s="9"/>
      <c r="NOI15" s="9"/>
      <c r="NOJ15" s="10"/>
      <c r="NOK15" s="11"/>
      <c r="NOL15" s="12"/>
      <c r="NOM15" s="12"/>
      <c r="NON15" s="12"/>
      <c r="NOO15" s="13"/>
      <c r="NOP15" s="9"/>
      <c r="NOQ15" s="9"/>
      <c r="NOR15" s="9"/>
      <c r="NOS15" s="9"/>
      <c r="NOT15" s="10"/>
      <c r="NOU15" s="11"/>
      <c r="NOV15" s="12"/>
      <c r="NOW15" s="12"/>
      <c r="NOX15" s="12"/>
      <c r="NOY15" s="13"/>
      <c r="NOZ15" s="9"/>
      <c r="NPA15" s="9"/>
      <c r="NPB15" s="9"/>
      <c r="NPC15" s="9"/>
      <c r="NPD15" s="10"/>
      <c r="NPE15" s="11"/>
      <c r="NPF15" s="12"/>
      <c r="NPG15" s="12"/>
      <c r="NPH15" s="12"/>
      <c r="NPI15" s="13"/>
      <c r="NPJ15" s="9"/>
      <c r="NPK15" s="9"/>
      <c r="NPL15" s="9"/>
      <c r="NPM15" s="9"/>
      <c r="NPN15" s="10"/>
      <c r="NPO15" s="11"/>
      <c r="NPP15" s="12"/>
      <c r="NPQ15" s="12"/>
      <c r="NPR15" s="12"/>
      <c r="NPS15" s="13"/>
      <c r="NPT15" s="9"/>
      <c r="NPU15" s="9"/>
      <c r="NPV15" s="9"/>
      <c r="NPW15" s="9"/>
      <c r="NPX15" s="10"/>
      <c r="NPY15" s="11"/>
      <c r="NPZ15" s="12"/>
      <c r="NQA15" s="12"/>
      <c r="NQB15" s="12"/>
      <c r="NQC15" s="13"/>
      <c r="NQD15" s="9"/>
      <c r="NQE15" s="9"/>
      <c r="NQF15" s="9"/>
      <c r="NQG15" s="9"/>
      <c r="NQH15" s="10"/>
      <c r="NQI15" s="11"/>
      <c r="NQJ15" s="12"/>
      <c r="NQK15" s="12"/>
      <c r="NQL15" s="12"/>
      <c r="NQM15" s="13"/>
      <c r="NQN15" s="9"/>
      <c r="NQO15" s="9"/>
      <c r="NQP15" s="9"/>
      <c r="NQQ15" s="9"/>
      <c r="NQR15" s="10"/>
      <c r="NQS15" s="11"/>
      <c r="NQT15" s="12"/>
      <c r="NQU15" s="12"/>
      <c r="NQV15" s="12"/>
      <c r="NQW15" s="13"/>
      <c r="NQX15" s="9"/>
      <c r="NQY15" s="9"/>
      <c r="NQZ15" s="9"/>
      <c r="NRA15" s="9"/>
      <c r="NRB15" s="10"/>
      <c r="NRC15" s="11"/>
      <c r="NRD15" s="12"/>
      <c r="NRE15" s="12"/>
      <c r="NRF15" s="12"/>
      <c r="NRG15" s="13"/>
      <c r="NRH15" s="9"/>
      <c r="NRI15" s="9"/>
      <c r="NRJ15" s="9"/>
      <c r="NRK15" s="9"/>
      <c r="NRL15" s="10"/>
      <c r="NRM15" s="11"/>
      <c r="NRN15" s="12"/>
      <c r="NRO15" s="12"/>
      <c r="NRP15" s="12"/>
      <c r="NRQ15" s="13"/>
      <c r="NRR15" s="9"/>
      <c r="NRS15" s="9"/>
      <c r="NRT15" s="9"/>
      <c r="NRU15" s="9"/>
      <c r="NRV15" s="10"/>
      <c r="NRW15" s="11"/>
      <c r="NRX15" s="12"/>
      <c r="NRY15" s="12"/>
      <c r="NRZ15" s="12"/>
      <c r="NSA15" s="13"/>
      <c r="NSB15" s="9"/>
      <c r="NSC15" s="9"/>
      <c r="NSD15" s="9"/>
      <c r="NSE15" s="9"/>
      <c r="NSF15" s="10"/>
      <c r="NSG15" s="11"/>
      <c r="NSH15" s="12"/>
      <c r="NSI15" s="12"/>
      <c r="NSJ15" s="12"/>
      <c r="NSK15" s="13"/>
      <c r="NSL15" s="9"/>
      <c r="NSM15" s="9"/>
      <c r="NSN15" s="9"/>
      <c r="NSO15" s="9"/>
      <c r="NSP15" s="10"/>
      <c r="NSQ15" s="11"/>
      <c r="NSR15" s="12"/>
      <c r="NSS15" s="12"/>
      <c r="NST15" s="12"/>
      <c r="NSU15" s="13"/>
      <c r="NSV15" s="9"/>
      <c r="NSW15" s="9"/>
      <c r="NSX15" s="9"/>
      <c r="NSY15" s="9"/>
      <c r="NSZ15" s="10"/>
      <c r="NTA15" s="11"/>
      <c r="NTB15" s="12"/>
      <c r="NTC15" s="12"/>
      <c r="NTD15" s="12"/>
      <c r="NTE15" s="13"/>
      <c r="NTF15" s="9"/>
      <c r="NTG15" s="9"/>
      <c r="NTH15" s="9"/>
      <c r="NTI15" s="9"/>
      <c r="NTJ15" s="10"/>
      <c r="NTK15" s="11"/>
      <c r="NTL15" s="12"/>
      <c r="NTM15" s="12"/>
      <c r="NTN15" s="12"/>
      <c r="NTO15" s="13"/>
      <c r="NTP15" s="9"/>
      <c r="NTQ15" s="9"/>
      <c r="NTR15" s="9"/>
      <c r="NTS15" s="9"/>
      <c r="NTT15" s="10"/>
      <c r="NTU15" s="11"/>
      <c r="NTV15" s="12"/>
      <c r="NTW15" s="12"/>
      <c r="NTX15" s="12"/>
      <c r="NTY15" s="13"/>
      <c r="NTZ15" s="9"/>
      <c r="NUA15" s="9"/>
      <c r="NUB15" s="9"/>
      <c r="NUC15" s="9"/>
      <c r="NUD15" s="10"/>
      <c r="NUE15" s="11"/>
      <c r="NUF15" s="12"/>
      <c r="NUG15" s="12"/>
      <c r="NUH15" s="12"/>
      <c r="NUI15" s="13"/>
      <c r="NUJ15" s="9"/>
      <c r="NUK15" s="9"/>
      <c r="NUL15" s="9"/>
      <c r="NUM15" s="9"/>
      <c r="NUN15" s="10"/>
      <c r="NUO15" s="11"/>
      <c r="NUP15" s="12"/>
      <c r="NUQ15" s="12"/>
      <c r="NUR15" s="12"/>
      <c r="NUS15" s="13"/>
      <c r="NUT15" s="9"/>
      <c r="NUU15" s="9"/>
      <c r="NUV15" s="9"/>
      <c r="NUW15" s="9"/>
      <c r="NUX15" s="10"/>
      <c r="NUY15" s="11"/>
      <c r="NUZ15" s="12"/>
      <c r="NVA15" s="12"/>
      <c r="NVB15" s="12"/>
      <c r="NVC15" s="13"/>
      <c r="NVD15" s="9"/>
      <c r="NVE15" s="9"/>
      <c r="NVF15" s="9"/>
      <c r="NVG15" s="9"/>
      <c r="NVH15" s="10"/>
      <c r="NVI15" s="11"/>
      <c r="NVJ15" s="12"/>
      <c r="NVK15" s="12"/>
      <c r="NVL15" s="12"/>
      <c r="NVM15" s="13"/>
      <c r="NVN15" s="9"/>
      <c r="NVO15" s="9"/>
      <c r="NVP15" s="9"/>
      <c r="NVQ15" s="9"/>
      <c r="NVR15" s="10"/>
      <c r="NVS15" s="11"/>
      <c r="NVT15" s="12"/>
      <c r="NVU15" s="12"/>
      <c r="NVV15" s="12"/>
      <c r="NVW15" s="13"/>
      <c r="NVX15" s="9"/>
      <c r="NVY15" s="9"/>
      <c r="NVZ15" s="9"/>
      <c r="NWA15" s="9"/>
      <c r="NWB15" s="10"/>
      <c r="NWC15" s="11"/>
      <c r="NWD15" s="12"/>
      <c r="NWE15" s="12"/>
      <c r="NWF15" s="12"/>
      <c r="NWG15" s="13"/>
      <c r="NWH15" s="9"/>
      <c r="NWI15" s="9"/>
      <c r="NWJ15" s="9"/>
      <c r="NWK15" s="9"/>
      <c r="NWL15" s="10"/>
      <c r="NWM15" s="11"/>
      <c r="NWN15" s="12"/>
      <c r="NWO15" s="12"/>
      <c r="NWP15" s="12"/>
      <c r="NWQ15" s="13"/>
      <c r="NWR15" s="9"/>
      <c r="NWS15" s="9"/>
      <c r="NWT15" s="9"/>
      <c r="NWU15" s="9"/>
      <c r="NWV15" s="10"/>
      <c r="NWW15" s="11"/>
      <c r="NWX15" s="12"/>
      <c r="NWY15" s="12"/>
      <c r="NWZ15" s="12"/>
      <c r="NXA15" s="13"/>
      <c r="NXB15" s="9"/>
      <c r="NXC15" s="9"/>
      <c r="NXD15" s="9"/>
      <c r="NXE15" s="9"/>
      <c r="NXF15" s="10"/>
      <c r="NXG15" s="11"/>
      <c r="NXH15" s="12"/>
      <c r="NXI15" s="12"/>
      <c r="NXJ15" s="12"/>
      <c r="NXK15" s="13"/>
      <c r="NXL15" s="9"/>
      <c r="NXM15" s="9"/>
      <c r="NXN15" s="9"/>
      <c r="NXO15" s="9"/>
      <c r="NXP15" s="10"/>
      <c r="NXQ15" s="11"/>
      <c r="NXR15" s="12"/>
      <c r="NXS15" s="12"/>
      <c r="NXT15" s="12"/>
      <c r="NXU15" s="13"/>
      <c r="NXV15" s="9"/>
      <c r="NXW15" s="9"/>
      <c r="NXX15" s="9"/>
      <c r="NXY15" s="9"/>
      <c r="NXZ15" s="10"/>
      <c r="NYA15" s="11"/>
      <c r="NYB15" s="12"/>
      <c r="NYC15" s="12"/>
      <c r="NYD15" s="12"/>
      <c r="NYE15" s="13"/>
      <c r="NYF15" s="9"/>
      <c r="NYG15" s="9"/>
      <c r="NYH15" s="9"/>
      <c r="NYI15" s="9"/>
      <c r="NYJ15" s="10"/>
      <c r="NYK15" s="11"/>
      <c r="NYL15" s="12"/>
      <c r="NYM15" s="12"/>
      <c r="NYN15" s="12"/>
      <c r="NYO15" s="13"/>
      <c r="NYP15" s="9"/>
      <c r="NYQ15" s="9"/>
      <c r="NYR15" s="9"/>
      <c r="NYS15" s="9"/>
      <c r="NYT15" s="10"/>
      <c r="NYU15" s="11"/>
      <c r="NYV15" s="12"/>
      <c r="NYW15" s="12"/>
      <c r="NYX15" s="12"/>
      <c r="NYY15" s="13"/>
      <c r="NYZ15" s="9"/>
      <c r="NZA15" s="9"/>
      <c r="NZB15" s="9"/>
      <c r="NZC15" s="9"/>
      <c r="NZD15" s="10"/>
      <c r="NZE15" s="11"/>
      <c r="NZF15" s="12"/>
      <c r="NZG15" s="12"/>
      <c r="NZH15" s="12"/>
      <c r="NZI15" s="13"/>
      <c r="NZJ15" s="9"/>
      <c r="NZK15" s="9"/>
      <c r="NZL15" s="9"/>
      <c r="NZM15" s="9"/>
      <c r="NZN15" s="10"/>
      <c r="NZO15" s="11"/>
      <c r="NZP15" s="12"/>
      <c r="NZQ15" s="12"/>
      <c r="NZR15" s="12"/>
      <c r="NZS15" s="13"/>
      <c r="NZT15" s="9"/>
      <c r="NZU15" s="9"/>
      <c r="NZV15" s="9"/>
      <c r="NZW15" s="9"/>
      <c r="NZX15" s="10"/>
      <c r="NZY15" s="11"/>
      <c r="NZZ15" s="12"/>
      <c r="OAA15" s="12"/>
      <c r="OAB15" s="12"/>
      <c r="OAC15" s="13"/>
      <c r="OAD15" s="9"/>
      <c r="OAE15" s="9"/>
      <c r="OAF15" s="9"/>
      <c r="OAG15" s="9"/>
      <c r="OAH15" s="10"/>
      <c r="OAI15" s="11"/>
      <c r="OAJ15" s="12"/>
      <c r="OAK15" s="12"/>
      <c r="OAL15" s="12"/>
      <c r="OAM15" s="13"/>
      <c r="OAN15" s="9"/>
      <c r="OAO15" s="9"/>
      <c r="OAP15" s="9"/>
      <c r="OAQ15" s="9"/>
      <c r="OAR15" s="10"/>
      <c r="OAS15" s="11"/>
      <c r="OAT15" s="12"/>
      <c r="OAU15" s="12"/>
      <c r="OAV15" s="12"/>
      <c r="OAW15" s="13"/>
      <c r="OAX15" s="9"/>
      <c r="OAY15" s="9"/>
      <c r="OAZ15" s="9"/>
      <c r="OBA15" s="9"/>
      <c r="OBB15" s="10"/>
      <c r="OBC15" s="11"/>
      <c r="OBD15" s="12"/>
      <c r="OBE15" s="12"/>
      <c r="OBF15" s="12"/>
      <c r="OBG15" s="13"/>
      <c r="OBH15" s="9"/>
      <c r="OBI15" s="9"/>
      <c r="OBJ15" s="9"/>
      <c r="OBK15" s="9"/>
      <c r="OBL15" s="10"/>
      <c r="OBM15" s="11"/>
      <c r="OBN15" s="12"/>
      <c r="OBO15" s="12"/>
      <c r="OBP15" s="12"/>
      <c r="OBQ15" s="13"/>
      <c r="OBR15" s="9"/>
      <c r="OBS15" s="9"/>
      <c r="OBT15" s="9"/>
      <c r="OBU15" s="9"/>
      <c r="OBV15" s="10"/>
      <c r="OBW15" s="11"/>
      <c r="OBX15" s="12"/>
      <c r="OBY15" s="12"/>
      <c r="OBZ15" s="12"/>
      <c r="OCA15" s="13"/>
      <c r="OCB15" s="9"/>
      <c r="OCC15" s="9"/>
      <c r="OCD15" s="9"/>
      <c r="OCE15" s="9"/>
      <c r="OCF15" s="10"/>
      <c r="OCG15" s="11"/>
      <c r="OCH15" s="12"/>
      <c r="OCI15" s="12"/>
      <c r="OCJ15" s="12"/>
      <c r="OCK15" s="13"/>
      <c r="OCL15" s="9"/>
      <c r="OCM15" s="9"/>
      <c r="OCN15" s="9"/>
      <c r="OCO15" s="9"/>
      <c r="OCP15" s="10"/>
      <c r="OCQ15" s="11"/>
      <c r="OCR15" s="12"/>
      <c r="OCS15" s="12"/>
      <c r="OCT15" s="12"/>
      <c r="OCU15" s="13"/>
      <c r="OCV15" s="9"/>
      <c r="OCW15" s="9"/>
      <c r="OCX15" s="9"/>
      <c r="OCY15" s="9"/>
      <c r="OCZ15" s="10"/>
      <c r="ODA15" s="11"/>
      <c r="ODB15" s="12"/>
      <c r="ODC15" s="12"/>
      <c r="ODD15" s="12"/>
      <c r="ODE15" s="13"/>
      <c r="ODF15" s="9"/>
      <c r="ODG15" s="9"/>
      <c r="ODH15" s="9"/>
      <c r="ODI15" s="9"/>
      <c r="ODJ15" s="10"/>
      <c r="ODK15" s="11"/>
      <c r="ODL15" s="12"/>
      <c r="ODM15" s="12"/>
      <c r="ODN15" s="12"/>
      <c r="ODO15" s="13"/>
      <c r="ODP15" s="9"/>
      <c r="ODQ15" s="9"/>
      <c r="ODR15" s="9"/>
      <c r="ODS15" s="9"/>
      <c r="ODT15" s="10"/>
      <c r="ODU15" s="11"/>
      <c r="ODV15" s="12"/>
      <c r="ODW15" s="12"/>
      <c r="ODX15" s="12"/>
      <c r="ODY15" s="13"/>
      <c r="ODZ15" s="9"/>
      <c r="OEA15" s="9"/>
      <c r="OEB15" s="9"/>
      <c r="OEC15" s="9"/>
      <c r="OED15" s="10"/>
      <c r="OEE15" s="11"/>
      <c r="OEF15" s="12"/>
      <c r="OEG15" s="12"/>
      <c r="OEH15" s="12"/>
      <c r="OEI15" s="13"/>
      <c r="OEJ15" s="9"/>
      <c r="OEK15" s="9"/>
      <c r="OEL15" s="9"/>
      <c r="OEM15" s="9"/>
      <c r="OEN15" s="10"/>
      <c r="OEO15" s="11"/>
      <c r="OEP15" s="12"/>
      <c r="OEQ15" s="12"/>
      <c r="OER15" s="12"/>
      <c r="OES15" s="13"/>
      <c r="OET15" s="9"/>
      <c r="OEU15" s="9"/>
      <c r="OEV15" s="9"/>
      <c r="OEW15" s="9"/>
      <c r="OEX15" s="10"/>
      <c r="OEY15" s="11"/>
      <c r="OEZ15" s="12"/>
      <c r="OFA15" s="12"/>
      <c r="OFB15" s="12"/>
      <c r="OFC15" s="13"/>
      <c r="OFD15" s="9"/>
      <c r="OFE15" s="9"/>
      <c r="OFF15" s="9"/>
      <c r="OFG15" s="9"/>
      <c r="OFH15" s="10"/>
      <c r="OFI15" s="11"/>
      <c r="OFJ15" s="12"/>
      <c r="OFK15" s="12"/>
      <c r="OFL15" s="12"/>
      <c r="OFM15" s="13"/>
      <c r="OFN15" s="9"/>
      <c r="OFO15" s="9"/>
      <c r="OFP15" s="9"/>
      <c r="OFQ15" s="9"/>
      <c r="OFR15" s="10"/>
      <c r="OFS15" s="11"/>
      <c r="OFT15" s="12"/>
      <c r="OFU15" s="12"/>
      <c r="OFV15" s="12"/>
      <c r="OFW15" s="13"/>
      <c r="OFX15" s="9"/>
      <c r="OFY15" s="9"/>
      <c r="OFZ15" s="9"/>
      <c r="OGA15" s="9"/>
      <c r="OGB15" s="10"/>
      <c r="OGC15" s="11"/>
      <c r="OGD15" s="12"/>
      <c r="OGE15" s="12"/>
      <c r="OGF15" s="12"/>
      <c r="OGG15" s="13"/>
      <c r="OGH15" s="9"/>
      <c r="OGI15" s="9"/>
      <c r="OGJ15" s="9"/>
      <c r="OGK15" s="9"/>
      <c r="OGL15" s="10"/>
      <c r="OGM15" s="11"/>
      <c r="OGN15" s="12"/>
      <c r="OGO15" s="12"/>
      <c r="OGP15" s="12"/>
      <c r="OGQ15" s="13"/>
      <c r="OGR15" s="9"/>
      <c r="OGS15" s="9"/>
      <c r="OGT15" s="9"/>
      <c r="OGU15" s="9"/>
      <c r="OGV15" s="10"/>
      <c r="OGW15" s="11"/>
      <c r="OGX15" s="12"/>
      <c r="OGY15" s="12"/>
      <c r="OGZ15" s="12"/>
      <c r="OHA15" s="13"/>
      <c r="OHB15" s="9"/>
      <c r="OHC15" s="9"/>
      <c r="OHD15" s="9"/>
      <c r="OHE15" s="9"/>
      <c r="OHF15" s="10"/>
      <c r="OHG15" s="11"/>
      <c r="OHH15" s="12"/>
      <c r="OHI15" s="12"/>
      <c r="OHJ15" s="12"/>
      <c r="OHK15" s="13"/>
      <c r="OHL15" s="9"/>
      <c r="OHM15" s="9"/>
      <c r="OHN15" s="9"/>
      <c r="OHO15" s="9"/>
      <c r="OHP15" s="10"/>
      <c r="OHQ15" s="11"/>
      <c r="OHR15" s="12"/>
      <c r="OHS15" s="12"/>
      <c r="OHT15" s="12"/>
      <c r="OHU15" s="13"/>
      <c r="OHV15" s="9"/>
      <c r="OHW15" s="9"/>
      <c r="OHX15" s="9"/>
      <c r="OHY15" s="9"/>
      <c r="OHZ15" s="10"/>
      <c r="OIA15" s="11"/>
      <c r="OIB15" s="12"/>
      <c r="OIC15" s="12"/>
      <c r="OID15" s="12"/>
      <c r="OIE15" s="13"/>
      <c r="OIF15" s="9"/>
      <c r="OIG15" s="9"/>
      <c r="OIH15" s="9"/>
      <c r="OII15" s="9"/>
      <c r="OIJ15" s="10"/>
      <c r="OIK15" s="11"/>
      <c r="OIL15" s="12"/>
      <c r="OIM15" s="12"/>
      <c r="OIN15" s="12"/>
      <c r="OIO15" s="13"/>
      <c r="OIP15" s="9"/>
      <c r="OIQ15" s="9"/>
      <c r="OIR15" s="9"/>
      <c r="OIS15" s="9"/>
      <c r="OIT15" s="10"/>
      <c r="OIU15" s="11"/>
      <c r="OIV15" s="12"/>
      <c r="OIW15" s="12"/>
      <c r="OIX15" s="12"/>
      <c r="OIY15" s="13"/>
      <c r="OIZ15" s="9"/>
      <c r="OJA15" s="9"/>
      <c r="OJB15" s="9"/>
      <c r="OJC15" s="9"/>
      <c r="OJD15" s="10"/>
      <c r="OJE15" s="11"/>
      <c r="OJF15" s="12"/>
      <c r="OJG15" s="12"/>
      <c r="OJH15" s="12"/>
      <c r="OJI15" s="13"/>
      <c r="OJJ15" s="9"/>
      <c r="OJK15" s="9"/>
      <c r="OJL15" s="9"/>
      <c r="OJM15" s="9"/>
      <c r="OJN15" s="10"/>
      <c r="OJO15" s="11"/>
      <c r="OJP15" s="12"/>
      <c r="OJQ15" s="12"/>
      <c r="OJR15" s="12"/>
      <c r="OJS15" s="13"/>
      <c r="OJT15" s="9"/>
      <c r="OJU15" s="9"/>
      <c r="OJV15" s="9"/>
      <c r="OJW15" s="9"/>
      <c r="OJX15" s="10"/>
      <c r="OJY15" s="11"/>
      <c r="OJZ15" s="12"/>
      <c r="OKA15" s="12"/>
      <c r="OKB15" s="12"/>
      <c r="OKC15" s="13"/>
      <c r="OKD15" s="9"/>
      <c r="OKE15" s="9"/>
      <c r="OKF15" s="9"/>
      <c r="OKG15" s="9"/>
      <c r="OKH15" s="10"/>
      <c r="OKI15" s="11"/>
      <c r="OKJ15" s="12"/>
      <c r="OKK15" s="12"/>
      <c r="OKL15" s="12"/>
      <c r="OKM15" s="13"/>
      <c r="OKN15" s="9"/>
      <c r="OKO15" s="9"/>
      <c r="OKP15" s="9"/>
      <c r="OKQ15" s="9"/>
      <c r="OKR15" s="10"/>
      <c r="OKS15" s="11"/>
      <c r="OKT15" s="12"/>
      <c r="OKU15" s="12"/>
      <c r="OKV15" s="12"/>
      <c r="OKW15" s="13"/>
      <c r="OKX15" s="9"/>
      <c r="OKY15" s="9"/>
      <c r="OKZ15" s="9"/>
      <c r="OLA15" s="9"/>
      <c r="OLB15" s="10"/>
      <c r="OLC15" s="11"/>
      <c r="OLD15" s="12"/>
      <c r="OLE15" s="12"/>
      <c r="OLF15" s="12"/>
      <c r="OLG15" s="13"/>
      <c r="OLH15" s="9"/>
      <c r="OLI15" s="9"/>
      <c r="OLJ15" s="9"/>
      <c r="OLK15" s="9"/>
      <c r="OLL15" s="10"/>
      <c r="OLM15" s="11"/>
      <c r="OLN15" s="12"/>
      <c r="OLO15" s="12"/>
      <c r="OLP15" s="12"/>
      <c r="OLQ15" s="13"/>
      <c r="OLR15" s="9"/>
      <c r="OLS15" s="9"/>
      <c r="OLT15" s="9"/>
      <c r="OLU15" s="9"/>
      <c r="OLV15" s="10"/>
      <c r="OLW15" s="11"/>
      <c r="OLX15" s="12"/>
      <c r="OLY15" s="12"/>
      <c r="OLZ15" s="12"/>
      <c r="OMA15" s="13"/>
      <c r="OMB15" s="9"/>
      <c r="OMC15" s="9"/>
      <c r="OMD15" s="9"/>
      <c r="OME15" s="9"/>
      <c r="OMF15" s="10"/>
      <c r="OMG15" s="11"/>
      <c r="OMH15" s="12"/>
      <c r="OMI15" s="12"/>
      <c r="OMJ15" s="12"/>
      <c r="OMK15" s="13"/>
      <c r="OML15" s="9"/>
      <c r="OMM15" s="9"/>
      <c r="OMN15" s="9"/>
      <c r="OMO15" s="9"/>
      <c r="OMP15" s="10"/>
      <c r="OMQ15" s="11"/>
      <c r="OMR15" s="12"/>
      <c r="OMS15" s="12"/>
      <c r="OMT15" s="12"/>
      <c r="OMU15" s="13"/>
      <c r="OMV15" s="9"/>
      <c r="OMW15" s="9"/>
      <c r="OMX15" s="9"/>
      <c r="OMY15" s="9"/>
      <c r="OMZ15" s="10"/>
      <c r="ONA15" s="11"/>
      <c r="ONB15" s="12"/>
      <c r="ONC15" s="12"/>
      <c r="OND15" s="12"/>
      <c r="ONE15" s="13"/>
      <c r="ONF15" s="9"/>
      <c r="ONG15" s="9"/>
      <c r="ONH15" s="9"/>
      <c r="ONI15" s="9"/>
      <c r="ONJ15" s="10"/>
      <c r="ONK15" s="11"/>
      <c r="ONL15" s="12"/>
      <c r="ONM15" s="12"/>
      <c r="ONN15" s="12"/>
      <c r="ONO15" s="13"/>
      <c r="ONP15" s="9"/>
      <c r="ONQ15" s="9"/>
      <c r="ONR15" s="9"/>
      <c r="ONS15" s="9"/>
      <c r="ONT15" s="10"/>
      <c r="ONU15" s="11"/>
      <c r="ONV15" s="12"/>
      <c r="ONW15" s="12"/>
      <c r="ONX15" s="12"/>
      <c r="ONY15" s="13"/>
      <c r="ONZ15" s="9"/>
      <c r="OOA15" s="9"/>
      <c r="OOB15" s="9"/>
      <c r="OOC15" s="9"/>
      <c r="OOD15" s="10"/>
      <c r="OOE15" s="11"/>
      <c r="OOF15" s="12"/>
      <c r="OOG15" s="12"/>
      <c r="OOH15" s="12"/>
      <c r="OOI15" s="13"/>
      <c r="OOJ15" s="9"/>
      <c r="OOK15" s="9"/>
      <c r="OOL15" s="9"/>
      <c r="OOM15" s="9"/>
      <c r="OON15" s="10"/>
      <c r="OOO15" s="11"/>
      <c r="OOP15" s="12"/>
      <c r="OOQ15" s="12"/>
      <c r="OOR15" s="12"/>
      <c r="OOS15" s="13"/>
      <c r="OOT15" s="9"/>
      <c r="OOU15" s="9"/>
      <c r="OOV15" s="9"/>
      <c r="OOW15" s="9"/>
      <c r="OOX15" s="10"/>
      <c r="OOY15" s="11"/>
      <c r="OOZ15" s="12"/>
      <c r="OPA15" s="12"/>
      <c r="OPB15" s="12"/>
      <c r="OPC15" s="13"/>
      <c r="OPD15" s="9"/>
      <c r="OPE15" s="9"/>
      <c r="OPF15" s="9"/>
      <c r="OPG15" s="9"/>
      <c r="OPH15" s="10"/>
      <c r="OPI15" s="11"/>
      <c r="OPJ15" s="12"/>
      <c r="OPK15" s="12"/>
      <c r="OPL15" s="12"/>
      <c r="OPM15" s="13"/>
      <c r="OPN15" s="9"/>
      <c r="OPO15" s="9"/>
      <c r="OPP15" s="9"/>
      <c r="OPQ15" s="9"/>
      <c r="OPR15" s="10"/>
      <c r="OPS15" s="11"/>
      <c r="OPT15" s="12"/>
      <c r="OPU15" s="12"/>
      <c r="OPV15" s="12"/>
      <c r="OPW15" s="13"/>
      <c r="OPX15" s="9"/>
      <c r="OPY15" s="9"/>
      <c r="OPZ15" s="9"/>
      <c r="OQA15" s="9"/>
      <c r="OQB15" s="10"/>
      <c r="OQC15" s="11"/>
      <c r="OQD15" s="12"/>
      <c r="OQE15" s="12"/>
      <c r="OQF15" s="12"/>
      <c r="OQG15" s="13"/>
      <c r="OQH15" s="9"/>
      <c r="OQI15" s="9"/>
      <c r="OQJ15" s="9"/>
      <c r="OQK15" s="9"/>
      <c r="OQL15" s="10"/>
      <c r="OQM15" s="11"/>
      <c r="OQN15" s="12"/>
      <c r="OQO15" s="12"/>
      <c r="OQP15" s="12"/>
      <c r="OQQ15" s="13"/>
      <c r="OQR15" s="9"/>
      <c r="OQS15" s="9"/>
      <c r="OQT15" s="9"/>
      <c r="OQU15" s="9"/>
      <c r="OQV15" s="10"/>
      <c r="OQW15" s="11"/>
      <c r="OQX15" s="12"/>
      <c r="OQY15" s="12"/>
      <c r="OQZ15" s="12"/>
      <c r="ORA15" s="13"/>
      <c r="ORB15" s="9"/>
      <c r="ORC15" s="9"/>
      <c r="ORD15" s="9"/>
      <c r="ORE15" s="9"/>
      <c r="ORF15" s="10"/>
      <c r="ORG15" s="11"/>
      <c r="ORH15" s="12"/>
      <c r="ORI15" s="12"/>
      <c r="ORJ15" s="12"/>
      <c r="ORK15" s="13"/>
      <c r="ORL15" s="9"/>
      <c r="ORM15" s="9"/>
      <c r="ORN15" s="9"/>
      <c r="ORO15" s="9"/>
      <c r="ORP15" s="10"/>
      <c r="ORQ15" s="11"/>
      <c r="ORR15" s="12"/>
      <c r="ORS15" s="12"/>
      <c r="ORT15" s="12"/>
      <c r="ORU15" s="13"/>
      <c r="ORV15" s="9"/>
      <c r="ORW15" s="9"/>
      <c r="ORX15" s="9"/>
      <c r="ORY15" s="9"/>
      <c r="ORZ15" s="10"/>
      <c r="OSA15" s="11"/>
      <c r="OSB15" s="12"/>
      <c r="OSC15" s="12"/>
      <c r="OSD15" s="12"/>
      <c r="OSE15" s="13"/>
      <c r="OSF15" s="9"/>
      <c r="OSG15" s="9"/>
      <c r="OSH15" s="9"/>
      <c r="OSI15" s="9"/>
      <c r="OSJ15" s="10"/>
      <c r="OSK15" s="11"/>
      <c r="OSL15" s="12"/>
      <c r="OSM15" s="12"/>
      <c r="OSN15" s="12"/>
      <c r="OSO15" s="13"/>
      <c r="OSP15" s="9"/>
      <c r="OSQ15" s="9"/>
      <c r="OSR15" s="9"/>
      <c r="OSS15" s="9"/>
      <c r="OST15" s="10"/>
      <c r="OSU15" s="11"/>
      <c r="OSV15" s="12"/>
      <c r="OSW15" s="12"/>
      <c r="OSX15" s="12"/>
      <c r="OSY15" s="13"/>
      <c r="OSZ15" s="9"/>
      <c r="OTA15" s="9"/>
      <c r="OTB15" s="9"/>
      <c r="OTC15" s="9"/>
      <c r="OTD15" s="10"/>
      <c r="OTE15" s="11"/>
      <c r="OTF15" s="12"/>
      <c r="OTG15" s="12"/>
      <c r="OTH15" s="12"/>
      <c r="OTI15" s="13"/>
      <c r="OTJ15" s="9"/>
      <c r="OTK15" s="9"/>
      <c r="OTL15" s="9"/>
      <c r="OTM15" s="9"/>
      <c r="OTN15" s="10"/>
      <c r="OTO15" s="11"/>
      <c r="OTP15" s="12"/>
      <c r="OTQ15" s="12"/>
      <c r="OTR15" s="12"/>
      <c r="OTS15" s="13"/>
      <c r="OTT15" s="9"/>
      <c r="OTU15" s="9"/>
      <c r="OTV15" s="9"/>
      <c r="OTW15" s="9"/>
      <c r="OTX15" s="10"/>
      <c r="OTY15" s="11"/>
      <c r="OTZ15" s="12"/>
      <c r="OUA15" s="12"/>
      <c r="OUB15" s="12"/>
      <c r="OUC15" s="13"/>
      <c r="OUD15" s="9"/>
      <c r="OUE15" s="9"/>
      <c r="OUF15" s="9"/>
      <c r="OUG15" s="9"/>
      <c r="OUH15" s="10"/>
      <c r="OUI15" s="11"/>
      <c r="OUJ15" s="12"/>
      <c r="OUK15" s="12"/>
      <c r="OUL15" s="12"/>
      <c r="OUM15" s="13"/>
      <c r="OUN15" s="9"/>
      <c r="OUO15" s="9"/>
      <c r="OUP15" s="9"/>
      <c r="OUQ15" s="9"/>
      <c r="OUR15" s="10"/>
      <c r="OUS15" s="11"/>
      <c r="OUT15" s="12"/>
      <c r="OUU15" s="12"/>
      <c r="OUV15" s="12"/>
      <c r="OUW15" s="13"/>
      <c r="OUX15" s="9"/>
      <c r="OUY15" s="9"/>
      <c r="OUZ15" s="9"/>
      <c r="OVA15" s="9"/>
      <c r="OVB15" s="10"/>
      <c r="OVC15" s="11"/>
      <c r="OVD15" s="12"/>
      <c r="OVE15" s="12"/>
      <c r="OVF15" s="12"/>
      <c r="OVG15" s="13"/>
      <c r="OVH15" s="9"/>
      <c r="OVI15" s="9"/>
      <c r="OVJ15" s="9"/>
      <c r="OVK15" s="9"/>
      <c r="OVL15" s="10"/>
      <c r="OVM15" s="11"/>
      <c r="OVN15" s="12"/>
      <c r="OVO15" s="12"/>
      <c r="OVP15" s="12"/>
      <c r="OVQ15" s="13"/>
      <c r="OVR15" s="9"/>
      <c r="OVS15" s="9"/>
      <c r="OVT15" s="9"/>
      <c r="OVU15" s="9"/>
      <c r="OVV15" s="10"/>
      <c r="OVW15" s="11"/>
      <c r="OVX15" s="12"/>
      <c r="OVY15" s="12"/>
      <c r="OVZ15" s="12"/>
      <c r="OWA15" s="13"/>
      <c r="OWB15" s="9"/>
      <c r="OWC15" s="9"/>
      <c r="OWD15" s="9"/>
      <c r="OWE15" s="9"/>
      <c r="OWF15" s="10"/>
      <c r="OWG15" s="11"/>
      <c r="OWH15" s="12"/>
      <c r="OWI15" s="12"/>
      <c r="OWJ15" s="12"/>
      <c r="OWK15" s="13"/>
      <c r="OWL15" s="9"/>
      <c r="OWM15" s="9"/>
      <c r="OWN15" s="9"/>
      <c r="OWO15" s="9"/>
      <c r="OWP15" s="10"/>
      <c r="OWQ15" s="11"/>
      <c r="OWR15" s="12"/>
      <c r="OWS15" s="12"/>
      <c r="OWT15" s="12"/>
      <c r="OWU15" s="13"/>
      <c r="OWV15" s="9"/>
      <c r="OWW15" s="9"/>
      <c r="OWX15" s="9"/>
      <c r="OWY15" s="9"/>
      <c r="OWZ15" s="10"/>
      <c r="OXA15" s="11"/>
      <c r="OXB15" s="12"/>
      <c r="OXC15" s="12"/>
      <c r="OXD15" s="12"/>
      <c r="OXE15" s="13"/>
      <c r="OXF15" s="9"/>
      <c r="OXG15" s="9"/>
      <c r="OXH15" s="9"/>
      <c r="OXI15" s="9"/>
      <c r="OXJ15" s="10"/>
      <c r="OXK15" s="11"/>
      <c r="OXL15" s="12"/>
      <c r="OXM15" s="12"/>
      <c r="OXN15" s="12"/>
      <c r="OXO15" s="13"/>
      <c r="OXP15" s="9"/>
      <c r="OXQ15" s="9"/>
      <c r="OXR15" s="9"/>
      <c r="OXS15" s="9"/>
      <c r="OXT15" s="10"/>
      <c r="OXU15" s="11"/>
      <c r="OXV15" s="12"/>
      <c r="OXW15" s="12"/>
      <c r="OXX15" s="12"/>
      <c r="OXY15" s="13"/>
      <c r="OXZ15" s="9"/>
      <c r="OYA15" s="9"/>
      <c r="OYB15" s="9"/>
      <c r="OYC15" s="9"/>
      <c r="OYD15" s="10"/>
      <c r="OYE15" s="11"/>
      <c r="OYF15" s="12"/>
      <c r="OYG15" s="12"/>
      <c r="OYH15" s="12"/>
      <c r="OYI15" s="13"/>
      <c r="OYJ15" s="9"/>
      <c r="OYK15" s="9"/>
      <c r="OYL15" s="9"/>
      <c r="OYM15" s="9"/>
      <c r="OYN15" s="10"/>
      <c r="OYO15" s="11"/>
      <c r="OYP15" s="12"/>
      <c r="OYQ15" s="12"/>
      <c r="OYR15" s="12"/>
      <c r="OYS15" s="13"/>
      <c r="OYT15" s="9"/>
      <c r="OYU15" s="9"/>
      <c r="OYV15" s="9"/>
      <c r="OYW15" s="9"/>
      <c r="OYX15" s="10"/>
      <c r="OYY15" s="11"/>
      <c r="OYZ15" s="12"/>
      <c r="OZA15" s="12"/>
      <c r="OZB15" s="12"/>
      <c r="OZC15" s="13"/>
      <c r="OZD15" s="9"/>
      <c r="OZE15" s="9"/>
      <c r="OZF15" s="9"/>
      <c r="OZG15" s="9"/>
      <c r="OZH15" s="10"/>
      <c r="OZI15" s="11"/>
      <c r="OZJ15" s="12"/>
      <c r="OZK15" s="12"/>
      <c r="OZL15" s="12"/>
      <c r="OZM15" s="13"/>
      <c r="OZN15" s="9"/>
      <c r="OZO15" s="9"/>
      <c r="OZP15" s="9"/>
      <c r="OZQ15" s="9"/>
      <c r="OZR15" s="10"/>
      <c r="OZS15" s="11"/>
      <c r="OZT15" s="12"/>
      <c r="OZU15" s="12"/>
      <c r="OZV15" s="12"/>
      <c r="OZW15" s="13"/>
      <c r="OZX15" s="9"/>
      <c r="OZY15" s="9"/>
      <c r="OZZ15" s="9"/>
      <c r="PAA15" s="9"/>
      <c r="PAB15" s="10"/>
      <c r="PAC15" s="11"/>
      <c r="PAD15" s="12"/>
      <c r="PAE15" s="12"/>
      <c r="PAF15" s="12"/>
      <c r="PAG15" s="13"/>
      <c r="PAH15" s="9"/>
      <c r="PAI15" s="9"/>
      <c r="PAJ15" s="9"/>
      <c r="PAK15" s="9"/>
      <c r="PAL15" s="10"/>
      <c r="PAM15" s="11"/>
      <c r="PAN15" s="12"/>
      <c r="PAO15" s="12"/>
      <c r="PAP15" s="12"/>
      <c r="PAQ15" s="13"/>
      <c r="PAR15" s="9"/>
      <c r="PAS15" s="9"/>
      <c r="PAT15" s="9"/>
      <c r="PAU15" s="9"/>
      <c r="PAV15" s="10"/>
      <c r="PAW15" s="11"/>
      <c r="PAX15" s="12"/>
      <c r="PAY15" s="12"/>
      <c r="PAZ15" s="12"/>
      <c r="PBA15" s="13"/>
      <c r="PBB15" s="9"/>
      <c r="PBC15" s="9"/>
      <c r="PBD15" s="9"/>
      <c r="PBE15" s="9"/>
      <c r="PBF15" s="10"/>
      <c r="PBG15" s="11"/>
      <c r="PBH15" s="12"/>
      <c r="PBI15" s="12"/>
      <c r="PBJ15" s="12"/>
      <c r="PBK15" s="13"/>
      <c r="PBL15" s="9"/>
      <c r="PBM15" s="9"/>
      <c r="PBN15" s="9"/>
      <c r="PBO15" s="9"/>
      <c r="PBP15" s="10"/>
      <c r="PBQ15" s="11"/>
      <c r="PBR15" s="12"/>
      <c r="PBS15" s="12"/>
      <c r="PBT15" s="12"/>
      <c r="PBU15" s="13"/>
      <c r="PBV15" s="9"/>
      <c r="PBW15" s="9"/>
      <c r="PBX15" s="9"/>
      <c r="PBY15" s="9"/>
      <c r="PBZ15" s="10"/>
      <c r="PCA15" s="11"/>
      <c r="PCB15" s="12"/>
      <c r="PCC15" s="12"/>
      <c r="PCD15" s="12"/>
      <c r="PCE15" s="13"/>
      <c r="PCF15" s="9"/>
      <c r="PCG15" s="9"/>
      <c r="PCH15" s="9"/>
      <c r="PCI15" s="9"/>
      <c r="PCJ15" s="10"/>
      <c r="PCK15" s="11"/>
      <c r="PCL15" s="12"/>
      <c r="PCM15" s="12"/>
      <c r="PCN15" s="12"/>
      <c r="PCO15" s="13"/>
      <c r="PCP15" s="9"/>
      <c r="PCQ15" s="9"/>
      <c r="PCR15" s="9"/>
      <c r="PCS15" s="9"/>
      <c r="PCT15" s="10"/>
      <c r="PCU15" s="11"/>
      <c r="PCV15" s="12"/>
      <c r="PCW15" s="12"/>
      <c r="PCX15" s="12"/>
      <c r="PCY15" s="13"/>
      <c r="PCZ15" s="9"/>
      <c r="PDA15" s="9"/>
      <c r="PDB15" s="9"/>
      <c r="PDC15" s="9"/>
      <c r="PDD15" s="10"/>
      <c r="PDE15" s="11"/>
      <c r="PDF15" s="12"/>
      <c r="PDG15" s="12"/>
      <c r="PDH15" s="12"/>
      <c r="PDI15" s="13"/>
      <c r="PDJ15" s="9"/>
      <c r="PDK15" s="9"/>
      <c r="PDL15" s="9"/>
      <c r="PDM15" s="9"/>
      <c r="PDN15" s="10"/>
      <c r="PDO15" s="11"/>
      <c r="PDP15" s="12"/>
      <c r="PDQ15" s="12"/>
      <c r="PDR15" s="12"/>
      <c r="PDS15" s="13"/>
      <c r="PDT15" s="9"/>
      <c r="PDU15" s="9"/>
      <c r="PDV15" s="9"/>
      <c r="PDW15" s="9"/>
      <c r="PDX15" s="10"/>
      <c r="PDY15" s="11"/>
      <c r="PDZ15" s="12"/>
      <c r="PEA15" s="12"/>
      <c r="PEB15" s="12"/>
      <c r="PEC15" s="13"/>
      <c r="PED15" s="9"/>
      <c r="PEE15" s="9"/>
      <c r="PEF15" s="9"/>
      <c r="PEG15" s="9"/>
      <c r="PEH15" s="10"/>
      <c r="PEI15" s="11"/>
      <c r="PEJ15" s="12"/>
      <c r="PEK15" s="12"/>
      <c r="PEL15" s="12"/>
      <c r="PEM15" s="13"/>
      <c r="PEN15" s="9"/>
      <c r="PEO15" s="9"/>
      <c r="PEP15" s="9"/>
      <c r="PEQ15" s="9"/>
      <c r="PER15" s="10"/>
      <c r="PES15" s="11"/>
      <c r="PET15" s="12"/>
      <c r="PEU15" s="12"/>
      <c r="PEV15" s="12"/>
      <c r="PEW15" s="13"/>
      <c r="PEX15" s="9"/>
      <c r="PEY15" s="9"/>
      <c r="PEZ15" s="9"/>
      <c r="PFA15" s="9"/>
      <c r="PFB15" s="10"/>
      <c r="PFC15" s="11"/>
      <c r="PFD15" s="12"/>
      <c r="PFE15" s="12"/>
      <c r="PFF15" s="12"/>
      <c r="PFG15" s="13"/>
      <c r="PFH15" s="9"/>
      <c r="PFI15" s="9"/>
      <c r="PFJ15" s="9"/>
      <c r="PFK15" s="9"/>
      <c r="PFL15" s="10"/>
      <c r="PFM15" s="11"/>
      <c r="PFN15" s="12"/>
      <c r="PFO15" s="12"/>
      <c r="PFP15" s="12"/>
      <c r="PFQ15" s="13"/>
      <c r="PFR15" s="9"/>
      <c r="PFS15" s="9"/>
      <c r="PFT15" s="9"/>
      <c r="PFU15" s="9"/>
      <c r="PFV15" s="10"/>
      <c r="PFW15" s="11"/>
      <c r="PFX15" s="12"/>
      <c r="PFY15" s="12"/>
      <c r="PFZ15" s="12"/>
      <c r="PGA15" s="13"/>
      <c r="PGB15" s="9"/>
      <c r="PGC15" s="9"/>
      <c r="PGD15" s="9"/>
      <c r="PGE15" s="9"/>
      <c r="PGF15" s="10"/>
      <c r="PGG15" s="11"/>
      <c r="PGH15" s="12"/>
      <c r="PGI15" s="12"/>
      <c r="PGJ15" s="12"/>
      <c r="PGK15" s="13"/>
      <c r="PGL15" s="9"/>
      <c r="PGM15" s="9"/>
      <c r="PGN15" s="9"/>
      <c r="PGO15" s="9"/>
      <c r="PGP15" s="10"/>
      <c r="PGQ15" s="11"/>
      <c r="PGR15" s="12"/>
      <c r="PGS15" s="12"/>
      <c r="PGT15" s="12"/>
      <c r="PGU15" s="13"/>
      <c r="PGV15" s="9"/>
      <c r="PGW15" s="9"/>
      <c r="PGX15" s="9"/>
      <c r="PGY15" s="9"/>
      <c r="PGZ15" s="10"/>
      <c r="PHA15" s="11"/>
      <c r="PHB15" s="12"/>
      <c r="PHC15" s="12"/>
      <c r="PHD15" s="12"/>
      <c r="PHE15" s="13"/>
      <c r="PHF15" s="9"/>
      <c r="PHG15" s="9"/>
      <c r="PHH15" s="9"/>
      <c r="PHI15" s="9"/>
      <c r="PHJ15" s="10"/>
      <c r="PHK15" s="11"/>
      <c r="PHL15" s="12"/>
      <c r="PHM15" s="12"/>
      <c r="PHN15" s="12"/>
      <c r="PHO15" s="13"/>
      <c r="PHP15" s="9"/>
      <c r="PHQ15" s="9"/>
      <c r="PHR15" s="9"/>
      <c r="PHS15" s="9"/>
      <c r="PHT15" s="10"/>
      <c r="PHU15" s="11"/>
      <c r="PHV15" s="12"/>
      <c r="PHW15" s="12"/>
      <c r="PHX15" s="12"/>
      <c r="PHY15" s="13"/>
      <c r="PHZ15" s="9"/>
      <c r="PIA15" s="9"/>
      <c r="PIB15" s="9"/>
      <c r="PIC15" s="9"/>
      <c r="PID15" s="10"/>
      <c r="PIE15" s="11"/>
      <c r="PIF15" s="12"/>
      <c r="PIG15" s="12"/>
      <c r="PIH15" s="12"/>
      <c r="PII15" s="13"/>
      <c r="PIJ15" s="9"/>
      <c r="PIK15" s="9"/>
      <c r="PIL15" s="9"/>
      <c r="PIM15" s="9"/>
      <c r="PIN15" s="10"/>
      <c r="PIO15" s="11"/>
      <c r="PIP15" s="12"/>
      <c r="PIQ15" s="12"/>
      <c r="PIR15" s="12"/>
      <c r="PIS15" s="13"/>
      <c r="PIT15" s="9"/>
      <c r="PIU15" s="9"/>
      <c r="PIV15" s="9"/>
      <c r="PIW15" s="9"/>
      <c r="PIX15" s="10"/>
      <c r="PIY15" s="11"/>
      <c r="PIZ15" s="12"/>
      <c r="PJA15" s="12"/>
      <c r="PJB15" s="12"/>
      <c r="PJC15" s="13"/>
      <c r="PJD15" s="9"/>
      <c r="PJE15" s="9"/>
      <c r="PJF15" s="9"/>
      <c r="PJG15" s="9"/>
      <c r="PJH15" s="10"/>
      <c r="PJI15" s="11"/>
      <c r="PJJ15" s="12"/>
      <c r="PJK15" s="12"/>
      <c r="PJL15" s="12"/>
      <c r="PJM15" s="13"/>
      <c r="PJN15" s="9"/>
      <c r="PJO15" s="9"/>
      <c r="PJP15" s="9"/>
      <c r="PJQ15" s="9"/>
      <c r="PJR15" s="10"/>
      <c r="PJS15" s="11"/>
      <c r="PJT15" s="12"/>
      <c r="PJU15" s="12"/>
      <c r="PJV15" s="12"/>
      <c r="PJW15" s="13"/>
      <c r="PJX15" s="9"/>
      <c r="PJY15" s="9"/>
      <c r="PJZ15" s="9"/>
      <c r="PKA15" s="9"/>
      <c r="PKB15" s="10"/>
      <c r="PKC15" s="11"/>
      <c r="PKD15" s="12"/>
      <c r="PKE15" s="12"/>
      <c r="PKF15" s="12"/>
      <c r="PKG15" s="13"/>
      <c r="PKH15" s="9"/>
      <c r="PKI15" s="9"/>
      <c r="PKJ15" s="9"/>
      <c r="PKK15" s="9"/>
      <c r="PKL15" s="10"/>
      <c r="PKM15" s="11"/>
      <c r="PKN15" s="12"/>
      <c r="PKO15" s="12"/>
      <c r="PKP15" s="12"/>
      <c r="PKQ15" s="13"/>
      <c r="PKR15" s="9"/>
      <c r="PKS15" s="9"/>
      <c r="PKT15" s="9"/>
      <c r="PKU15" s="9"/>
      <c r="PKV15" s="10"/>
      <c r="PKW15" s="11"/>
      <c r="PKX15" s="12"/>
      <c r="PKY15" s="12"/>
      <c r="PKZ15" s="12"/>
      <c r="PLA15" s="13"/>
      <c r="PLB15" s="9"/>
      <c r="PLC15" s="9"/>
      <c r="PLD15" s="9"/>
      <c r="PLE15" s="9"/>
      <c r="PLF15" s="10"/>
      <c r="PLG15" s="11"/>
      <c r="PLH15" s="12"/>
      <c r="PLI15" s="12"/>
      <c r="PLJ15" s="12"/>
      <c r="PLK15" s="13"/>
      <c r="PLL15" s="9"/>
      <c r="PLM15" s="9"/>
      <c r="PLN15" s="9"/>
      <c r="PLO15" s="9"/>
      <c r="PLP15" s="10"/>
      <c r="PLQ15" s="11"/>
      <c r="PLR15" s="12"/>
      <c r="PLS15" s="12"/>
      <c r="PLT15" s="12"/>
      <c r="PLU15" s="13"/>
      <c r="PLV15" s="9"/>
      <c r="PLW15" s="9"/>
      <c r="PLX15" s="9"/>
      <c r="PLY15" s="9"/>
      <c r="PLZ15" s="10"/>
      <c r="PMA15" s="11"/>
      <c r="PMB15" s="12"/>
      <c r="PMC15" s="12"/>
      <c r="PMD15" s="12"/>
      <c r="PME15" s="13"/>
      <c r="PMF15" s="9"/>
      <c r="PMG15" s="9"/>
      <c r="PMH15" s="9"/>
      <c r="PMI15" s="9"/>
      <c r="PMJ15" s="10"/>
      <c r="PMK15" s="11"/>
      <c r="PML15" s="12"/>
      <c r="PMM15" s="12"/>
      <c r="PMN15" s="12"/>
      <c r="PMO15" s="13"/>
      <c r="PMP15" s="9"/>
      <c r="PMQ15" s="9"/>
      <c r="PMR15" s="9"/>
      <c r="PMS15" s="9"/>
      <c r="PMT15" s="10"/>
      <c r="PMU15" s="11"/>
      <c r="PMV15" s="12"/>
      <c r="PMW15" s="12"/>
      <c r="PMX15" s="12"/>
      <c r="PMY15" s="13"/>
      <c r="PMZ15" s="9"/>
      <c r="PNA15" s="9"/>
      <c r="PNB15" s="9"/>
      <c r="PNC15" s="9"/>
      <c r="PND15" s="10"/>
      <c r="PNE15" s="11"/>
      <c r="PNF15" s="12"/>
      <c r="PNG15" s="12"/>
      <c r="PNH15" s="12"/>
      <c r="PNI15" s="13"/>
      <c r="PNJ15" s="9"/>
      <c r="PNK15" s="9"/>
      <c r="PNL15" s="9"/>
      <c r="PNM15" s="9"/>
      <c r="PNN15" s="10"/>
      <c r="PNO15" s="11"/>
      <c r="PNP15" s="12"/>
      <c r="PNQ15" s="12"/>
      <c r="PNR15" s="12"/>
      <c r="PNS15" s="13"/>
      <c r="PNT15" s="9"/>
      <c r="PNU15" s="9"/>
      <c r="PNV15" s="9"/>
      <c r="PNW15" s="9"/>
      <c r="PNX15" s="10"/>
      <c r="PNY15" s="11"/>
      <c r="PNZ15" s="12"/>
      <c r="POA15" s="12"/>
      <c r="POB15" s="12"/>
      <c r="POC15" s="13"/>
      <c r="POD15" s="9"/>
      <c r="POE15" s="9"/>
      <c r="POF15" s="9"/>
      <c r="POG15" s="9"/>
      <c r="POH15" s="10"/>
      <c r="POI15" s="11"/>
      <c r="POJ15" s="12"/>
      <c r="POK15" s="12"/>
      <c r="POL15" s="12"/>
      <c r="POM15" s="13"/>
      <c r="PON15" s="9"/>
      <c r="POO15" s="9"/>
      <c r="POP15" s="9"/>
      <c r="POQ15" s="9"/>
      <c r="POR15" s="10"/>
      <c r="POS15" s="11"/>
      <c r="POT15" s="12"/>
      <c r="POU15" s="12"/>
      <c r="POV15" s="12"/>
      <c r="POW15" s="13"/>
      <c r="POX15" s="9"/>
      <c r="POY15" s="9"/>
      <c r="POZ15" s="9"/>
      <c r="PPA15" s="9"/>
      <c r="PPB15" s="10"/>
      <c r="PPC15" s="11"/>
      <c r="PPD15" s="12"/>
      <c r="PPE15" s="12"/>
      <c r="PPF15" s="12"/>
      <c r="PPG15" s="13"/>
      <c r="PPH15" s="9"/>
      <c r="PPI15" s="9"/>
      <c r="PPJ15" s="9"/>
      <c r="PPK15" s="9"/>
      <c r="PPL15" s="10"/>
      <c r="PPM15" s="11"/>
      <c r="PPN15" s="12"/>
      <c r="PPO15" s="12"/>
      <c r="PPP15" s="12"/>
      <c r="PPQ15" s="13"/>
      <c r="PPR15" s="9"/>
      <c r="PPS15" s="9"/>
      <c r="PPT15" s="9"/>
      <c r="PPU15" s="9"/>
      <c r="PPV15" s="10"/>
      <c r="PPW15" s="11"/>
      <c r="PPX15" s="12"/>
      <c r="PPY15" s="12"/>
      <c r="PPZ15" s="12"/>
      <c r="PQA15" s="13"/>
      <c r="PQB15" s="9"/>
      <c r="PQC15" s="9"/>
      <c r="PQD15" s="9"/>
      <c r="PQE15" s="9"/>
      <c r="PQF15" s="10"/>
      <c r="PQG15" s="11"/>
      <c r="PQH15" s="12"/>
      <c r="PQI15" s="12"/>
      <c r="PQJ15" s="12"/>
      <c r="PQK15" s="13"/>
      <c r="PQL15" s="9"/>
      <c r="PQM15" s="9"/>
      <c r="PQN15" s="9"/>
      <c r="PQO15" s="9"/>
      <c r="PQP15" s="10"/>
      <c r="PQQ15" s="11"/>
      <c r="PQR15" s="12"/>
      <c r="PQS15" s="12"/>
      <c r="PQT15" s="12"/>
      <c r="PQU15" s="13"/>
      <c r="PQV15" s="9"/>
      <c r="PQW15" s="9"/>
      <c r="PQX15" s="9"/>
      <c r="PQY15" s="9"/>
      <c r="PQZ15" s="10"/>
      <c r="PRA15" s="11"/>
      <c r="PRB15" s="12"/>
      <c r="PRC15" s="12"/>
      <c r="PRD15" s="12"/>
      <c r="PRE15" s="13"/>
      <c r="PRF15" s="9"/>
      <c r="PRG15" s="9"/>
      <c r="PRH15" s="9"/>
      <c r="PRI15" s="9"/>
      <c r="PRJ15" s="10"/>
      <c r="PRK15" s="11"/>
      <c r="PRL15" s="12"/>
      <c r="PRM15" s="12"/>
      <c r="PRN15" s="12"/>
      <c r="PRO15" s="13"/>
      <c r="PRP15" s="9"/>
      <c r="PRQ15" s="9"/>
      <c r="PRR15" s="9"/>
      <c r="PRS15" s="9"/>
      <c r="PRT15" s="10"/>
      <c r="PRU15" s="11"/>
      <c r="PRV15" s="12"/>
      <c r="PRW15" s="12"/>
      <c r="PRX15" s="12"/>
      <c r="PRY15" s="13"/>
      <c r="PRZ15" s="9"/>
      <c r="PSA15" s="9"/>
      <c r="PSB15" s="9"/>
      <c r="PSC15" s="9"/>
      <c r="PSD15" s="10"/>
      <c r="PSE15" s="11"/>
      <c r="PSF15" s="12"/>
      <c r="PSG15" s="12"/>
      <c r="PSH15" s="12"/>
      <c r="PSI15" s="13"/>
      <c r="PSJ15" s="9"/>
      <c r="PSK15" s="9"/>
      <c r="PSL15" s="9"/>
      <c r="PSM15" s="9"/>
      <c r="PSN15" s="10"/>
      <c r="PSO15" s="11"/>
      <c r="PSP15" s="12"/>
      <c r="PSQ15" s="12"/>
      <c r="PSR15" s="12"/>
      <c r="PSS15" s="13"/>
      <c r="PST15" s="9"/>
      <c r="PSU15" s="9"/>
      <c r="PSV15" s="9"/>
      <c r="PSW15" s="9"/>
      <c r="PSX15" s="10"/>
      <c r="PSY15" s="11"/>
      <c r="PSZ15" s="12"/>
      <c r="PTA15" s="12"/>
      <c r="PTB15" s="12"/>
      <c r="PTC15" s="13"/>
      <c r="PTD15" s="9"/>
      <c r="PTE15" s="9"/>
      <c r="PTF15" s="9"/>
      <c r="PTG15" s="9"/>
      <c r="PTH15" s="10"/>
      <c r="PTI15" s="11"/>
      <c r="PTJ15" s="12"/>
      <c r="PTK15" s="12"/>
      <c r="PTL15" s="12"/>
      <c r="PTM15" s="13"/>
      <c r="PTN15" s="9"/>
      <c r="PTO15" s="9"/>
      <c r="PTP15" s="9"/>
      <c r="PTQ15" s="9"/>
      <c r="PTR15" s="10"/>
      <c r="PTS15" s="11"/>
      <c r="PTT15" s="12"/>
      <c r="PTU15" s="12"/>
      <c r="PTV15" s="12"/>
      <c r="PTW15" s="13"/>
      <c r="PTX15" s="9"/>
      <c r="PTY15" s="9"/>
      <c r="PTZ15" s="9"/>
      <c r="PUA15" s="9"/>
      <c r="PUB15" s="10"/>
      <c r="PUC15" s="11"/>
      <c r="PUD15" s="12"/>
      <c r="PUE15" s="12"/>
      <c r="PUF15" s="12"/>
      <c r="PUG15" s="13"/>
      <c r="PUH15" s="9"/>
      <c r="PUI15" s="9"/>
      <c r="PUJ15" s="9"/>
      <c r="PUK15" s="9"/>
      <c r="PUL15" s="10"/>
      <c r="PUM15" s="11"/>
      <c r="PUN15" s="12"/>
      <c r="PUO15" s="12"/>
      <c r="PUP15" s="12"/>
      <c r="PUQ15" s="13"/>
      <c r="PUR15" s="9"/>
      <c r="PUS15" s="9"/>
      <c r="PUT15" s="9"/>
      <c r="PUU15" s="9"/>
      <c r="PUV15" s="10"/>
      <c r="PUW15" s="11"/>
      <c r="PUX15" s="12"/>
      <c r="PUY15" s="12"/>
      <c r="PUZ15" s="12"/>
      <c r="PVA15" s="13"/>
      <c r="PVB15" s="9"/>
      <c r="PVC15" s="9"/>
      <c r="PVD15" s="9"/>
      <c r="PVE15" s="9"/>
      <c r="PVF15" s="10"/>
      <c r="PVG15" s="11"/>
      <c r="PVH15" s="12"/>
      <c r="PVI15" s="12"/>
      <c r="PVJ15" s="12"/>
      <c r="PVK15" s="13"/>
      <c r="PVL15" s="9"/>
      <c r="PVM15" s="9"/>
      <c r="PVN15" s="9"/>
      <c r="PVO15" s="9"/>
      <c r="PVP15" s="10"/>
      <c r="PVQ15" s="11"/>
      <c r="PVR15" s="12"/>
      <c r="PVS15" s="12"/>
      <c r="PVT15" s="12"/>
      <c r="PVU15" s="13"/>
      <c r="PVV15" s="9"/>
      <c r="PVW15" s="9"/>
      <c r="PVX15" s="9"/>
      <c r="PVY15" s="9"/>
      <c r="PVZ15" s="10"/>
      <c r="PWA15" s="11"/>
      <c r="PWB15" s="12"/>
      <c r="PWC15" s="12"/>
      <c r="PWD15" s="12"/>
      <c r="PWE15" s="13"/>
      <c r="PWF15" s="9"/>
      <c r="PWG15" s="9"/>
      <c r="PWH15" s="9"/>
      <c r="PWI15" s="9"/>
      <c r="PWJ15" s="10"/>
      <c r="PWK15" s="11"/>
      <c r="PWL15" s="12"/>
      <c r="PWM15" s="12"/>
      <c r="PWN15" s="12"/>
      <c r="PWO15" s="13"/>
      <c r="PWP15" s="9"/>
      <c r="PWQ15" s="9"/>
      <c r="PWR15" s="9"/>
      <c r="PWS15" s="9"/>
      <c r="PWT15" s="10"/>
      <c r="PWU15" s="11"/>
      <c r="PWV15" s="12"/>
      <c r="PWW15" s="12"/>
      <c r="PWX15" s="12"/>
      <c r="PWY15" s="13"/>
      <c r="PWZ15" s="9"/>
      <c r="PXA15" s="9"/>
      <c r="PXB15" s="9"/>
      <c r="PXC15" s="9"/>
      <c r="PXD15" s="10"/>
      <c r="PXE15" s="11"/>
      <c r="PXF15" s="12"/>
      <c r="PXG15" s="12"/>
      <c r="PXH15" s="12"/>
      <c r="PXI15" s="13"/>
      <c r="PXJ15" s="9"/>
      <c r="PXK15" s="9"/>
      <c r="PXL15" s="9"/>
      <c r="PXM15" s="9"/>
      <c r="PXN15" s="10"/>
      <c r="PXO15" s="11"/>
      <c r="PXP15" s="12"/>
      <c r="PXQ15" s="12"/>
      <c r="PXR15" s="12"/>
      <c r="PXS15" s="13"/>
      <c r="PXT15" s="9"/>
      <c r="PXU15" s="9"/>
      <c r="PXV15" s="9"/>
      <c r="PXW15" s="9"/>
      <c r="PXX15" s="10"/>
      <c r="PXY15" s="11"/>
      <c r="PXZ15" s="12"/>
      <c r="PYA15" s="12"/>
      <c r="PYB15" s="12"/>
      <c r="PYC15" s="13"/>
      <c r="PYD15" s="9"/>
      <c r="PYE15" s="9"/>
      <c r="PYF15" s="9"/>
      <c r="PYG15" s="9"/>
      <c r="PYH15" s="10"/>
      <c r="PYI15" s="11"/>
      <c r="PYJ15" s="12"/>
      <c r="PYK15" s="12"/>
      <c r="PYL15" s="12"/>
      <c r="PYM15" s="13"/>
      <c r="PYN15" s="9"/>
      <c r="PYO15" s="9"/>
      <c r="PYP15" s="9"/>
      <c r="PYQ15" s="9"/>
      <c r="PYR15" s="10"/>
      <c r="PYS15" s="11"/>
      <c r="PYT15" s="12"/>
      <c r="PYU15" s="12"/>
      <c r="PYV15" s="12"/>
      <c r="PYW15" s="13"/>
      <c r="PYX15" s="9"/>
      <c r="PYY15" s="9"/>
      <c r="PYZ15" s="9"/>
      <c r="PZA15" s="9"/>
      <c r="PZB15" s="10"/>
      <c r="PZC15" s="11"/>
      <c r="PZD15" s="12"/>
      <c r="PZE15" s="12"/>
      <c r="PZF15" s="12"/>
      <c r="PZG15" s="13"/>
      <c r="PZH15" s="9"/>
      <c r="PZI15" s="9"/>
      <c r="PZJ15" s="9"/>
      <c r="PZK15" s="9"/>
      <c r="PZL15" s="10"/>
      <c r="PZM15" s="11"/>
      <c r="PZN15" s="12"/>
      <c r="PZO15" s="12"/>
      <c r="PZP15" s="12"/>
      <c r="PZQ15" s="13"/>
      <c r="PZR15" s="9"/>
      <c r="PZS15" s="9"/>
      <c r="PZT15" s="9"/>
      <c r="PZU15" s="9"/>
      <c r="PZV15" s="10"/>
      <c r="PZW15" s="11"/>
      <c r="PZX15" s="12"/>
      <c r="PZY15" s="12"/>
      <c r="PZZ15" s="12"/>
      <c r="QAA15" s="13"/>
      <c r="QAB15" s="9"/>
      <c r="QAC15" s="9"/>
      <c r="QAD15" s="9"/>
      <c r="QAE15" s="9"/>
      <c r="QAF15" s="10"/>
      <c r="QAG15" s="11"/>
      <c r="QAH15" s="12"/>
      <c r="QAI15" s="12"/>
      <c r="QAJ15" s="12"/>
      <c r="QAK15" s="13"/>
      <c r="QAL15" s="9"/>
      <c r="QAM15" s="9"/>
      <c r="QAN15" s="9"/>
      <c r="QAO15" s="9"/>
      <c r="QAP15" s="10"/>
      <c r="QAQ15" s="11"/>
      <c r="QAR15" s="12"/>
      <c r="QAS15" s="12"/>
      <c r="QAT15" s="12"/>
      <c r="QAU15" s="13"/>
      <c r="QAV15" s="9"/>
      <c r="QAW15" s="9"/>
      <c r="QAX15" s="9"/>
      <c r="QAY15" s="9"/>
      <c r="QAZ15" s="10"/>
      <c r="QBA15" s="11"/>
      <c r="QBB15" s="12"/>
      <c r="QBC15" s="12"/>
      <c r="QBD15" s="12"/>
      <c r="QBE15" s="13"/>
      <c r="QBF15" s="9"/>
      <c r="QBG15" s="9"/>
      <c r="QBH15" s="9"/>
      <c r="QBI15" s="9"/>
      <c r="QBJ15" s="10"/>
      <c r="QBK15" s="11"/>
      <c r="QBL15" s="12"/>
      <c r="QBM15" s="12"/>
      <c r="QBN15" s="12"/>
      <c r="QBO15" s="13"/>
      <c r="QBP15" s="9"/>
      <c r="QBQ15" s="9"/>
      <c r="QBR15" s="9"/>
      <c r="QBS15" s="9"/>
      <c r="QBT15" s="10"/>
      <c r="QBU15" s="11"/>
      <c r="QBV15" s="12"/>
      <c r="QBW15" s="12"/>
      <c r="QBX15" s="12"/>
      <c r="QBY15" s="13"/>
      <c r="QBZ15" s="9"/>
      <c r="QCA15" s="9"/>
      <c r="QCB15" s="9"/>
      <c r="QCC15" s="9"/>
      <c r="QCD15" s="10"/>
      <c r="QCE15" s="11"/>
      <c r="QCF15" s="12"/>
      <c r="QCG15" s="12"/>
      <c r="QCH15" s="12"/>
      <c r="QCI15" s="13"/>
      <c r="QCJ15" s="9"/>
      <c r="QCK15" s="9"/>
      <c r="QCL15" s="9"/>
      <c r="QCM15" s="9"/>
      <c r="QCN15" s="10"/>
      <c r="QCO15" s="11"/>
      <c r="QCP15" s="12"/>
      <c r="QCQ15" s="12"/>
      <c r="QCR15" s="12"/>
      <c r="QCS15" s="13"/>
      <c r="QCT15" s="9"/>
      <c r="QCU15" s="9"/>
      <c r="QCV15" s="9"/>
      <c r="QCW15" s="9"/>
      <c r="QCX15" s="10"/>
      <c r="QCY15" s="11"/>
      <c r="QCZ15" s="12"/>
      <c r="QDA15" s="12"/>
      <c r="QDB15" s="12"/>
      <c r="QDC15" s="13"/>
      <c r="QDD15" s="9"/>
      <c r="QDE15" s="9"/>
      <c r="QDF15" s="9"/>
      <c r="QDG15" s="9"/>
      <c r="QDH15" s="10"/>
      <c r="QDI15" s="11"/>
      <c r="QDJ15" s="12"/>
      <c r="QDK15" s="12"/>
      <c r="QDL15" s="12"/>
      <c r="QDM15" s="13"/>
      <c r="QDN15" s="9"/>
      <c r="QDO15" s="9"/>
      <c r="QDP15" s="9"/>
      <c r="QDQ15" s="9"/>
      <c r="QDR15" s="10"/>
      <c r="QDS15" s="11"/>
      <c r="QDT15" s="12"/>
      <c r="QDU15" s="12"/>
      <c r="QDV15" s="12"/>
      <c r="QDW15" s="13"/>
      <c r="QDX15" s="9"/>
      <c r="QDY15" s="9"/>
      <c r="QDZ15" s="9"/>
      <c r="QEA15" s="9"/>
      <c r="QEB15" s="10"/>
      <c r="QEC15" s="11"/>
      <c r="QED15" s="12"/>
      <c r="QEE15" s="12"/>
      <c r="QEF15" s="12"/>
      <c r="QEG15" s="13"/>
      <c r="QEH15" s="9"/>
      <c r="QEI15" s="9"/>
      <c r="QEJ15" s="9"/>
      <c r="QEK15" s="9"/>
      <c r="QEL15" s="10"/>
      <c r="QEM15" s="11"/>
      <c r="QEN15" s="12"/>
      <c r="QEO15" s="12"/>
      <c r="QEP15" s="12"/>
      <c r="QEQ15" s="13"/>
      <c r="QER15" s="9"/>
      <c r="QES15" s="9"/>
      <c r="QET15" s="9"/>
      <c r="QEU15" s="9"/>
      <c r="QEV15" s="10"/>
      <c r="QEW15" s="11"/>
      <c r="QEX15" s="12"/>
      <c r="QEY15" s="12"/>
      <c r="QEZ15" s="12"/>
      <c r="QFA15" s="13"/>
      <c r="QFB15" s="9"/>
      <c r="QFC15" s="9"/>
      <c r="QFD15" s="9"/>
      <c r="QFE15" s="9"/>
      <c r="QFF15" s="10"/>
      <c r="QFG15" s="11"/>
      <c r="QFH15" s="12"/>
      <c r="QFI15" s="12"/>
      <c r="QFJ15" s="12"/>
      <c r="QFK15" s="13"/>
      <c r="QFL15" s="9"/>
      <c r="QFM15" s="9"/>
      <c r="QFN15" s="9"/>
      <c r="QFO15" s="9"/>
      <c r="QFP15" s="10"/>
      <c r="QFQ15" s="11"/>
      <c r="QFR15" s="12"/>
      <c r="QFS15" s="12"/>
      <c r="QFT15" s="12"/>
      <c r="QFU15" s="13"/>
      <c r="QFV15" s="9"/>
      <c r="QFW15" s="9"/>
      <c r="QFX15" s="9"/>
      <c r="QFY15" s="9"/>
      <c r="QFZ15" s="10"/>
      <c r="QGA15" s="11"/>
      <c r="QGB15" s="12"/>
      <c r="QGC15" s="12"/>
      <c r="QGD15" s="12"/>
      <c r="QGE15" s="13"/>
      <c r="QGF15" s="9"/>
      <c r="QGG15" s="9"/>
      <c r="QGH15" s="9"/>
      <c r="QGI15" s="9"/>
      <c r="QGJ15" s="10"/>
      <c r="QGK15" s="11"/>
      <c r="QGL15" s="12"/>
      <c r="QGM15" s="12"/>
      <c r="QGN15" s="12"/>
      <c r="QGO15" s="13"/>
      <c r="QGP15" s="9"/>
      <c r="QGQ15" s="9"/>
      <c r="QGR15" s="9"/>
      <c r="QGS15" s="9"/>
      <c r="QGT15" s="10"/>
      <c r="QGU15" s="11"/>
      <c r="QGV15" s="12"/>
      <c r="QGW15" s="12"/>
      <c r="QGX15" s="12"/>
      <c r="QGY15" s="13"/>
      <c r="QGZ15" s="9"/>
      <c r="QHA15" s="9"/>
      <c r="QHB15" s="9"/>
      <c r="QHC15" s="9"/>
      <c r="QHD15" s="10"/>
      <c r="QHE15" s="11"/>
      <c r="QHF15" s="12"/>
      <c r="QHG15" s="12"/>
      <c r="QHH15" s="12"/>
      <c r="QHI15" s="13"/>
      <c r="QHJ15" s="9"/>
      <c r="QHK15" s="9"/>
      <c r="QHL15" s="9"/>
      <c r="QHM15" s="9"/>
      <c r="QHN15" s="10"/>
      <c r="QHO15" s="11"/>
      <c r="QHP15" s="12"/>
      <c r="QHQ15" s="12"/>
      <c r="QHR15" s="12"/>
      <c r="QHS15" s="13"/>
      <c r="QHT15" s="9"/>
      <c r="QHU15" s="9"/>
      <c r="QHV15" s="9"/>
      <c r="QHW15" s="9"/>
      <c r="QHX15" s="10"/>
      <c r="QHY15" s="11"/>
      <c r="QHZ15" s="12"/>
      <c r="QIA15" s="12"/>
      <c r="QIB15" s="12"/>
      <c r="QIC15" s="13"/>
      <c r="QID15" s="9"/>
      <c r="QIE15" s="9"/>
      <c r="QIF15" s="9"/>
      <c r="QIG15" s="9"/>
      <c r="QIH15" s="10"/>
      <c r="QII15" s="11"/>
      <c r="QIJ15" s="12"/>
      <c r="QIK15" s="12"/>
      <c r="QIL15" s="12"/>
      <c r="QIM15" s="13"/>
      <c r="QIN15" s="9"/>
      <c r="QIO15" s="9"/>
      <c r="QIP15" s="9"/>
      <c r="QIQ15" s="9"/>
      <c r="QIR15" s="10"/>
      <c r="QIS15" s="11"/>
      <c r="QIT15" s="12"/>
      <c r="QIU15" s="12"/>
      <c r="QIV15" s="12"/>
      <c r="QIW15" s="13"/>
      <c r="QIX15" s="9"/>
      <c r="QIY15" s="9"/>
      <c r="QIZ15" s="9"/>
      <c r="QJA15" s="9"/>
      <c r="QJB15" s="10"/>
      <c r="QJC15" s="11"/>
      <c r="QJD15" s="12"/>
      <c r="QJE15" s="12"/>
      <c r="QJF15" s="12"/>
      <c r="QJG15" s="13"/>
      <c r="QJH15" s="9"/>
      <c r="QJI15" s="9"/>
      <c r="QJJ15" s="9"/>
      <c r="QJK15" s="9"/>
      <c r="QJL15" s="10"/>
      <c r="QJM15" s="11"/>
      <c r="QJN15" s="12"/>
      <c r="QJO15" s="12"/>
      <c r="QJP15" s="12"/>
      <c r="QJQ15" s="13"/>
      <c r="QJR15" s="9"/>
      <c r="QJS15" s="9"/>
      <c r="QJT15" s="9"/>
      <c r="QJU15" s="9"/>
      <c r="QJV15" s="10"/>
      <c r="QJW15" s="11"/>
      <c r="QJX15" s="12"/>
      <c r="QJY15" s="12"/>
      <c r="QJZ15" s="12"/>
      <c r="QKA15" s="13"/>
      <c r="QKB15" s="9"/>
      <c r="QKC15" s="9"/>
      <c r="QKD15" s="9"/>
      <c r="QKE15" s="9"/>
      <c r="QKF15" s="10"/>
      <c r="QKG15" s="11"/>
      <c r="QKH15" s="12"/>
      <c r="QKI15" s="12"/>
      <c r="QKJ15" s="12"/>
      <c r="QKK15" s="13"/>
      <c r="QKL15" s="9"/>
      <c r="QKM15" s="9"/>
      <c r="QKN15" s="9"/>
      <c r="QKO15" s="9"/>
      <c r="QKP15" s="10"/>
      <c r="QKQ15" s="11"/>
      <c r="QKR15" s="12"/>
      <c r="QKS15" s="12"/>
      <c r="QKT15" s="12"/>
      <c r="QKU15" s="13"/>
      <c r="QKV15" s="9"/>
      <c r="QKW15" s="9"/>
      <c r="QKX15" s="9"/>
      <c r="QKY15" s="9"/>
      <c r="QKZ15" s="10"/>
      <c r="QLA15" s="11"/>
      <c r="QLB15" s="12"/>
      <c r="QLC15" s="12"/>
      <c r="QLD15" s="12"/>
      <c r="QLE15" s="13"/>
      <c r="QLF15" s="9"/>
      <c r="QLG15" s="9"/>
      <c r="QLH15" s="9"/>
      <c r="QLI15" s="9"/>
      <c r="QLJ15" s="10"/>
      <c r="QLK15" s="11"/>
      <c r="QLL15" s="12"/>
      <c r="QLM15" s="12"/>
      <c r="QLN15" s="12"/>
      <c r="QLO15" s="13"/>
      <c r="QLP15" s="9"/>
      <c r="QLQ15" s="9"/>
      <c r="QLR15" s="9"/>
      <c r="QLS15" s="9"/>
      <c r="QLT15" s="10"/>
      <c r="QLU15" s="11"/>
      <c r="QLV15" s="12"/>
      <c r="QLW15" s="12"/>
      <c r="QLX15" s="12"/>
      <c r="QLY15" s="13"/>
      <c r="QLZ15" s="9"/>
      <c r="QMA15" s="9"/>
      <c r="QMB15" s="9"/>
      <c r="QMC15" s="9"/>
      <c r="QMD15" s="10"/>
      <c r="QME15" s="11"/>
      <c r="QMF15" s="12"/>
      <c r="QMG15" s="12"/>
      <c r="QMH15" s="12"/>
      <c r="QMI15" s="13"/>
      <c r="QMJ15" s="9"/>
      <c r="QMK15" s="9"/>
      <c r="QML15" s="9"/>
      <c r="QMM15" s="9"/>
      <c r="QMN15" s="10"/>
      <c r="QMO15" s="11"/>
      <c r="QMP15" s="12"/>
      <c r="QMQ15" s="12"/>
      <c r="QMR15" s="12"/>
      <c r="QMS15" s="13"/>
      <c r="QMT15" s="9"/>
      <c r="QMU15" s="9"/>
      <c r="QMV15" s="9"/>
      <c r="QMW15" s="9"/>
      <c r="QMX15" s="10"/>
      <c r="QMY15" s="11"/>
      <c r="QMZ15" s="12"/>
      <c r="QNA15" s="12"/>
      <c r="QNB15" s="12"/>
      <c r="QNC15" s="13"/>
      <c r="QND15" s="9"/>
      <c r="QNE15" s="9"/>
      <c r="QNF15" s="9"/>
      <c r="QNG15" s="9"/>
      <c r="QNH15" s="10"/>
      <c r="QNI15" s="11"/>
      <c r="QNJ15" s="12"/>
      <c r="QNK15" s="12"/>
      <c r="QNL15" s="12"/>
      <c r="QNM15" s="13"/>
      <c r="QNN15" s="9"/>
      <c r="QNO15" s="9"/>
      <c r="QNP15" s="9"/>
      <c r="QNQ15" s="9"/>
      <c r="QNR15" s="10"/>
      <c r="QNS15" s="11"/>
      <c r="QNT15" s="12"/>
      <c r="QNU15" s="12"/>
      <c r="QNV15" s="12"/>
      <c r="QNW15" s="13"/>
      <c r="QNX15" s="9"/>
      <c r="QNY15" s="9"/>
      <c r="QNZ15" s="9"/>
      <c r="QOA15" s="9"/>
      <c r="QOB15" s="10"/>
      <c r="QOC15" s="11"/>
      <c r="QOD15" s="12"/>
      <c r="QOE15" s="12"/>
      <c r="QOF15" s="12"/>
      <c r="QOG15" s="13"/>
      <c r="QOH15" s="9"/>
      <c r="QOI15" s="9"/>
      <c r="QOJ15" s="9"/>
      <c r="QOK15" s="9"/>
      <c r="QOL15" s="10"/>
      <c r="QOM15" s="11"/>
      <c r="QON15" s="12"/>
      <c r="QOO15" s="12"/>
      <c r="QOP15" s="12"/>
      <c r="QOQ15" s="13"/>
      <c r="QOR15" s="9"/>
      <c r="QOS15" s="9"/>
      <c r="QOT15" s="9"/>
      <c r="QOU15" s="9"/>
      <c r="QOV15" s="10"/>
      <c r="QOW15" s="11"/>
      <c r="QOX15" s="12"/>
      <c r="QOY15" s="12"/>
      <c r="QOZ15" s="12"/>
      <c r="QPA15" s="13"/>
      <c r="QPB15" s="9"/>
      <c r="QPC15" s="9"/>
      <c r="QPD15" s="9"/>
      <c r="QPE15" s="9"/>
      <c r="QPF15" s="10"/>
      <c r="QPG15" s="11"/>
      <c r="QPH15" s="12"/>
      <c r="QPI15" s="12"/>
      <c r="QPJ15" s="12"/>
      <c r="QPK15" s="13"/>
      <c r="QPL15" s="9"/>
      <c r="QPM15" s="9"/>
      <c r="QPN15" s="9"/>
      <c r="QPO15" s="9"/>
      <c r="QPP15" s="10"/>
      <c r="QPQ15" s="11"/>
      <c r="QPR15" s="12"/>
      <c r="QPS15" s="12"/>
      <c r="QPT15" s="12"/>
      <c r="QPU15" s="13"/>
      <c r="QPV15" s="9"/>
      <c r="QPW15" s="9"/>
      <c r="QPX15" s="9"/>
      <c r="QPY15" s="9"/>
      <c r="QPZ15" s="10"/>
      <c r="QQA15" s="11"/>
      <c r="QQB15" s="12"/>
      <c r="QQC15" s="12"/>
      <c r="QQD15" s="12"/>
      <c r="QQE15" s="13"/>
      <c r="QQF15" s="9"/>
      <c r="QQG15" s="9"/>
      <c r="QQH15" s="9"/>
      <c r="QQI15" s="9"/>
      <c r="QQJ15" s="10"/>
      <c r="QQK15" s="11"/>
      <c r="QQL15" s="12"/>
      <c r="QQM15" s="12"/>
      <c r="QQN15" s="12"/>
      <c r="QQO15" s="13"/>
      <c r="QQP15" s="9"/>
      <c r="QQQ15" s="9"/>
      <c r="QQR15" s="9"/>
      <c r="QQS15" s="9"/>
      <c r="QQT15" s="10"/>
      <c r="QQU15" s="11"/>
      <c r="QQV15" s="12"/>
      <c r="QQW15" s="12"/>
      <c r="QQX15" s="12"/>
      <c r="QQY15" s="13"/>
      <c r="QQZ15" s="9"/>
      <c r="QRA15" s="9"/>
      <c r="QRB15" s="9"/>
      <c r="QRC15" s="9"/>
      <c r="QRD15" s="10"/>
      <c r="QRE15" s="11"/>
      <c r="QRF15" s="12"/>
      <c r="QRG15" s="12"/>
      <c r="QRH15" s="12"/>
      <c r="QRI15" s="13"/>
      <c r="QRJ15" s="9"/>
      <c r="QRK15" s="9"/>
      <c r="QRL15" s="9"/>
      <c r="QRM15" s="9"/>
      <c r="QRN15" s="10"/>
      <c r="QRO15" s="11"/>
      <c r="QRP15" s="12"/>
      <c r="QRQ15" s="12"/>
      <c r="QRR15" s="12"/>
      <c r="QRS15" s="13"/>
      <c r="QRT15" s="9"/>
      <c r="QRU15" s="9"/>
      <c r="QRV15" s="9"/>
      <c r="QRW15" s="9"/>
      <c r="QRX15" s="10"/>
      <c r="QRY15" s="11"/>
      <c r="QRZ15" s="12"/>
      <c r="QSA15" s="12"/>
      <c r="QSB15" s="12"/>
      <c r="QSC15" s="13"/>
      <c r="QSD15" s="9"/>
      <c r="QSE15" s="9"/>
      <c r="QSF15" s="9"/>
      <c r="QSG15" s="9"/>
      <c r="QSH15" s="10"/>
      <c r="QSI15" s="11"/>
      <c r="QSJ15" s="12"/>
      <c r="QSK15" s="12"/>
      <c r="QSL15" s="12"/>
      <c r="QSM15" s="13"/>
      <c r="QSN15" s="9"/>
      <c r="QSO15" s="9"/>
      <c r="QSP15" s="9"/>
      <c r="QSQ15" s="9"/>
      <c r="QSR15" s="10"/>
      <c r="QSS15" s="11"/>
      <c r="QST15" s="12"/>
      <c r="QSU15" s="12"/>
      <c r="QSV15" s="12"/>
      <c r="QSW15" s="13"/>
      <c r="QSX15" s="9"/>
      <c r="QSY15" s="9"/>
      <c r="QSZ15" s="9"/>
      <c r="QTA15" s="9"/>
      <c r="QTB15" s="10"/>
      <c r="QTC15" s="11"/>
      <c r="QTD15" s="12"/>
      <c r="QTE15" s="12"/>
      <c r="QTF15" s="12"/>
      <c r="QTG15" s="13"/>
      <c r="QTH15" s="9"/>
      <c r="QTI15" s="9"/>
      <c r="QTJ15" s="9"/>
      <c r="QTK15" s="9"/>
      <c r="QTL15" s="10"/>
      <c r="QTM15" s="11"/>
      <c r="QTN15" s="12"/>
      <c r="QTO15" s="12"/>
      <c r="QTP15" s="12"/>
      <c r="QTQ15" s="13"/>
      <c r="QTR15" s="9"/>
      <c r="QTS15" s="9"/>
      <c r="QTT15" s="9"/>
      <c r="QTU15" s="9"/>
      <c r="QTV15" s="10"/>
      <c r="QTW15" s="11"/>
      <c r="QTX15" s="12"/>
      <c r="QTY15" s="12"/>
      <c r="QTZ15" s="12"/>
      <c r="QUA15" s="13"/>
      <c r="QUB15" s="9"/>
      <c r="QUC15" s="9"/>
      <c r="QUD15" s="9"/>
      <c r="QUE15" s="9"/>
      <c r="QUF15" s="10"/>
      <c r="QUG15" s="11"/>
      <c r="QUH15" s="12"/>
      <c r="QUI15" s="12"/>
      <c r="QUJ15" s="12"/>
      <c r="QUK15" s="13"/>
      <c r="QUL15" s="9"/>
      <c r="QUM15" s="9"/>
      <c r="QUN15" s="9"/>
      <c r="QUO15" s="9"/>
      <c r="QUP15" s="10"/>
      <c r="QUQ15" s="11"/>
      <c r="QUR15" s="12"/>
      <c r="QUS15" s="12"/>
      <c r="QUT15" s="12"/>
      <c r="QUU15" s="13"/>
      <c r="QUV15" s="9"/>
      <c r="QUW15" s="9"/>
      <c r="QUX15" s="9"/>
      <c r="QUY15" s="9"/>
      <c r="QUZ15" s="10"/>
      <c r="QVA15" s="11"/>
      <c r="QVB15" s="12"/>
      <c r="QVC15" s="12"/>
      <c r="QVD15" s="12"/>
      <c r="QVE15" s="13"/>
      <c r="QVF15" s="9"/>
      <c r="QVG15" s="9"/>
      <c r="QVH15" s="9"/>
      <c r="QVI15" s="9"/>
      <c r="QVJ15" s="10"/>
      <c r="QVK15" s="11"/>
      <c r="QVL15" s="12"/>
      <c r="QVM15" s="12"/>
      <c r="QVN15" s="12"/>
      <c r="QVO15" s="13"/>
      <c r="QVP15" s="9"/>
      <c r="QVQ15" s="9"/>
      <c r="QVR15" s="9"/>
      <c r="QVS15" s="9"/>
      <c r="QVT15" s="10"/>
      <c r="QVU15" s="11"/>
      <c r="QVV15" s="12"/>
      <c r="QVW15" s="12"/>
      <c r="QVX15" s="12"/>
      <c r="QVY15" s="13"/>
      <c r="QVZ15" s="9"/>
      <c r="QWA15" s="9"/>
      <c r="QWB15" s="9"/>
      <c r="QWC15" s="9"/>
      <c r="QWD15" s="10"/>
      <c r="QWE15" s="11"/>
      <c r="QWF15" s="12"/>
      <c r="QWG15" s="12"/>
      <c r="QWH15" s="12"/>
      <c r="QWI15" s="13"/>
      <c r="QWJ15" s="9"/>
      <c r="QWK15" s="9"/>
      <c r="QWL15" s="9"/>
      <c r="QWM15" s="9"/>
      <c r="QWN15" s="10"/>
      <c r="QWO15" s="11"/>
      <c r="QWP15" s="12"/>
      <c r="QWQ15" s="12"/>
      <c r="QWR15" s="12"/>
      <c r="QWS15" s="13"/>
      <c r="QWT15" s="9"/>
      <c r="QWU15" s="9"/>
      <c r="QWV15" s="9"/>
      <c r="QWW15" s="9"/>
      <c r="QWX15" s="10"/>
      <c r="QWY15" s="11"/>
      <c r="QWZ15" s="12"/>
      <c r="QXA15" s="12"/>
      <c r="QXB15" s="12"/>
      <c r="QXC15" s="13"/>
      <c r="QXD15" s="9"/>
      <c r="QXE15" s="9"/>
      <c r="QXF15" s="9"/>
      <c r="QXG15" s="9"/>
      <c r="QXH15" s="10"/>
      <c r="QXI15" s="11"/>
      <c r="QXJ15" s="12"/>
      <c r="QXK15" s="12"/>
      <c r="QXL15" s="12"/>
      <c r="QXM15" s="13"/>
      <c r="QXN15" s="9"/>
      <c r="QXO15" s="9"/>
      <c r="QXP15" s="9"/>
      <c r="QXQ15" s="9"/>
      <c r="QXR15" s="10"/>
      <c r="QXS15" s="11"/>
      <c r="QXT15" s="12"/>
      <c r="QXU15" s="12"/>
      <c r="QXV15" s="12"/>
      <c r="QXW15" s="13"/>
      <c r="QXX15" s="9"/>
      <c r="QXY15" s="9"/>
      <c r="QXZ15" s="9"/>
      <c r="QYA15" s="9"/>
      <c r="QYB15" s="10"/>
      <c r="QYC15" s="11"/>
      <c r="QYD15" s="12"/>
      <c r="QYE15" s="12"/>
      <c r="QYF15" s="12"/>
      <c r="QYG15" s="13"/>
      <c r="QYH15" s="9"/>
      <c r="QYI15" s="9"/>
      <c r="QYJ15" s="9"/>
      <c r="QYK15" s="9"/>
      <c r="QYL15" s="10"/>
      <c r="QYM15" s="11"/>
      <c r="QYN15" s="12"/>
      <c r="QYO15" s="12"/>
      <c r="QYP15" s="12"/>
      <c r="QYQ15" s="13"/>
      <c r="QYR15" s="9"/>
      <c r="QYS15" s="9"/>
      <c r="QYT15" s="9"/>
      <c r="QYU15" s="9"/>
      <c r="QYV15" s="10"/>
      <c r="QYW15" s="11"/>
      <c r="QYX15" s="12"/>
      <c r="QYY15" s="12"/>
      <c r="QYZ15" s="12"/>
      <c r="QZA15" s="13"/>
      <c r="QZB15" s="9"/>
      <c r="QZC15" s="9"/>
      <c r="QZD15" s="9"/>
      <c r="QZE15" s="9"/>
      <c r="QZF15" s="10"/>
      <c r="QZG15" s="11"/>
      <c r="QZH15" s="12"/>
      <c r="QZI15" s="12"/>
      <c r="QZJ15" s="12"/>
      <c r="QZK15" s="13"/>
      <c r="QZL15" s="9"/>
      <c r="QZM15" s="9"/>
      <c r="QZN15" s="9"/>
      <c r="QZO15" s="9"/>
      <c r="QZP15" s="10"/>
      <c r="QZQ15" s="11"/>
      <c r="QZR15" s="12"/>
      <c r="QZS15" s="12"/>
      <c r="QZT15" s="12"/>
      <c r="QZU15" s="13"/>
      <c r="QZV15" s="9"/>
      <c r="QZW15" s="9"/>
      <c r="QZX15" s="9"/>
      <c r="QZY15" s="9"/>
      <c r="QZZ15" s="10"/>
      <c r="RAA15" s="11"/>
      <c r="RAB15" s="12"/>
      <c r="RAC15" s="12"/>
      <c r="RAD15" s="12"/>
      <c r="RAE15" s="13"/>
      <c r="RAF15" s="9"/>
      <c r="RAG15" s="9"/>
      <c r="RAH15" s="9"/>
      <c r="RAI15" s="9"/>
      <c r="RAJ15" s="10"/>
      <c r="RAK15" s="11"/>
      <c r="RAL15" s="12"/>
      <c r="RAM15" s="12"/>
      <c r="RAN15" s="12"/>
      <c r="RAO15" s="13"/>
      <c r="RAP15" s="9"/>
      <c r="RAQ15" s="9"/>
      <c r="RAR15" s="9"/>
      <c r="RAS15" s="9"/>
      <c r="RAT15" s="10"/>
      <c r="RAU15" s="11"/>
      <c r="RAV15" s="12"/>
      <c r="RAW15" s="12"/>
      <c r="RAX15" s="12"/>
      <c r="RAY15" s="13"/>
      <c r="RAZ15" s="9"/>
      <c r="RBA15" s="9"/>
      <c r="RBB15" s="9"/>
      <c r="RBC15" s="9"/>
      <c r="RBD15" s="10"/>
      <c r="RBE15" s="11"/>
      <c r="RBF15" s="12"/>
      <c r="RBG15" s="12"/>
      <c r="RBH15" s="12"/>
      <c r="RBI15" s="13"/>
      <c r="RBJ15" s="9"/>
      <c r="RBK15" s="9"/>
      <c r="RBL15" s="9"/>
      <c r="RBM15" s="9"/>
      <c r="RBN15" s="10"/>
      <c r="RBO15" s="11"/>
      <c r="RBP15" s="12"/>
      <c r="RBQ15" s="12"/>
      <c r="RBR15" s="12"/>
      <c r="RBS15" s="13"/>
      <c r="RBT15" s="9"/>
      <c r="RBU15" s="9"/>
      <c r="RBV15" s="9"/>
      <c r="RBW15" s="9"/>
      <c r="RBX15" s="10"/>
      <c r="RBY15" s="11"/>
      <c r="RBZ15" s="12"/>
      <c r="RCA15" s="12"/>
      <c r="RCB15" s="12"/>
      <c r="RCC15" s="13"/>
      <c r="RCD15" s="9"/>
      <c r="RCE15" s="9"/>
      <c r="RCF15" s="9"/>
      <c r="RCG15" s="9"/>
      <c r="RCH15" s="10"/>
      <c r="RCI15" s="11"/>
      <c r="RCJ15" s="12"/>
      <c r="RCK15" s="12"/>
      <c r="RCL15" s="12"/>
      <c r="RCM15" s="13"/>
      <c r="RCN15" s="9"/>
      <c r="RCO15" s="9"/>
      <c r="RCP15" s="9"/>
      <c r="RCQ15" s="9"/>
      <c r="RCR15" s="10"/>
      <c r="RCS15" s="11"/>
      <c r="RCT15" s="12"/>
      <c r="RCU15" s="12"/>
      <c r="RCV15" s="12"/>
      <c r="RCW15" s="13"/>
      <c r="RCX15" s="9"/>
      <c r="RCY15" s="9"/>
      <c r="RCZ15" s="9"/>
      <c r="RDA15" s="9"/>
      <c r="RDB15" s="10"/>
      <c r="RDC15" s="11"/>
      <c r="RDD15" s="12"/>
      <c r="RDE15" s="12"/>
      <c r="RDF15" s="12"/>
      <c r="RDG15" s="13"/>
      <c r="RDH15" s="9"/>
      <c r="RDI15" s="9"/>
      <c r="RDJ15" s="9"/>
      <c r="RDK15" s="9"/>
      <c r="RDL15" s="10"/>
      <c r="RDM15" s="11"/>
      <c r="RDN15" s="12"/>
      <c r="RDO15" s="12"/>
      <c r="RDP15" s="12"/>
      <c r="RDQ15" s="13"/>
      <c r="RDR15" s="9"/>
      <c r="RDS15" s="9"/>
      <c r="RDT15" s="9"/>
      <c r="RDU15" s="9"/>
      <c r="RDV15" s="10"/>
      <c r="RDW15" s="11"/>
      <c r="RDX15" s="12"/>
      <c r="RDY15" s="12"/>
      <c r="RDZ15" s="12"/>
      <c r="REA15" s="13"/>
      <c r="REB15" s="9"/>
      <c r="REC15" s="9"/>
      <c r="RED15" s="9"/>
      <c r="REE15" s="9"/>
      <c r="REF15" s="10"/>
      <c r="REG15" s="11"/>
      <c r="REH15" s="12"/>
      <c r="REI15" s="12"/>
      <c r="REJ15" s="12"/>
      <c r="REK15" s="13"/>
      <c r="REL15" s="9"/>
      <c r="REM15" s="9"/>
      <c r="REN15" s="9"/>
      <c r="REO15" s="9"/>
      <c r="REP15" s="10"/>
      <c r="REQ15" s="11"/>
      <c r="RER15" s="12"/>
      <c r="RES15" s="12"/>
      <c r="RET15" s="12"/>
      <c r="REU15" s="13"/>
      <c r="REV15" s="9"/>
      <c r="REW15" s="9"/>
      <c r="REX15" s="9"/>
      <c r="REY15" s="9"/>
      <c r="REZ15" s="10"/>
      <c r="RFA15" s="11"/>
      <c r="RFB15" s="12"/>
      <c r="RFC15" s="12"/>
      <c r="RFD15" s="12"/>
      <c r="RFE15" s="13"/>
      <c r="RFF15" s="9"/>
      <c r="RFG15" s="9"/>
      <c r="RFH15" s="9"/>
      <c r="RFI15" s="9"/>
      <c r="RFJ15" s="10"/>
      <c r="RFK15" s="11"/>
      <c r="RFL15" s="12"/>
      <c r="RFM15" s="12"/>
      <c r="RFN15" s="12"/>
      <c r="RFO15" s="13"/>
      <c r="RFP15" s="9"/>
      <c r="RFQ15" s="9"/>
      <c r="RFR15" s="9"/>
      <c r="RFS15" s="9"/>
      <c r="RFT15" s="10"/>
      <c r="RFU15" s="11"/>
      <c r="RFV15" s="12"/>
      <c r="RFW15" s="12"/>
      <c r="RFX15" s="12"/>
      <c r="RFY15" s="13"/>
      <c r="RFZ15" s="9"/>
      <c r="RGA15" s="9"/>
      <c r="RGB15" s="9"/>
      <c r="RGC15" s="9"/>
      <c r="RGD15" s="10"/>
      <c r="RGE15" s="11"/>
      <c r="RGF15" s="12"/>
      <c r="RGG15" s="12"/>
      <c r="RGH15" s="12"/>
      <c r="RGI15" s="13"/>
      <c r="RGJ15" s="9"/>
      <c r="RGK15" s="9"/>
      <c r="RGL15" s="9"/>
      <c r="RGM15" s="9"/>
      <c r="RGN15" s="10"/>
      <c r="RGO15" s="11"/>
      <c r="RGP15" s="12"/>
      <c r="RGQ15" s="12"/>
      <c r="RGR15" s="12"/>
      <c r="RGS15" s="13"/>
      <c r="RGT15" s="9"/>
      <c r="RGU15" s="9"/>
      <c r="RGV15" s="9"/>
      <c r="RGW15" s="9"/>
      <c r="RGX15" s="10"/>
      <c r="RGY15" s="11"/>
      <c r="RGZ15" s="12"/>
      <c r="RHA15" s="12"/>
      <c r="RHB15" s="12"/>
      <c r="RHC15" s="13"/>
      <c r="RHD15" s="9"/>
      <c r="RHE15" s="9"/>
      <c r="RHF15" s="9"/>
      <c r="RHG15" s="9"/>
      <c r="RHH15" s="10"/>
      <c r="RHI15" s="11"/>
      <c r="RHJ15" s="12"/>
      <c r="RHK15" s="12"/>
      <c r="RHL15" s="12"/>
      <c r="RHM15" s="13"/>
      <c r="RHN15" s="9"/>
      <c r="RHO15" s="9"/>
      <c r="RHP15" s="9"/>
      <c r="RHQ15" s="9"/>
      <c r="RHR15" s="10"/>
      <c r="RHS15" s="11"/>
      <c r="RHT15" s="12"/>
      <c r="RHU15" s="12"/>
      <c r="RHV15" s="12"/>
      <c r="RHW15" s="13"/>
      <c r="RHX15" s="9"/>
      <c r="RHY15" s="9"/>
      <c r="RHZ15" s="9"/>
      <c r="RIA15" s="9"/>
      <c r="RIB15" s="10"/>
      <c r="RIC15" s="11"/>
      <c r="RID15" s="12"/>
      <c r="RIE15" s="12"/>
      <c r="RIF15" s="12"/>
      <c r="RIG15" s="13"/>
      <c r="RIH15" s="9"/>
      <c r="RII15" s="9"/>
      <c r="RIJ15" s="9"/>
      <c r="RIK15" s="9"/>
      <c r="RIL15" s="10"/>
      <c r="RIM15" s="11"/>
      <c r="RIN15" s="12"/>
      <c r="RIO15" s="12"/>
      <c r="RIP15" s="12"/>
      <c r="RIQ15" s="13"/>
      <c r="RIR15" s="9"/>
      <c r="RIS15" s="9"/>
      <c r="RIT15" s="9"/>
      <c r="RIU15" s="9"/>
      <c r="RIV15" s="10"/>
      <c r="RIW15" s="11"/>
      <c r="RIX15" s="12"/>
      <c r="RIY15" s="12"/>
      <c r="RIZ15" s="12"/>
      <c r="RJA15" s="13"/>
      <c r="RJB15" s="9"/>
      <c r="RJC15" s="9"/>
      <c r="RJD15" s="9"/>
      <c r="RJE15" s="9"/>
      <c r="RJF15" s="10"/>
      <c r="RJG15" s="11"/>
      <c r="RJH15" s="12"/>
      <c r="RJI15" s="12"/>
      <c r="RJJ15" s="12"/>
      <c r="RJK15" s="13"/>
      <c r="RJL15" s="9"/>
      <c r="RJM15" s="9"/>
      <c r="RJN15" s="9"/>
      <c r="RJO15" s="9"/>
      <c r="RJP15" s="10"/>
      <c r="RJQ15" s="11"/>
      <c r="RJR15" s="12"/>
      <c r="RJS15" s="12"/>
      <c r="RJT15" s="12"/>
      <c r="RJU15" s="13"/>
      <c r="RJV15" s="9"/>
      <c r="RJW15" s="9"/>
      <c r="RJX15" s="9"/>
      <c r="RJY15" s="9"/>
      <c r="RJZ15" s="10"/>
      <c r="RKA15" s="11"/>
      <c r="RKB15" s="12"/>
      <c r="RKC15" s="12"/>
      <c r="RKD15" s="12"/>
      <c r="RKE15" s="13"/>
      <c r="RKF15" s="9"/>
      <c r="RKG15" s="9"/>
      <c r="RKH15" s="9"/>
      <c r="RKI15" s="9"/>
      <c r="RKJ15" s="10"/>
      <c r="RKK15" s="11"/>
      <c r="RKL15" s="12"/>
      <c r="RKM15" s="12"/>
      <c r="RKN15" s="12"/>
      <c r="RKO15" s="13"/>
      <c r="RKP15" s="9"/>
      <c r="RKQ15" s="9"/>
      <c r="RKR15" s="9"/>
      <c r="RKS15" s="9"/>
      <c r="RKT15" s="10"/>
      <c r="RKU15" s="11"/>
      <c r="RKV15" s="12"/>
      <c r="RKW15" s="12"/>
      <c r="RKX15" s="12"/>
      <c r="RKY15" s="13"/>
      <c r="RKZ15" s="9"/>
      <c r="RLA15" s="9"/>
      <c r="RLB15" s="9"/>
      <c r="RLC15" s="9"/>
      <c r="RLD15" s="10"/>
      <c r="RLE15" s="11"/>
      <c r="RLF15" s="12"/>
      <c r="RLG15" s="12"/>
      <c r="RLH15" s="12"/>
      <c r="RLI15" s="13"/>
      <c r="RLJ15" s="9"/>
      <c r="RLK15" s="9"/>
      <c r="RLL15" s="9"/>
      <c r="RLM15" s="9"/>
      <c r="RLN15" s="10"/>
      <c r="RLO15" s="11"/>
      <c r="RLP15" s="12"/>
      <c r="RLQ15" s="12"/>
      <c r="RLR15" s="12"/>
      <c r="RLS15" s="13"/>
      <c r="RLT15" s="9"/>
      <c r="RLU15" s="9"/>
      <c r="RLV15" s="9"/>
      <c r="RLW15" s="9"/>
      <c r="RLX15" s="10"/>
      <c r="RLY15" s="11"/>
      <c r="RLZ15" s="12"/>
      <c r="RMA15" s="12"/>
      <c r="RMB15" s="12"/>
      <c r="RMC15" s="13"/>
      <c r="RMD15" s="9"/>
      <c r="RME15" s="9"/>
      <c r="RMF15" s="9"/>
      <c r="RMG15" s="9"/>
      <c r="RMH15" s="10"/>
      <c r="RMI15" s="11"/>
      <c r="RMJ15" s="12"/>
      <c r="RMK15" s="12"/>
      <c r="RML15" s="12"/>
      <c r="RMM15" s="13"/>
      <c r="RMN15" s="9"/>
      <c r="RMO15" s="9"/>
      <c r="RMP15" s="9"/>
      <c r="RMQ15" s="9"/>
      <c r="RMR15" s="10"/>
      <c r="RMS15" s="11"/>
      <c r="RMT15" s="12"/>
      <c r="RMU15" s="12"/>
      <c r="RMV15" s="12"/>
      <c r="RMW15" s="13"/>
      <c r="RMX15" s="9"/>
      <c r="RMY15" s="9"/>
      <c r="RMZ15" s="9"/>
      <c r="RNA15" s="9"/>
      <c r="RNB15" s="10"/>
      <c r="RNC15" s="11"/>
      <c r="RND15" s="12"/>
      <c r="RNE15" s="12"/>
      <c r="RNF15" s="12"/>
      <c r="RNG15" s="13"/>
      <c r="RNH15" s="9"/>
      <c r="RNI15" s="9"/>
      <c r="RNJ15" s="9"/>
      <c r="RNK15" s="9"/>
      <c r="RNL15" s="10"/>
      <c r="RNM15" s="11"/>
      <c r="RNN15" s="12"/>
      <c r="RNO15" s="12"/>
      <c r="RNP15" s="12"/>
      <c r="RNQ15" s="13"/>
      <c r="RNR15" s="9"/>
      <c r="RNS15" s="9"/>
      <c r="RNT15" s="9"/>
      <c r="RNU15" s="9"/>
      <c r="RNV15" s="10"/>
      <c r="RNW15" s="11"/>
      <c r="RNX15" s="12"/>
      <c r="RNY15" s="12"/>
      <c r="RNZ15" s="12"/>
      <c r="ROA15" s="13"/>
      <c r="ROB15" s="9"/>
      <c r="ROC15" s="9"/>
      <c r="ROD15" s="9"/>
      <c r="ROE15" s="9"/>
      <c r="ROF15" s="10"/>
      <c r="ROG15" s="11"/>
      <c r="ROH15" s="12"/>
      <c r="ROI15" s="12"/>
      <c r="ROJ15" s="12"/>
      <c r="ROK15" s="13"/>
      <c r="ROL15" s="9"/>
      <c r="ROM15" s="9"/>
      <c r="RON15" s="9"/>
      <c r="ROO15" s="9"/>
      <c r="ROP15" s="10"/>
      <c r="ROQ15" s="11"/>
      <c r="ROR15" s="12"/>
      <c r="ROS15" s="12"/>
      <c r="ROT15" s="12"/>
      <c r="ROU15" s="13"/>
      <c r="ROV15" s="9"/>
      <c r="ROW15" s="9"/>
      <c r="ROX15" s="9"/>
      <c r="ROY15" s="9"/>
      <c r="ROZ15" s="10"/>
      <c r="RPA15" s="11"/>
      <c r="RPB15" s="12"/>
      <c r="RPC15" s="12"/>
      <c r="RPD15" s="12"/>
      <c r="RPE15" s="13"/>
      <c r="RPF15" s="9"/>
      <c r="RPG15" s="9"/>
      <c r="RPH15" s="9"/>
      <c r="RPI15" s="9"/>
      <c r="RPJ15" s="10"/>
      <c r="RPK15" s="11"/>
      <c r="RPL15" s="12"/>
      <c r="RPM15" s="12"/>
      <c r="RPN15" s="12"/>
      <c r="RPO15" s="13"/>
      <c r="RPP15" s="9"/>
      <c r="RPQ15" s="9"/>
      <c r="RPR15" s="9"/>
      <c r="RPS15" s="9"/>
      <c r="RPT15" s="10"/>
      <c r="RPU15" s="11"/>
      <c r="RPV15" s="12"/>
      <c r="RPW15" s="12"/>
      <c r="RPX15" s="12"/>
      <c r="RPY15" s="13"/>
      <c r="RPZ15" s="9"/>
      <c r="RQA15" s="9"/>
      <c r="RQB15" s="9"/>
      <c r="RQC15" s="9"/>
      <c r="RQD15" s="10"/>
      <c r="RQE15" s="11"/>
      <c r="RQF15" s="12"/>
      <c r="RQG15" s="12"/>
      <c r="RQH15" s="12"/>
      <c r="RQI15" s="13"/>
      <c r="RQJ15" s="9"/>
      <c r="RQK15" s="9"/>
      <c r="RQL15" s="9"/>
      <c r="RQM15" s="9"/>
      <c r="RQN15" s="10"/>
      <c r="RQO15" s="11"/>
      <c r="RQP15" s="12"/>
      <c r="RQQ15" s="12"/>
      <c r="RQR15" s="12"/>
      <c r="RQS15" s="13"/>
      <c r="RQT15" s="9"/>
      <c r="RQU15" s="9"/>
      <c r="RQV15" s="9"/>
      <c r="RQW15" s="9"/>
      <c r="RQX15" s="10"/>
      <c r="RQY15" s="11"/>
      <c r="RQZ15" s="12"/>
      <c r="RRA15" s="12"/>
      <c r="RRB15" s="12"/>
      <c r="RRC15" s="13"/>
      <c r="RRD15" s="9"/>
      <c r="RRE15" s="9"/>
      <c r="RRF15" s="9"/>
      <c r="RRG15" s="9"/>
      <c r="RRH15" s="10"/>
      <c r="RRI15" s="11"/>
      <c r="RRJ15" s="12"/>
      <c r="RRK15" s="12"/>
      <c r="RRL15" s="12"/>
      <c r="RRM15" s="13"/>
      <c r="RRN15" s="9"/>
      <c r="RRO15" s="9"/>
      <c r="RRP15" s="9"/>
      <c r="RRQ15" s="9"/>
      <c r="RRR15" s="10"/>
      <c r="RRS15" s="11"/>
      <c r="RRT15" s="12"/>
      <c r="RRU15" s="12"/>
      <c r="RRV15" s="12"/>
      <c r="RRW15" s="13"/>
      <c r="RRX15" s="9"/>
      <c r="RRY15" s="9"/>
      <c r="RRZ15" s="9"/>
      <c r="RSA15" s="9"/>
      <c r="RSB15" s="10"/>
      <c r="RSC15" s="11"/>
      <c r="RSD15" s="12"/>
      <c r="RSE15" s="12"/>
      <c r="RSF15" s="12"/>
      <c r="RSG15" s="13"/>
      <c r="RSH15" s="9"/>
      <c r="RSI15" s="9"/>
      <c r="RSJ15" s="9"/>
      <c r="RSK15" s="9"/>
      <c r="RSL15" s="10"/>
      <c r="RSM15" s="11"/>
      <c r="RSN15" s="12"/>
      <c r="RSO15" s="12"/>
      <c r="RSP15" s="12"/>
      <c r="RSQ15" s="13"/>
      <c r="RSR15" s="9"/>
      <c r="RSS15" s="9"/>
      <c r="RST15" s="9"/>
      <c r="RSU15" s="9"/>
      <c r="RSV15" s="10"/>
      <c r="RSW15" s="11"/>
      <c r="RSX15" s="12"/>
      <c r="RSY15" s="12"/>
      <c r="RSZ15" s="12"/>
      <c r="RTA15" s="13"/>
      <c r="RTB15" s="9"/>
      <c r="RTC15" s="9"/>
      <c r="RTD15" s="9"/>
      <c r="RTE15" s="9"/>
      <c r="RTF15" s="10"/>
      <c r="RTG15" s="11"/>
      <c r="RTH15" s="12"/>
      <c r="RTI15" s="12"/>
      <c r="RTJ15" s="12"/>
      <c r="RTK15" s="13"/>
      <c r="RTL15" s="9"/>
      <c r="RTM15" s="9"/>
      <c r="RTN15" s="9"/>
      <c r="RTO15" s="9"/>
      <c r="RTP15" s="10"/>
      <c r="RTQ15" s="11"/>
      <c r="RTR15" s="12"/>
      <c r="RTS15" s="12"/>
      <c r="RTT15" s="12"/>
      <c r="RTU15" s="13"/>
      <c r="RTV15" s="9"/>
      <c r="RTW15" s="9"/>
      <c r="RTX15" s="9"/>
      <c r="RTY15" s="9"/>
      <c r="RTZ15" s="10"/>
      <c r="RUA15" s="11"/>
      <c r="RUB15" s="12"/>
      <c r="RUC15" s="12"/>
      <c r="RUD15" s="12"/>
      <c r="RUE15" s="13"/>
      <c r="RUF15" s="9"/>
      <c r="RUG15" s="9"/>
      <c r="RUH15" s="9"/>
      <c r="RUI15" s="9"/>
      <c r="RUJ15" s="10"/>
      <c r="RUK15" s="11"/>
      <c r="RUL15" s="12"/>
      <c r="RUM15" s="12"/>
      <c r="RUN15" s="12"/>
      <c r="RUO15" s="13"/>
      <c r="RUP15" s="9"/>
      <c r="RUQ15" s="9"/>
      <c r="RUR15" s="9"/>
      <c r="RUS15" s="9"/>
      <c r="RUT15" s="10"/>
      <c r="RUU15" s="11"/>
      <c r="RUV15" s="12"/>
      <c r="RUW15" s="12"/>
      <c r="RUX15" s="12"/>
      <c r="RUY15" s="13"/>
      <c r="RUZ15" s="9"/>
      <c r="RVA15" s="9"/>
      <c r="RVB15" s="9"/>
      <c r="RVC15" s="9"/>
      <c r="RVD15" s="10"/>
      <c r="RVE15" s="11"/>
      <c r="RVF15" s="12"/>
      <c r="RVG15" s="12"/>
      <c r="RVH15" s="12"/>
      <c r="RVI15" s="13"/>
      <c r="RVJ15" s="9"/>
      <c r="RVK15" s="9"/>
      <c r="RVL15" s="9"/>
      <c r="RVM15" s="9"/>
      <c r="RVN15" s="10"/>
      <c r="RVO15" s="11"/>
      <c r="RVP15" s="12"/>
      <c r="RVQ15" s="12"/>
      <c r="RVR15" s="12"/>
      <c r="RVS15" s="13"/>
      <c r="RVT15" s="9"/>
      <c r="RVU15" s="9"/>
      <c r="RVV15" s="9"/>
      <c r="RVW15" s="9"/>
      <c r="RVX15" s="10"/>
      <c r="RVY15" s="11"/>
      <c r="RVZ15" s="12"/>
      <c r="RWA15" s="12"/>
      <c r="RWB15" s="12"/>
      <c r="RWC15" s="13"/>
      <c r="RWD15" s="9"/>
      <c r="RWE15" s="9"/>
      <c r="RWF15" s="9"/>
      <c r="RWG15" s="9"/>
      <c r="RWH15" s="10"/>
      <c r="RWI15" s="11"/>
      <c r="RWJ15" s="12"/>
      <c r="RWK15" s="12"/>
      <c r="RWL15" s="12"/>
      <c r="RWM15" s="13"/>
      <c r="RWN15" s="9"/>
      <c r="RWO15" s="9"/>
      <c r="RWP15" s="9"/>
      <c r="RWQ15" s="9"/>
      <c r="RWR15" s="10"/>
      <c r="RWS15" s="11"/>
      <c r="RWT15" s="12"/>
      <c r="RWU15" s="12"/>
      <c r="RWV15" s="12"/>
      <c r="RWW15" s="13"/>
      <c r="RWX15" s="9"/>
      <c r="RWY15" s="9"/>
      <c r="RWZ15" s="9"/>
      <c r="RXA15" s="9"/>
      <c r="RXB15" s="10"/>
      <c r="RXC15" s="11"/>
      <c r="RXD15" s="12"/>
      <c r="RXE15" s="12"/>
      <c r="RXF15" s="12"/>
      <c r="RXG15" s="13"/>
      <c r="RXH15" s="9"/>
      <c r="RXI15" s="9"/>
      <c r="RXJ15" s="9"/>
      <c r="RXK15" s="9"/>
      <c r="RXL15" s="10"/>
      <c r="RXM15" s="11"/>
      <c r="RXN15" s="12"/>
      <c r="RXO15" s="12"/>
      <c r="RXP15" s="12"/>
      <c r="RXQ15" s="13"/>
      <c r="RXR15" s="9"/>
      <c r="RXS15" s="9"/>
      <c r="RXT15" s="9"/>
      <c r="RXU15" s="9"/>
      <c r="RXV15" s="10"/>
      <c r="RXW15" s="11"/>
      <c r="RXX15" s="12"/>
      <c r="RXY15" s="12"/>
      <c r="RXZ15" s="12"/>
      <c r="RYA15" s="13"/>
      <c r="RYB15" s="9"/>
      <c r="RYC15" s="9"/>
      <c r="RYD15" s="9"/>
      <c r="RYE15" s="9"/>
      <c r="RYF15" s="10"/>
      <c r="RYG15" s="11"/>
      <c r="RYH15" s="12"/>
      <c r="RYI15" s="12"/>
      <c r="RYJ15" s="12"/>
      <c r="RYK15" s="13"/>
      <c r="RYL15" s="9"/>
      <c r="RYM15" s="9"/>
      <c r="RYN15" s="9"/>
      <c r="RYO15" s="9"/>
      <c r="RYP15" s="10"/>
      <c r="RYQ15" s="11"/>
      <c r="RYR15" s="12"/>
      <c r="RYS15" s="12"/>
      <c r="RYT15" s="12"/>
      <c r="RYU15" s="13"/>
      <c r="RYV15" s="9"/>
      <c r="RYW15" s="9"/>
      <c r="RYX15" s="9"/>
      <c r="RYY15" s="9"/>
      <c r="RYZ15" s="10"/>
      <c r="RZA15" s="11"/>
      <c r="RZB15" s="12"/>
      <c r="RZC15" s="12"/>
      <c r="RZD15" s="12"/>
      <c r="RZE15" s="13"/>
      <c r="RZF15" s="9"/>
      <c r="RZG15" s="9"/>
      <c r="RZH15" s="9"/>
      <c r="RZI15" s="9"/>
      <c r="RZJ15" s="10"/>
      <c r="RZK15" s="11"/>
      <c r="RZL15" s="12"/>
      <c r="RZM15" s="12"/>
      <c r="RZN15" s="12"/>
      <c r="RZO15" s="13"/>
      <c r="RZP15" s="9"/>
      <c r="RZQ15" s="9"/>
      <c r="RZR15" s="9"/>
      <c r="RZS15" s="9"/>
      <c r="RZT15" s="10"/>
      <c r="RZU15" s="11"/>
      <c r="RZV15" s="12"/>
      <c r="RZW15" s="12"/>
      <c r="RZX15" s="12"/>
      <c r="RZY15" s="13"/>
      <c r="RZZ15" s="9"/>
      <c r="SAA15" s="9"/>
      <c r="SAB15" s="9"/>
      <c r="SAC15" s="9"/>
      <c r="SAD15" s="10"/>
      <c r="SAE15" s="11"/>
      <c r="SAF15" s="12"/>
      <c r="SAG15" s="12"/>
      <c r="SAH15" s="12"/>
      <c r="SAI15" s="13"/>
      <c r="SAJ15" s="9"/>
      <c r="SAK15" s="9"/>
      <c r="SAL15" s="9"/>
      <c r="SAM15" s="9"/>
      <c r="SAN15" s="10"/>
      <c r="SAO15" s="11"/>
      <c r="SAP15" s="12"/>
      <c r="SAQ15" s="12"/>
      <c r="SAR15" s="12"/>
      <c r="SAS15" s="13"/>
      <c r="SAT15" s="9"/>
      <c r="SAU15" s="9"/>
      <c r="SAV15" s="9"/>
      <c r="SAW15" s="9"/>
      <c r="SAX15" s="10"/>
      <c r="SAY15" s="11"/>
      <c r="SAZ15" s="12"/>
      <c r="SBA15" s="12"/>
      <c r="SBB15" s="12"/>
      <c r="SBC15" s="13"/>
      <c r="SBD15" s="9"/>
      <c r="SBE15" s="9"/>
      <c r="SBF15" s="9"/>
      <c r="SBG15" s="9"/>
      <c r="SBH15" s="10"/>
      <c r="SBI15" s="11"/>
      <c r="SBJ15" s="12"/>
      <c r="SBK15" s="12"/>
      <c r="SBL15" s="12"/>
      <c r="SBM15" s="13"/>
      <c r="SBN15" s="9"/>
      <c r="SBO15" s="9"/>
      <c r="SBP15" s="9"/>
      <c r="SBQ15" s="9"/>
      <c r="SBR15" s="10"/>
      <c r="SBS15" s="11"/>
      <c r="SBT15" s="12"/>
      <c r="SBU15" s="12"/>
      <c r="SBV15" s="12"/>
      <c r="SBW15" s="13"/>
      <c r="SBX15" s="9"/>
      <c r="SBY15" s="9"/>
      <c r="SBZ15" s="9"/>
      <c r="SCA15" s="9"/>
      <c r="SCB15" s="10"/>
      <c r="SCC15" s="11"/>
      <c r="SCD15" s="12"/>
      <c r="SCE15" s="12"/>
      <c r="SCF15" s="12"/>
      <c r="SCG15" s="13"/>
      <c r="SCH15" s="9"/>
      <c r="SCI15" s="9"/>
      <c r="SCJ15" s="9"/>
      <c r="SCK15" s="9"/>
      <c r="SCL15" s="10"/>
      <c r="SCM15" s="11"/>
      <c r="SCN15" s="12"/>
      <c r="SCO15" s="12"/>
      <c r="SCP15" s="12"/>
      <c r="SCQ15" s="13"/>
      <c r="SCR15" s="9"/>
      <c r="SCS15" s="9"/>
      <c r="SCT15" s="9"/>
      <c r="SCU15" s="9"/>
      <c r="SCV15" s="10"/>
      <c r="SCW15" s="11"/>
      <c r="SCX15" s="12"/>
      <c r="SCY15" s="12"/>
      <c r="SCZ15" s="12"/>
      <c r="SDA15" s="13"/>
      <c r="SDB15" s="9"/>
      <c r="SDC15" s="9"/>
      <c r="SDD15" s="9"/>
      <c r="SDE15" s="9"/>
      <c r="SDF15" s="10"/>
      <c r="SDG15" s="11"/>
      <c r="SDH15" s="12"/>
      <c r="SDI15" s="12"/>
      <c r="SDJ15" s="12"/>
      <c r="SDK15" s="13"/>
      <c r="SDL15" s="9"/>
      <c r="SDM15" s="9"/>
      <c r="SDN15" s="9"/>
      <c r="SDO15" s="9"/>
      <c r="SDP15" s="10"/>
      <c r="SDQ15" s="11"/>
      <c r="SDR15" s="12"/>
      <c r="SDS15" s="12"/>
      <c r="SDT15" s="12"/>
      <c r="SDU15" s="13"/>
      <c r="SDV15" s="9"/>
      <c r="SDW15" s="9"/>
      <c r="SDX15" s="9"/>
      <c r="SDY15" s="9"/>
      <c r="SDZ15" s="10"/>
      <c r="SEA15" s="11"/>
      <c r="SEB15" s="12"/>
      <c r="SEC15" s="12"/>
      <c r="SED15" s="12"/>
      <c r="SEE15" s="13"/>
      <c r="SEF15" s="9"/>
      <c r="SEG15" s="9"/>
      <c r="SEH15" s="9"/>
      <c r="SEI15" s="9"/>
      <c r="SEJ15" s="10"/>
      <c r="SEK15" s="11"/>
      <c r="SEL15" s="12"/>
      <c r="SEM15" s="12"/>
      <c r="SEN15" s="12"/>
      <c r="SEO15" s="13"/>
      <c r="SEP15" s="9"/>
      <c r="SEQ15" s="9"/>
      <c r="SER15" s="9"/>
      <c r="SES15" s="9"/>
      <c r="SET15" s="10"/>
      <c r="SEU15" s="11"/>
      <c r="SEV15" s="12"/>
      <c r="SEW15" s="12"/>
      <c r="SEX15" s="12"/>
      <c r="SEY15" s="13"/>
      <c r="SEZ15" s="9"/>
      <c r="SFA15" s="9"/>
      <c r="SFB15" s="9"/>
      <c r="SFC15" s="9"/>
      <c r="SFD15" s="10"/>
      <c r="SFE15" s="11"/>
      <c r="SFF15" s="12"/>
      <c r="SFG15" s="12"/>
      <c r="SFH15" s="12"/>
      <c r="SFI15" s="13"/>
      <c r="SFJ15" s="9"/>
      <c r="SFK15" s="9"/>
      <c r="SFL15" s="9"/>
      <c r="SFM15" s="9"/>
      <c r="SFN15" s="10"/>
      <c r="SFO15" s="11"/>
      <c r="SFP15" s="12"/>
      <c r="SFQ15" s="12"/>
      <c r="SFR15" s="12"/>
      <c r="SFS15" s="13"/>
      <c r="SFT15" s="9"/>
      <c r="SFU15" s="9"/>
      <c r="SFV15" s="9"/>
      <c r="SFW15" s="9"/>
      <c r="SFX15" s="10"/>
      <c r="SFY15" s="11"/>
      <c r="SFZ15" s="12"/>
      <c r="SGA15" s="12"/>
      <c r="SGB15" s="12"/>
      <c r="SGC15" s="13"/>
      <c r="SGD15" s="9"/>
      <c r="SGE15" s="9"/>
      <c r="SGF15" s="9"/>
      <c r="SGG15" s="9"/>
      <c r="SGH15" s="10"/>
      <c r="SGI15" s="11"/>
      <c r="SGJ15" s="12"/>
      <c r="SGK15" s="12"/>
      <c r="SGL15" s="12"/>
      <c r="SGM15" s="13"/>
      <c r="SGN15" s="9"/>
      <c r="SGO15" s="9"/>
      <c r="SGP15" s="9"/>
      <c r="SGQ15" s="9"/>
      <c r="SGR15" s="10"/>
      <c r="SGS15" s="11"/>
      <c r="SGT15" s="12"/>
      <c r="SGU15" s="12"/>
      <c r="SGV15" s="12"/>
      <c r="SGW15" s="13"/>
      <c r="SGX15" s="9"/>
      <c r="SGY15" s="9"/>
      <c r="SGZ15" s="9"/>
      <c r="SHA15" s="9"/>
      <c r="SHB15" s="10"/>
      <c r="SHC15" s="11"/>
      <c r="SHD15" s="12"/>
      <c r="SHE15" s="12"/>
      <c r="SHF15" s="12"/>
      <c r="SHG15" s="13"/>
      <c r="SHH15" s="9"/>
      <c r="SHI15" s="9"/>
      <c r="SHJ15" s="9"/>
      <c r="SHK15" s="9"/>
      <c r="SHL15" s="10"/>
      <c r="SHM15" s="11"/>
      <c r="SHN15" s="12"/>
      <c r="SHO15" s="12"/>
      <c r="SHP15" s="12"/>
      <c r="SHQ15" s="13"/>
      <c r="SHR15" s="9"/>
      <c r="SHS15" s="9"/>
      <c r="SHT15" s="9"/>
      <c r="SHU15" s="9"/>
      <c r="SHV15" s="10"/>
      <c r="SHW15" s="11"/>
      <c r="SHX15" s="12"/>
      <c r="SHY15" s="12"/>
      <c r="SHZ15" s="12"/>
      <c r="SIA15" s="13"/>
      <c r="SIB15" s="9"/>
      <c r="SIC15" s="9"/>
      <c r="SID15" s="9"/>
      <c r="SIE15" s="9"/>
      <c r="SIF15" s="10"/>
      <c r="SIG15" s="11"/>
      <c r="SIH15" s="12"/>
      <c r="SII15" s="12"/>
      <c r="SIJ15" s="12"/>
      <c r="SIK15" s="13"/>
      <c r="SIL15" s="9"/>
      <c r="SIM15" s="9"/>
      <c r="SIN15" s="9"/>
      <c r="SIO15" s="9"/>
      <c r="SIP15" s="10"/>
      <c r="SIQ15" s="11"/>
      <c r="SIR15" s="12"/>
      <c r="SIS15" s="12"/>
      <c r="SIT15" s="12"/>
      <c r="SIU15" s="13"/>
      <c r="SIV15" s="9"/>
      <c r="SIW15" s="9"/>
      <c r="SIX15" s="9"/>
      <c r="SIY15" s="9"/>
      <c r="SIZ15" s="10"/>
      <c r="SJA15" s="11"/>
      <c r="SJB15" s="12"/>
      <c r="SJC15" s="12"/>
      <c r="SJD15" s="12"/>
      <c r="SJE15" s="13"/>
      <c r="SJF15" s="9"/>
      <c r="SJG15" s="9"/>
      <c r="SJH15" s="9"/>
      <c r="SJI15" s="9"/>
      <c r="SJJ15" s="10"/>
      <c r="SJK15" s="11"/>
      <c r="SJL15" s="12"/>
      <c r="SJM15" s="12"/>
      <c r="SJN15" s="12"/>
      <c r="SJO15" s="13"/>
      <c r="SJP15" s="9"/>
      <c r="SJQ15" s="9"/>
      <c r="SJR15" s="9"/>
      <c r="SJS15" s="9"/>
      <c r="SJT15" s="10"/>
      <c r="SJU15" s="11"/>
      <c r="SJV15" s="12"/>
      <c r="SJW15" s="12"/>
      <c r="SJX15" s="12"/>
      <c r="SJY15" s="13"/>
      <c r="SJZ15" s="9"/>
      <c r="SKA15" s="9"/>
      <c r="SKB15" s="9"/>
      <c r="SKC15" s="9"/>
      <c r="SKD15" s="10"/>
      <c r="SKE15" s="11"/>
      <c r="SKF15" s="12"/>
      <c r="SKG15" s="12"/>
      <c r="SKH15" s="12"/>
      <c r="SKI15" s="13"/>
      <c r="SKJ15" s="9"/>
      <c r="SKK15" s="9"/>
      <c r="SKL15" s="9"/>
      <c r="SKM15" s="9"/>
      <c r="SKN15" s="10"/>
      <c r="SKO15" s="11"/>
      <c r="SKP15" s="12"/>
      <c r="SKQ15" s="12"/>
      <c r="SKR15" s="12"/>
      <c r="SKS15" s="13"/>
      <c r="SKT15" s="9"/>
      <c r="SKU15" s="9"/>
      <c r="SKV15" s="9"/>
      <c r="SKW15" s="9"/>
      <c r="SKX15" s="10"/>
      <c r="SKY15" s="11"/>
      <c r="SKZ15" s="12"/>
      <c r="SLA15" s="12"/>
      <c r="SLB15" s="12"/>
      <c r="SLC15" s="13"/>
      <c r="SLD15" s="9"/>
      <c r="SLE15" s="9"/>
      <c r="SLF15" s="9"/>
      <c r="SLG15" s="9"/>
      <c r="SLH15" s="10"/>
      <c r="SLI15" s="11"/>
      <c r="SLJ15" s="12"/>
      <c r="SLK15" s="12"/>
      <c r="SLL15" s="12"/>
      <c r="SLM15" s="13"/>
      <c r="SLN15" s="9"/>
      <c r="SLO15" s="9"/>
      <c r="SLP15" s="9"/>
      <c r="SLQ15" s="9"/>
      <c r="SLR15" s="10"/>
      <c r="SLS15" s="11"/>
      <c r="SLT15" s="12"/>
      <c r="SLU15" s="12"/>
      <c r="SLV15" s="12"/>
      <c r="SLW15" s="13"/>
      <c r="SLX15" s="9"/>
      <c r="SLY15" s="9"/>
      <c r="SLZ15" s="9"/>
      <c r="SMA15" s="9"/>
      <c r="SMB15" s="10"/>
      <c r="SMC15" s="11"/>
      <c r="SMD15" s="12"/>
      <c r="SME15" s="12"/>
      <c r="SMF15" s="12"/>
      <c r="SMG15" s="13"/>
      <c r="SMH15" s="9"/>
      <c r="SMI15" s="9"/>
      <c r="SMJ15" s="9"/>
      <c r="SMK15" s="9"/>
      <c r="SML15" s="10"/>
      <c r="SMM15" s="11"/>
      <c r="SMN15" s="12"/>
      <c r="SMO15" s="12"/>
      <c r="SMP15" s="12"/>
      <c r="SMQ15" s="13"/>
      <c r="SMR15" s="9"/>
      <c r="SMS15" s="9"/>
      <c r="SMT15" s="9"/>
      <c r="SMU15" s="9"/>
      <c r="SMV15" s="10"/>
      <c r="SMW15" s="11"/>
      <c r="SMX15" s="12"/>
      <c r="SMY15" s="12"/>
      <c r="SMZ15" s="12"/>
      <c r="SNA15" s="13"/>
      <c r="SNB15" s="9"/>
      <c r="SNC15" s="9"/>
      <c r="SND15" s="9"/>
      <c r="SNE15" s="9"/>
      <c r="SNF15" s="10"/>
      <c r="SNG15" s="11"/>
      <c r="SNH15" s="12"/>
      <c r="SNI15" s="12"/>
      <c r="SNJ15" s="12"/>
      <c r="SNK15" s="13"/>
      <c r="SNL15" s="9"/>
      <c r="SNM15" s="9"/>
      <c r="SNN15" s="9"/>
      <c r="SNO15" s="9"/>
      <c r="SNP15" s="10"/>
      <c r="SNQ15" s="11"/>
      <c r="SNR15" s="12"/>
      <c r="SNS15" s="12"/>
      <c r="SNT15" s="12"/>
      <c r="SNU15" s="13"/>
      <c r="SNV15" s="9"/>
      <c r="SNW15" s="9"/>
      <c r="SNX15" s="9"/>
      <c r="SNY15" s="9"/>
      <c r="SNZ15" s="10"/>
      <c r="SOA15" s="11"/>
      <c r="SOB15" s="12"/>
      <c r="SOC15" s="12"/>
      <c r="SOD15" s="12"/>
      <c r="SOE15" s="13"/>
      <c r="SOF15" s="9"/>
      <c r="SOG15" s="9"/>
      <c r="SOH15" s="9"/>
      <c r="SOI15" s="9"/>
      <c r="SOJ15" s="10"/>
      <c r="SOK15" s="11"/>
      <c r="SOL15" s="12"/>
      <c r="SOM15" s="12"/>
      <c r="SON15" s="12"/>
      <c r="SOO15" s="13"/>
      <c r="SOP15" s="9"/>
      <c r="SOQ15" s="9"/>
      <c r="SOR15" s="9"/>
      <c r="SOS15" s="9"/>
      <c r="SOT15" s="10"/>
      <c r="SOU15" s="11"/>
      <c r="SOV15" s="12"/>
      <c r="SOW15" s="12"/>
      <c r="SOX15" s="12"/>
      <c r="SOY15" s="13"/>
      <c r="SOZ15" s="9"/>
      <c r="SPA15" s="9"/>
      <c r="SPB15" s="9"/>
      <c r="SPC15" s="9"/>
      <c r="SPD15" s="10"/>
      <c r="SPE15" s="11"/>
      <c r="SPF15" s="12"/>
      <c r="SPG15" s="12"/>
      <c r="SPH15" s="12"/>
      <c r="SPI15" s="13"/>
      <c r="SPJ15" s="9"/>
      <c r="SPK15" s="9"/>
      <c r="SPL15" s="9"/>
      <c r="SPM15" s="9"/>
      <c r="SPN15" s="10"/>
      <c r="SPO15" s="11"/>
      <c r="SPP15" s="12"/>
      <c r="SPQ15" s="12"/>
      <c r="SPR15" s="12"/>
      <c r="SPS15" s="13"/>
      <c r="SPT15" s="9"/>
      <c r="SPU15" s="9"/>
      <c r="SPV15" s="9"/>
      <c r="SPW15" s="9"/>
      <c r="SPX15" s="10"/>
      <c r="SPY15" s="11"/>
      <c r="SPZ15" s="12"/>
      <c r="SQA15" s="12"/>
      <c r="SQB15" s="12"/>
      <c r="SQC15" s="13"/>
      <c r="SQD15" s="9"/>
      <c r="SQE15" s="9"/>
      <c r="SQF15" s="9"/>
      <c r="SQG15" s="9"/>
      <c r="SQH15" s="10"/>
      <c r="SQI15" s="11"/>
      <c r="SQJ15" s="12"/>
      <c r="SQK15" s="12"/>
      <c r="SQL15" s="12"/>
      <c r="SQM15" s="13"/>
      <c r="SQN15" s="9"/>
      <c r="SQO15" s="9"/>
      <c r="SQP15" s="9"/>
      <c r="SQQ15" s="9"/>
      <c r="SQR15" s="10"/>
      <c r="SQS15" s="11"/>
      <c r="SQT15" s="12"/>
      <c r="SQU15" s="12"/>
      <c r="SQV15" s="12"/>
      <c r="SQW15" s="13"/>
      <c r="SQX15" s="9"/>
      <c r="SQY15" s="9"/>
      <c r="SQZ15" s="9"/>
      <c r="SRA15" s="9"/>
      <c r="SRB15" s="10"/>
      <c r="SRC15" s="11"/>
      <c r="SRD15" s="12"/>
      <c r="SRE15" s="12"/>
      <c r="SRF15" s="12"/>
      <c r="SRG15" s="13"/>
      <c r="SRH15" s="9"/>
      <c r="SRI15" s="9"/>
      <c r="SRJ15" s="9"/>
      <c r="SRK15" s="9"/>
      <c r="SRL15" s="10"/>
      <c r="SRM15" s="11"/>
      <c r="SRN15" s="12"/>
      <c r="SRO15" s="12"/>
      <c r="SRP15" s="12"/>
      <c r="SRQ15" s="13"/>
      <c r="SRR15" s="9"/>
      <c r="SRS15" s="9"/>
      <c r="SRT15" s="9"/>
      <c r="SRU15" s="9"/>
      <c r="SRV15" s="10"/>
      <c r="SRW15" s="11"/>
      <c r="SRX15" s="12"/>
      <c r="SRY15" s="12"/>
      <c r="SRZ15" s="12"/>
      <c r="SSA15" s="13"/>
      <c r="SSB15" s="9"/>
      <c r="SSC15" s="9"/>
      <c r="SSD15" s="9"/>
      <c r="SSE15" s="9"/>
      <c r="SSF15" s="10"/>
      <c r="SSG15" s="11"/>
      <c r="SSH15" s="12"/>
      <c r="SSI15" s="12"/>
      <c r="SSJ15" s="12"/>
      <c r="SSK15" s="13"/>
      <c r="SSL15" s="9"/>
      <c r="SSM15" s="9"/>
      <c r="SSN15" s="9"/>
      <c r="SSO15" s="9"/>
      <c r="SSP15" s="10"/>
      <c r="SSQ15" s="11"/>
      <c r="SSR15" s="12"/>
      <c r="SSS15" s="12"/>
      <c r="SST15" s="12"/>
      <c r="SSU15" s="13"/>
      <c r="SSV15" s="9"/>
      <c r="SSW15" s="9"/>
      <c r="SSX15" s="9"/>
      <c r="SSY15" s="9"/>
      <c r="SSZ15" s="10"/>
      <c r="STA15" s="11"/>
      <c r="STB15" s="12"/>
      <c r="STC15" s="12"/>
      <c r="STD15" s="12"/>
      <c r="STE15" s="13"/>
      <c r="STF15" s="9"/>
      <c r="STG15" s="9"/>
      <c r="STH15" s="9"/>
      <c r="STI15" s="9"/>
      <c r="STJ15" s="10"/>
      <c r="STK15" s="11"/>
      <c r="STL15" s="12"/>
      <c r="STM15" s="12"/>
      <c r="STN15" s="12"/>
      <c r="STO15" s="13"/>
      <c r="STP15" s="9"/>
      <c r="STQ15" s="9"/>
      <c r="STR15" s="9"/>
      <c r="STS15" s="9"/>
      <c r="STT15" s="10"/>
      <c r="STU15" s="11"/>
      <c r="STV15" s="12"/>
      <c r="STW15" s="12"/>
      <c r="STX15" s="12"/>
      <c r="STY15" s="13"/>
      <c r="STZ15" s="9"/>
      <c r="SUA15" s="9"/>
      <c r="SUB15" s="9"/>
      <c r="SUC15" s="9"/>
      <c r="SUD15" s="10"/>
      <c r="SUE15" s="11"/>
      <c r="SUF15" s="12"/>
      <c r="SUG15" s="12"/>
      <c r="SUH15" s="12"/>
      <c r="SUI15" s="13"/>
      <c r="SUJ15" s="9"/>
      <c r="SUK15" s="9"/>
      <c r="SUL15" s="9"/>
      <c r="SUM15" s="9"/>
      <c r="SUN15" s="10"/>
      <c r="SUO15" s="11"/>
      <c r="SUP15" s="12"/>
      <c r="SUQ15" s="12"/>
      <c r="SUR15" s="12"/>
      <c r="SUS15" s="13"/>
      <c r="SUT15" s="9"/>
      <c r="SUU15" s="9"/>
      <c r="SUV15" s="9"/>
      <c r="SUW15" s="9"/>
      <c r="SUX15" s="10"/>
      <c r="SUY15" s="11"/>
      <c r="SUZ15" s="12"/>
      <c r="SVA15" s="12"/>
      <c r="SVB15" s="12"/>
      <c r="SVC15" s="13"/>
      <c r="SVD15" s="9"/>
      <c r="SVE15" s="9"/>
      <c r="SVF15" s="9"/>
      <c r="SVG15" s="9"/>
      <c r="SVH15" s="10"/>
      <c r="SVI15" s="11"/>
      <c r="SVJ15" s="12"/>
      <c r="SVK15" s="12"/>
      <c r="SVL15" s="12"/>
      <c r="SVM15" s="13"/>
      <c r="SVN15" s="9"/>
      <c r="SVO15" s="9"/>
      <c r="SVP15" s="9"/>
      <c r="SVQ15" s="9"/>
      <c r="SVR15" s="10"/>
      <c r="SVS15" s="11"/>
      <c r="SVT15" s="12"/>
      <c r="SVU15" s="12"/>
      <c r="SVV15" s="12"/>
      <c r="SVW15" s="13"/>
      <c r="SVX15" s="9"/>
      <c r="SVY15" s="9"/>
      <c r="SVZ15" s="9"/>
      <c r="SWA15" s="9"/>
      <c r="SWB15" s="10"/>
      <c r="SWC15" s="11"/>
      <c r="SWD15" s="12"/>
      <c r="SWE15" s="12"/>
      <c r="SWF15" s="12"/>
      <c r="SWG15" s="13"/>
      <c r="SWH15" s="9"/>
      <c r="SWI15" s="9"/>
      <c r="SWJ15" s="9"/>
      <c r="SWK15" s="9"/>
      <c r="SWL15" s="10"/>
      <c r="SWM15" s="11"/>
      <c r="SWN15" s="12"/>
      <c r="SWO15" s="12"/>
      <c r="SWP15" s="12"/>
      <c r="SWQ15" s="13"/>
      <c r="SWR15" s="9"/>
      <c r="SWS15" s="9"/>
      <c r="SWT15" s="9"/>
      <c r="SWU15" s="9"/>
      <c r="SWV15" s="10"/>
      <c r="SWW15" s="11"/>
      <c r="SWX15" s="12"/>
      <c r="SWY15" s="12"/>
      <c r="SWZ15" s="12"/>
      <c r="SXA15" s="13"/>
      <c r="SXB15" s="9"/>
      <c r="SXC15" s="9"/>
      <c r="SXD15" s="9"/>
      <c r="SXE15" s="9"/>
      <c r="SXF15" s="10"/>
      <c r="SXG15" s="11"/>
      <c r="SXH15" s="12"/>
      <c r="SXI15" s="12"/>
      <c r="SXJ15" s="12"/>
      <c r="SXK15" s="13"/>
      <c r="SXL15" s="9"/>
      <c r="SXM15" s="9"/>
      <c r="SXN15" s="9"/>
      <c r="SXO15" s="9"/>
      <c r="SXP15" s="10"/>
      <c r="SXQ15" s="11"/>
      <c r="SXR15" s="12"/>
      <c r="SXS15" s="12"/>
      <c r="SXT15" s="12"/>
      <c r="SXU15" s="13"/>
      <c r="SXV15" s="9"/>
      <c r="SXW15" s="9"/>
      <c r="SXX15" s="9"/>
      <c r="SXY15" s="9"/>
      <c r="SXZ15" s="10"/>
      <c r="SYA15" s="11"/>
      <c r="SYB15" s="12"/>
      <c r="SYC15" s="12"/>
      <c r="SYD15" s="12"/>
      <c r="SYE15" s="13"/>
      <c r="SYF15" s="9"/>
      <c r="SYG15" s="9"/>
      <c r="SYH15" s="9"/>
      <c r="SYI15" s="9"/>
      <c r="SYJ15" s="10"/>
      <c r="SYK15" s="11"/>
      <c r="SYL15" s="12"/>
      <c r="SYM15" s="12"/>
      <c r="SYN15" s="12"/>
      <c r="SYO15" s="13"/>
      <c r="SYP15" s="9"/>
      <c r="SYQ15" s="9"/>
      <c r="SYR15" s="9"/>
      <c r="SYS15" s="9"/>
      <c r="SYT15" s="10"/>
      <c r="SYU15" s="11"/>
      <c r="SYV15" s="12"/>
      <c r="SYW15" s="12"/>
      <c r="SYX15" s="12"/>
      <c r="SYY15" s="13"/>
      <c r="SYZ15" s="9"/>
      <c r="SZA15" s="9"/>
      <c r="SZB15" s="9"/>
      <c r="SZC15" s="9"/>
      <c r="SZD15" s="10"/>
      <c r="SZE15" s="11"/>
      <c r="SZF15" s="12"/>
      <c r="SZG15" s="12"/>
      <c r="SZH15" s="12"/>
      <c r="SZI15" s="13"/>
      <c r="SZJ15" s="9"/>
      <c r="SZK15" s="9"/>
      <c r="SZL15" s="9"/>
      <c r="SZM15" s="9"/>
      <c r="SZN15" s="10"/>
      <c r="SZO15" s="11"/>
      <c r="SZP15" s="12"/>
      <c r="SZQ15" s="12"/>
      <c r="SZR15" s="12"/>
      <c r="SZS15" s="13"/>
      <c r="SZT15" s="9"/>
      <c r="SZU15" s="9"/>
      <c r="SZV15" s="9"/>
      <c r="SZW15" s="9"/>
      <c r="SZX15" s="10"/>
      <c r="SZY15" s="11"/>
      <c r="SZZ15" s="12"/>
      <c r="TAA15" s="12"/>
      <c r="TAB15" s="12"/>
      <c r="TAC15" s="13"/>
      <c r="TAD15" s="9"/>
      <c r="TAE15" s="9"/>
      <c r="TAF15" s="9"/>
      <c r="TAG15" s="9"/>
      <c r="TAH15" s="10"/>
      <c r="TAI15" s="11"/>
      <c r="TAJ15" s="12"/>
      <c r="TAK15" s="12"/>
      <c r="TAL15" s="12"/>
      <c r="TAM15" s="13"/>
      <c r="TAN15" s="9"/>
      <c r="TAO15" s="9"/>
      <c r="TAP15" s="9"/>
      <c r="TAQ15" s="9"/>
      <c r="TAR15" s="10"/>
      <c r="TAS15" s="11"/>
      <c r="TAT15" s="12"/>
      <c r="TAU15" s="12"/>
      <c r="TAV15" s="12"/>
      <c r="TAW15" s="13"/>
      <c r="TAX15" s="9"/>
      <c r="TAY15" s="9"/>
      <c r="TAZ15" s="9"/>
      <c r="TBA15" s="9"/>
      <c r="TBB15" s="10"/>
      <c r="TBC15" s="11"/>
      <c r="TBD15" s="12"/>
      <c r="TBE15" s="12"/>
      <c r="TBF15" s="12"/>
      <c r="TBG15" s="13"/>
      <c r="TBH15" s="9"/>
      <c r="TBI15" s="9"/>
      <c r="TBJ15" s="9"/>
      <c r="TBK15" s="9"/>
      <c r="TBL15" s="10"/>
      <c r="TBM15" s="11"/>
      <c r="TBN15" s="12"/>
      <c r="TBO15" s="12"/>
      <c r="TBP15" s="12"/>
      <c r="TBQ15" s="13"/>
      <c r="TBR15" s="9"/>
      <c r="TBS15" s="9"/>
      <c r="TBT15" s="9"/>
      <c r="TBU15" s="9"/>
      <c r="TBV15" s="10"/>
      <c r="TBW15" s="11"/>
      <c r="TBX15" s="12"/>
      <c r="TBY15" s="12"/>
      <c r="TBZ15" s="12"/>
      <c r="TCA15" s="13"/>
      <c r="TCB15" s="9"/>
      <c r="TCC15" s="9"/>
      <c r="TCD15" s="9"/>
      <c r="TCE15" s="9"/>
      <c r="TCF15" s="10"/>
      <c r="TCG15" s="11"/>
      <c r="TCH15" s="12"/>
      <c r="TCI15" s="12"/>
      <c r="TCJ15" s="12"/>
      <c r="TCK15" s="13"/>
      <c r="TCL15" s="9"/>
      <c r="TCM15" s="9"/>
      <c r="TCN15" s="9"/>
      <c r="TCO15" s="9"/>
      <c r="TCP15" s="10"/>
      <c r="TCQ15" s="11"/>
      <c r="TCR15" s="12"/>
      <c r="TCS15" s="12"/>
      <c r="TCT15" s="12"/>
      <c r="TCU15" s="13"/>
      <c r="TCV15" s="9"/>
      <c r="TCW15" s="9"/>
      <c r="TCX15" s="9"/>
      <c r="TCY15" s="9"/>
      <c r="TCZ15" s="10"/>
      <c r="TDA15" s="11"/>
      <c r="TDB15" s="12"/>
      <c r="TDC15" s="12"/>
      <c r="TDD15" s="12"/>
      <c r="TDE15" s="13"/>
      <c r="TDF15" s="9"/>
      <c r="TDG15" s="9"/>
      <c r="TDH15" s="9"/>
      <c r="TDI15" s="9"/>
      <c r="TDJ15" s="10"/>
      <c r="TDK15" s="11"/>
      <c r="TDL15" s="12"/>
      <c r="TDM15" s="12"/>
      <c r="TDN15" s="12"/>
      <c r="TDO15" s="13"/>
      <c r="TDP15" s="9"/>
      <c r="TDQ15" s="9"/>
      <c r="TDR15" s="9"/>
      <c r="TDS15" s="9"/>
      <c r="TDT15" s="10"/>
      <c r="TDU15" s="11"/>
      <c r="TDV15" s="12"/>
      <c r="TDW15" s="12"/>
      <c r="TDX15" s="12"/>
      <c r="TDY15" s="13"/>
      <c r="TDZ15" s="9"/>
      <c r="TEA15" s="9"/>
      <c r="TEB15" s="9"/>
      <c r="TEC15" s="9"/>
      <c r="TED15" s="10"/>
      <c r="TEE15" s="11"/>
      <c r="TEF15" s="12"/>
      <c r="TEG15" s="12"/>
      <c r="TEH15" s="12"/>
      <c r="TEI15" s="13"/>
      <c r="TEJ15" s="9"/>
      <c r="TEK15" s="9"/>
      <c r="TEL15" s="9"/>
      <c r="TEM15" s="9"/>
      <c r="TEN15" s="10"/>
      <c r="TEO15" s="11"/>
      <c r="TEP15" s="12"/>
      <c r="TEQ15" s="12"/>
      <c r="TER15" s="12"/>
      <c r="TES15" s="13"/>
      <c r="TET15" s="9"/>
      <c r="TEU15" s="9"/>
      <c r="TEV15" s="9"/>
      <c r="TEW15" s="9"/>
      <c r="TEX15" s="10"/>
      <c r="TEY15" s="11"/>
      <c r="TEZ15" s="12"/>
      <c r="TFA15" s="12"/>
      <c r="TFB15" s="12"/>
      <c r="TFC15" s="13"/>
      <c r="TFD15" s="9"/>
      <c r="TFE15" s="9"/>
      <c r="TFF15" s="9"/>
      <c r="TFG15" s="9"/>
      <c r="TFH15" s="10"/>
      <c r="TFI15" s="11"/>
      <c r="TFJ15" s="12"/>
      <c r="TFK15" s="12"/>
      <c r="TFL15" s="12"/>
      <c r="TFM15" s="13"/>
      <c r="TFN15" s="9"/>
      <c r="TFO15" s="9"/>
      <c r="TFP15" s="9"/>
      <c r="TFQ15" s="9"/>
      <c r="TFR15" s="10"/>
      <c r="TFS15" s="11"/>
      <c r="TFT15" s="12"/>
      <c r="TFU15" s="12"/>
      <c r="TFV15" s="12"/>
      <c r="TFW15" s="13"/>
      <c r="TFX15" s="9"/>
      <c r="TFY15" s="9"/>
      <c r="TFZ15" s="9"/>
      <c r="TGA15" s="9"/>
      <c r="TGB15" s="10"/>
      <c r="TGC15" s="11"/>
      <c r="TGD15" s="12"/>
      <c r="TGE15" s="12"/>
      <c r="TGF15" s="12"/>
      <c r="TGG15" s="13"/>
      <c r="TGH15" s="9"/>
      <c r="TGI15" s="9"/>
      <c r="TGJ15" s="9"/>
      <c r="TGK15" s="9"/>
      <c r="TGL15" s="10"/>
      <c r="TGM15" s="11"/>
      <c r="TGN15" s="12"/>
      <c r="TGO15" s="12"/>
      <c r="TGP15" s="12"/>
      <c r="TGQ15" s="13"/>
      <c r="TGR15" s="9"/>
      <c r="TGS15" s="9"/>
      <c r="TGT15" s="9"/>
      <c r="TGU15" s="9"/>
      <c r="TGV15" s="10"/>
      <c r="TGW15" s="11"/>
      <c r="TGX15" s="12"/>
      <c r="TGY15" s="12"/>
      <c r="TGZ15" s="12"/>
      <c r="THA15" s="13"/>
      <c r="THB15" s="9"/>
      <c r="THC15" s="9"/>
      <c r="THD15" s="9"/>
      <c r="THE15" s="9"/>
      <c r="THF15" s="10"/>
      <c r="THG15" s="11"/>
      <c r="THH15" s="12"/>
      <c r="THI15" s="12"/>
      <c r="THJ15" s="12"/>
      <c r="THK15" s="13"/>
      <c r="THL15" s="9"/>
      <c r="THM15" s="9"/>
      <c r="THN15" s="9"/>
      <c r="THO15" s="9"/>
      <c r="THP15" s="10"/>
      <c r="THQ15" s="11"/>
      <c r="THR15" s="12"/>
      <c r="THS15" s="12"/>
      <c r="THT15" s="12"/>
      <c r="THU15" s="13"/>
      <c r="THV15" s="9"/>
      <c r="THW15" s="9"/>
      <c r="THX15" s="9"/>
      <c r="THY15" s="9"/>
      <c r="THZ15" s="10"/>
      <c r="TIA15" s="11"/>
      <c r="TIB15" s="12"/>
      <c r="TIC15" s="12"/>
      <c r="TID15" s="12"/>
      <c r="TIE15" s="13"/>
      <c r="TIF15" s="9"/>
      <c r="TIG15" s="9"/>
      <c r="TIH15" s="9"/>
      <c r="TII15" s="9"/>
      <c r="TIJ15" s="10"/>
      <c r="TIK15" s="11"/>
      <c r="TIL15" s="12"/>
      <c r="TIM15" s="12"/>
      <c r="TIN15" s="12"/>
      <c r="TIO15" s="13"/>
      <c r="TIP15" s="9"/>
      <c r="TIQ15" s="9"/>
      <c r="TIR15" s="9"/>
      <c r="TIS15" s="9"/>
      <c r="TIT15" s="10"/>
      <c r="TIU15" s="11"/>
      <c r="TIV15" s="12"/>
      <c r="TIW15" s="12"/>
      <c r="TIX15" s="12"/>
      <c r="TIY15" s="13"/>
      <c r="TIZ15" s="9"/>
      <c r="TJA15" s="9"/>
      <c r="TJB15" s="9"/>
      <c r="TJC15" s="9"/>
      <c r="TJD15" s="10"/>
      <c r="TJE15" s="11"/>
      <c r="TJF15" s="12"/>
      <c r="TJG15" s="12"/>
      <c r="TJH15" s="12"/>
      <c r="TJI15" s="13"/>
      <c r="TJJ15" s="9"/>
      <c r="TJK15" s="9"/>
      <c r="TJL15" s="9"/>
      <c r="TJM15" s="9"/>
      <c r="TJN15" s="10"/>
      <c r="TJO15" s="11"/>
      <c r="TJP15" s="12"/>
      <c r="TJQ15" s="12"/>
      <c r="TJR15" s="12"/>
      <c r="TJS15" s="13"/>
      <c r="TJT15" s="9"/>
      <c r="TJU15" s="9"/>
      <c r="TJV15" s="9"/>
      <c r="TJW15" s="9"/>
      <c r="TJX15" s="10"/>
      <c r="TJY15" s="11"/>
      <c r="TJZ15" s="12"/>
      <c r="TKA15" s="12"/>
      <c r="TKB15" s="12"/>
      <c r="TKC15" s="13"/>
      <c r="TKD15" s="9"/>
      <c r="TKE15" s="9"/>
      <c r="TKF15" s="9"/>
      <c r="TKG15" s="9"/>
      <c r="TKH15" s="10"/>
      <c r="TKI15" s="11"/>
      <c r="TKJ15" s="12"/>
      <c r="TKK15" s="12"/>
      <c r="TKL15" s="12"/>
      <c r="TKM15" s="13"/>
      <c r="TKN15" s="9"/>
      <c r="TKO15" s="9"/>
      <c r="TKP15" s="9"/>
      <c r="TKQ15" s="9"/>
      <c r="TKR15" s="10"/>
      <c r="TKS15" s="11"/>
      <c r="TKT15" s="12"/>
      <c r="TKU15" s="12"/>
      <c r="TKV15" s="12"/>
      <c r="TKW15" s="13"/>
      <c r="TKX15" s="9"/>
      <c r="TKY15" s="9"/>
      <c r="TKZ15" s="9"/>
      <c r="TLA15" s="9"/>
      <c r="TLB15" s="10"/>
      <c r="TLC15" s="11"/>
      <c r="TLD15" s="12"/>
      <c r="TLE15" s="12"/>
      <c r="TLF15" s="12"/>
      <c r="TLG15" s="13"/>
      <c r="TLH15" s="9"/>
      <c r="TLI15" s="9"/>
      <c r="TLJ15" s="9"/>
      <c r="TLK15" s="9"/>
      <c r="TLL15" s="10"/>
      <c r="TLM15" s="11"/>
      <c r="TLN15" s="12"/>
      <c r="TLO15" s="12"/>
      <c r="TLP15" s="12"/>
      <c r="TLQ15" s="13"/>
      <c r="TLR15" s="9"/>
      <c r="TLS15" s="9"/>
      <c r="TLT15" s="9"/>
      <c r="TLU15" s="9"/>
      <c r="TLV15" s="10"/>
      <c r="TLW15" s="11"/>
      <c r="TLX15" s="12"/>
      <c r="TLY15" s="12"/>
      <c r="TLZ15" s="12"/>
      <c r="TMA15" s="13"/>
      <c r="TMB15" s="9"/>
      <c r="TMC15" s="9"/>
      <c r="TMD15" s="9"/>
      <c r="TME15" s="9"/>
      <c r="TMF15" s="10"/>
      <c r="TMG15" s="11"/>
      <c r="TMH15" s="12"/>
      <c r="TMI15" s="12"/>
      <c r="TMJ15" s="12"/>
      <c r="TMK15" s="13"/>
      <c r="TML15" s="9"/>
      <c r="TMM15" s="9"/>
      <c r="TMN15" s="9"/>
      <c r="TMO15" s="9"/>
      <c r="TMP15" s="10"/>
      <c r="TMQ15" s="11"/>
      <c r="TMR15" s="12"/>
      <c r="TMS15" s="12"/>
      <c r="TMT15" s="12"/>
      <c r="TMU15" s="13"/>
      <c r="TMV15" s="9"/>
      <c r="TMW15" s="9"/>
      <c r="TMX15" s="9"/>
      <c r="TMY15" s="9"/>
      <c r="TMZ15" s="10"/>
      <c r="TNA15" s="11"/>
      <c r="TNB15" s="12"/>
      <c r="TNC15" s="12"/>
      <c r="TND15" s="12"/>
      <c r="TNE15" s="13"/>
      <c r="TNF15" s="9"/>
      <c r="TNG15" s="9"/>
      <c r="TNH15" s="9"/>
      <c r="TNI15" s="9"/>
      <c r="TNJ15" s="10"/>
      <c r="TNK15" s="11"/>
      <c r="TNL15" s="12"/>
      <c r="TNM15" s="12"/>
      <c r="TNN15" s="12"/>
      <c r="TNO15" s="13"/>
      <c r="TNP15" s="9"/>
      <c r="TNQ15" s="9"/>
      <c r="TNR15" s="9"/>
      <c r="TNS15" s="9"/>
      <c r="TNT15" s="10"/>
      <c r="TNU15" s="11"/>
      <c r="TNV15" s="12"/>
      <c r="TNW15" s="12"/>
      <c r="TNX15" s="12"/>
      <c r="TNY15" s="13"/>
      <c r="TNZ15" s="9"/>
      <c r="TOA15" s="9"/>
      <c r="TOB15" s="9"/>
      <c r="TOC15" s="9"/>
      <c r="TOD15" s="10"/>
      <c r="TOE15" s="11"/>
      <c r="TOF15" s="12"/>
      <c r="TOG15" s="12"/>
      <c r="TOH15" s="12"/>
      <c r="TOI15" s="13"/>
      <c r="TOJ15" s="9"/>
      <c r="TOK15" s="9"/>
      <c r="TOL15" s="9"/>
      <c r="TOM15" s="9"/>
      <c r="TON15" s="10"/>
      <c r="TOO15" s="11"/>
      <c r="TOP15" s="12"/>
      <c r="TOQ15" s="12"/>
      <c r="TOR15" s="12"/>
      <c r="TOS15" s="13"/>
      <c r="TOT15" s="9"/>
      <c r="TOU15" s="9"/>
      <c r="TOV15" s="9"/>
      <c r="TOW15" s="9"/>
      <c r="TOX15" s="10"/>
      <c r="TOY15" s="11"/>
      <c r="TOZ15" s="12"/>
      <c r="TPA15" s="12"/>
      <c r="TPB15" s="12"/>
      <c r="TPC15" s="13"/>
      <c r="TPD15" s="9"/>
      <c r="TPE15" s="9"/>
      <c r="TPF15" s="9"/>
      <c r="TPG15" s="9"/>
      <c r="TPH15" s="10"/>
      <c r="TPI15" s="11"/>
      <c r="TPJ15" s="12"/>
      <c r="TPK15" s="12"/>
      <c r="TPL15" s="12"/>
      <c r="TPM15" s="13"/>
      <c r="TPN15" s="9"/>
      <c r="TPO15" s="9"/>
      <c r="TPP15" s="9"/>
      <c r="TPQ15" s="9"/>
      <c r="TPR15" s="10"/>
      <c r="TPS15" s="11"/>
      <c r="TPT15" s="12"/>
      <c r="TPU15" s="12"/>
      <c r="TPV15" s="12"/>
      <c r="TPW15" s="13"/>
      <c r="TPX15" s="9"/>
      <c r="TPY15" s="9"/>
      <c r="TPZ15" s="9"/>
      <c r="TQA15" s="9"/>
      <c r="TQB15" s="10"/>
      <c r="TQC15" s="11"/>
      <c r="TQD15" s="12"/>
      <c r="TQE15" s="12"/>
      <c r="TQF15" s="12"/>
      <c r="TQG15" s="13"/>
      <c r="TQH15" s="9"/>
      <c r="TQI15" s="9"/>
      <c r="TQJ15" s="9"/>
      <c r="TQK15" s="9"/>
      <c r="TQL15" s="10"/>
      <c r="TQM15" s="11"/>
      <c r="TQN15" s="12"/>
      <c r="TQO15" s="12"/>
      <c r="TQP15" s="12"/>
      <c r="TQQ15" s="13"/>
      <c r="TQR15" s="9"/>
      <c r="TQS15" s="9"/>
      <c r="TQT15" s="9"/>
      <c r="TQU15" s="9"/>
      <c r="TQV15" s="10"/>
      <c r="TQW15" s="11"/>
      <c r="TQX15" s="12"/>
      <c r="TQY15" s="12"/>
      <c r="TQZ15" s="12"/>
      <c r="TRA15" s="13"/>
      <c r="TRB15" s="9"/>
      <c r="TRC15" s="9"/>
      <c r="TRD15" s="9"/>
      <c r="TRE15" s="9"/>
      <c r="TRF15" s="10"/>
      <c r="TRG15" s="11"/>
      <c r="TRH15" s="12"/>
      <c r="TRI15" s="12"/>
      <c r="TRJ15" s="12"/>
      <c r="TRK15" s="13"/>
      <c r="TRL15" s="9"/>
      <c r="TRM15" s="9"/>
      <c r="TRN15" s="9"/>
      <c r="TRO15" s="9"/>
      <c r="TRP15" s="10"/>
      <c r="TRQ15" s="11"/>
      <c r="TRR15" s="12"/>
      <c r="TRS15" s="12"/>
      <c r="TRT15" s="12"/>
      <c r="TRU15" s="13"/>
      <c r="TRV15" s="9"/>
      <c r="TRW15" s="9"/>
      <c r="TRX15" s="9"/>
      <c r="TRY15" s="9"/>
      <c r="TRZ15" s="10"/>
      <c r="TSA15" s="11"/>
      <c r="TSB15" s="12"/>
      <c r="TSC15" s="12"/>
      <c r="TSD15" s="12"/>
      <c r="TSE15" s="13"/>
      <c r="TSF15" s="9"/>
      <c r="TSG15" s="9"/>
      <c r="TSH15" s="9"/>
      <c r="TSI15" s="9"/>
      <c r="TSJ15" s="10"/>
      <c r="TSK15" s="11"/>
      <c r="TSL15" s="12"/>
      <c r="TSM15" s="12"/>
      <c r="TSN15" s="12"/>
      <c r="TSO15" s="13"/>
      <c r="TSP15" s="9"/>
      <c r="TSQ15" s="9"/>
      <c r="TSR15" s="9"/>
      <c r="TSS15" s="9"/>
      <c r="TST15" s="10"/>
      <c r="TSU15" s="11"/>
      <c r="TSV15" s="12"/>
      <c r="TSW15" s="12"/>
      <c r="TSX15" s="12"/>
      <c r="TSY15" s="13"/>
      <c r="TSZ15" s="9"/>
      <c r="TTA15" s="9"/>
      <c r="TTB15" s="9"/>
      <c r="TTC15" s="9"/>
      <c r="TTD15" s="10"/>
      <c r="TTE15" s="11"/>
      <c r="TTF15" s="12"/>
      <c r="TTG15" s="12"/>
      <c r="TTH15" s="12"/>
      <c r="TTI15" s="13"/>
      <c r="TTJ15" s="9"/>
      <c r="TTK15" s="9"/>
      <c r="TTL15" s="9"/>
      <c r="TTM15" s="9"/>
      <c r="TTN15" s="10"/>
      <c r="TTO15" s="11"/>
      <c r="TTP15" s="12"/>
      <c r="TTQ15" s="12"/>
      <c r="TTR15" s="12"/>
      <c r="TTS15" s="13"/>
      <c r="TTT15" s="9"/>
      <c r="TTU15" s="9"/>
      <c r="TTV15" s="9"/>
      <c r="TTW15" s="9"/>
      <c r="TTX15" s="10"/>
      <c r="TTY15" s="11"/>
      <c r="TTZ15" s="12"/>
      <c r="TUA15" s="12"/>
      <c r="TUB15" s="12"/>
      <c r="TUC15" s="13"/>
      <c r="TUD15" s="9"/>
      <c r="TUE15" s="9"/>
      <c r="TUF15" s="9"/>
      <c r="TUG15" s="9"/>
      <c r="TUH15" s="10"/>
      <c r="TUI15" s="11"/>
      <c r="TUJ15" s="12"/>
      <c r="TUK15" s="12"/>
      <c r="TUL15" s="12"/>
      <c r="TUM15" s="13"/>
      <c r="TUN15" s="9"/>
      <c r="TUO15" s="9"/>
      <c r="TUP15" s="9"/>
      <c r="TUQ15" s="9"/>
      <c r="TUR15" s="10"/>
      <c r="TUS15" s="11"/>
      <c r="TUT15" s="12"/>
      <c r="TUU15" s="12"/>
      <c r="TUV15" s="12"/>
      <c r="TUW15" s="13"/>
      <c r="TUX15" s="9"/>
      <c r="TUY15" s="9"/>
      <c r="TUZ15" s="9"/>
      <c r="TVA15" s="9"/>
      <c r="TVB15" s="10"/>
      <c r="TVC15" s="11"/>
      <c r="TVD15" s="12"/>
      <c r="TVE15" s="12"/>
      <c r="TVF15" s="12"/>
      <c r="TVG15" s="13"/>
      <c r="TVH15" s="9"/>
      <c r="TVI15" s="9"/>
      <c r="TVJ15" s="9"/>
      <c r="TVK15" s="9"/>
      <c r="TVL15" s="10"/>
      <c r="TVM15" s="11"/>
      <c r="TVN15" s="12"/>
      <c r="TVO15" s="12"/>
      <c r="TVP15" s="12"/>
      <c r="TVQ15" s="13"/>
      <c r="TVR15" s="9"/>
      <c r="TVS15" s="9"/>
      <c r="TVT15" s="9"/>
      <c r="TVU15" s="9"/>
      <c r="TVV15" s="10"/>
      <c r="TVW15" s="11"/>
      <c r="TVX15" s="12"/>
      <c r="TVY15" s="12"/>
      <c r="TVZ15" s="12"/>
      <c r="TWA15" s="13"/>
      <c r="TWB15" s="9"/>
      <c r="TWC15" s="9"/>
      <c r="TWD15" s="9"/>
      <c r="TWE15" s="9"/>
      <c r="TWF15" s="10"/>
      <c r="TWG15" s="11"/>
      <c r="TWH15" s="12"/>
      <c r="TWI15" s="12"/>
      <c r="TWJ15" s="12"/>
      <c r="TWK15" s="13"/>
      <c r="TWL15" s="9"/>
      <c r="TWM15" s="9"/>
      <c r="TWN15" s="9"/>
      <c r="TWO15" s="9"/>
      <c r="TWP15" s="10"/>
      <c r="TWQ15" s="11"/>
      <c r="TWR15" s="12"/>
      <c r="TWS15" s="12"/>
      <c r="TWT15" s="12"/>
      <c r="TWU15" s="13"/>
      <c r="TWV15" s="9"/>
      <c r="TWW15" s="9"/>
      <c r="TWX15" s="9"/>
      <c r="TWY15" s="9"/>
      <c r="TWZ15" s="10"/>
      <c r="TXA15" s="11"/>
      <c r="TXB15" s="12"/>
      <c r="TXC15" s="12"/>
      <c r="TXD15" s="12"/>
      <c r="TXE15" s="13"/>
      <c r="TXF15" s="9"/>
      <c r="TXG15" s="9"/>
      <c r="TXH15" s="9"/>
      <c r="TXI15" s="9"/>
      <c r="TXJ15" s="10"/>
      <c r="TXK15" s="11"/>
      <c r="TXL15" s="12"/>
      <c r="TXM15" s="12"/>
      <c r="TXN15" s="12"/>
      <c r="TXO15" s="13"/>
      <c r="TXP15" s="9"/>
      <c r="TXQ15" s="9"/>
      <c r="TXR15" s="9"/>
      <c r="TXS15" s="9"/>
      <c r="TXT15" s="10"/>
      <c r="TXU15" s="11"/>
      <c r="TXV15" s="12"/>
      <c r="TXW15" s="12"/>
      <c r="TXX15" s="12"/>
      <c r="TXY15" s="13"/>
      <c r="TXZ15" s="9"/>
      <c r="TYA15" s="9"/>
      <c r="TYB15" s="9"/>
      <c r="TYC15" s="9"/>
      <c r="TYD15" s="10"/>
      <c r="TYE15" s="11"/>
      <c r="TYF15" s="12"/>
      <c r="TYG15" s="12"/>
      <c r="TYH15" s="12"/>
      <c r="TYI15" s="13"/>
      <c r="TYJ15" s="9"/>
      <c r="TYK15" s="9"/>
      <c r="TYL15" s="9"/>
      <c r="TYM15" s="9"/>
      <c r="TYN15" s="10"/>
      <c r="TYO15" s="11"/>
      <c r="TYP15" s="12"/>
      <c r="TYQ15" s="12"/>
      <c r="TYR15" s="12"/>
      <c r="TYS15" s="13"/>
      <c r="TYT15" s="9"/>
      <c r="TYU15" s="9"/>
      <c r="TYV15" s="9"/>
      <c r="TYW15" s="9"/>
      <c r="TYX15" s="10"/>
      <c r="TYY15" s="11"/>
      <c r="TYZ15" s="12"/>
      <c r="TZA15" s="12"/>
      <c r="TZB15" s="12"/>
      <c r="TZC15" s="13"/>
      <c r="TZD15" s="9"/>
      <c r="TZE15" s="9"/>
      <c r="TZF15" s="9"/>
      <c r="TZG15" s="9"/>
      <c r="TZH15" s="10"/>
      <c r="TZI15" s="11"/>
      <c r="TZJ15" s="12"/>
      <c r="TZK15" s="12"/>
      <c r="TZL15" s="12"/>
      <c r="TZM15" s="13"/>
      <c r="TZN15" s="9"/>
      <c r="TZO15" s="9"/>
      <c r="TZP15" s="9"/>
      <c r="TZQ15" s="9"/>
      <c r="TZR15" s="10"/>
      <c r="TZS15" s="11"/>
      <c r="TZT15" s="12"/>
      <c r="TZU15" s="12"/>
      <c r="TZV15" s="12"/>
      <c r="TZW15" s="13"/>
      <c r="TZX15" s="9"/>
      <c r="TZY15" s="9"/>
      <c r="TZZ15" s="9"/>
      <c r="UAA15" s="9"/>
      <c r="UAB15" s="10"/>
      <c r="UAC15" s="11"/>
      <c r="UAD15" s="12"/>
      <c r="UAE15" s="12"/>
      <c r="UAF15" s="12"/>
      <c r="UAG15" s="13"/>
      <c r="UAH15" s="9"/>
      <c r="UAI15" s="9"/>
      <c r="UAJ15" s="9"/>
      <c r="UAK15" s="9"/>
      <c r="UAL15" s="10"/>
      <c r="UAM15" s="11"/>
      <c r="UAN15" s="12"/>
      <c r="UAO15" s="12"/>
      <c r="UAP15" s="12"/>
      <c r="UAQ15" s="13"/>
      <c r="UAR15" s="9"/>
      <c r="UAS15" s="9"/>
      <c r="UAT15" s="9"/>
      <c r="UAU15" s="9"/>
      <c r="UAV15" s="10"/>
      <c r="UAW15" s="11"/>
      <c r="UAX15" s="12"/>
      <c r="UAY15" s="12"/>
      <c r="UAZ15" s="12"/>
      <c r="UBA15" s="13"/>
      <c r="UBB15" s="9"/>
      <c r="UBC15" s="9"/>
      <c r="UBD15" s="9"/>
      <c r="UBE15" s="9"/>
      <c r="UBF15" s="10"/>
      <c r="UBG15" s="11"/>
      <c r="UBH15" s="12"/>
      <c r="UBI15" s="12"/>
      <c r="UBJ15" s="12"/>
      <c r="UBK15" s="13"/>
      <c r="UBL15" s="9"/>
      <c r="UBM15" s="9"/>
      <c r="UBN15" s="9"/>
      <c r="UBO15" s="9"/>
      <c r="UBP15" s="10"/>
      <c r="UBQ15" s="11"/>
      <c r="UBR15" s="12"/>
      <c r="UBS15" s="12"/>
      <c r="UBT15" s="12"/>
      <c r="UBU15" s="13"/>
      <c r="UBV15" s="9"/>
      <c r="UBW15" s="9"/>
      <c r="UBX15" s="9"/>
      <c r="UBY15" s="9"/>
      <c r="UBZ15" s="10"/>
      <c r="UCA15" s="11"/>
      <c r="UCB15" s="12"/>
      <c r="UCC15" s="12"/>
      <c r="UCD15" s="12"/>
      <c r="UCE15" s="13"/>
      <c r="UCF15" s="9"/>
      <c r="UCG15" s="9"/>
      <c r="UCH15" s="9"/>
      <c r="UCI15" s="9"/>
      <c r="UCJ15" s="10"/>
      <c r="UCK15" s="11"/>
      <c r="UCL15" s="12"/>
      <c r="UCM15" s="12"/>
      <c r="UCN15" s="12"/>
      <c r="UCO15" s="13"/>
      <c r="UCP15" s="9"/>
      <c r="UCQ15" s="9"/>
      <c r="UCR15" s="9"/>
      <c r="UCS15" s="9"/>
      <c r="UCT15" s="10"/>
      <c r="UCU15" s="11"/>
      <c r="UCV15" s="12"/>
      <c r="UCW15" s="12"/>
      <c r="UCX15" s="12"/>
      <c r="UCY15" s="13"/>
      <c r="UCZ15" s="9"/>
      <c r="UDA15" s="9"/>
      <c r="UDB15" s="9"/>
      <c r="UDC15" s="9"/>
      <c r="UDD15" s="10"/>
      <c r="UDE15" s="11"/>
      <c r="UDF15" s="12"/>
      <c r="UDG15" s="12"/>
      <c r="UDH15" s="12"/>
      <c r="UDI15" s="13"/>
      <c r="UDJ15" s="9"/>
      <c r="UDK15" s="9"/>
      <c r="UDL15" s="9"/>
      <c r="UDM15" s="9"/>
      <c r="UDN15" s="10"/>
      <c r="UDO15" s="11"/>
      <c r="UDP15" s="12"/>
      <c r="UDQ15" s="12"/>
      <c r="UDR15" s="12"/>
      <c r="UDS15" s="13"/>
      <c r="UDT15" s="9"/>
      <c r="UDU15" s="9"/>
      <c r="UDV15" s="9"/>
      <c r="UDW15" s="9"/>
      <c r="UDX15" s="10"/>
      <c r="UDY15" s="11"/>
      <c r="UDZ15" s="12"/>
      <c r="UEA15" s="12"/>
      <c r="UEB15" s="12"/>
      <c r="UEC15" s="13"/>
      <c r="UED15" s="9"/>
      <c r="UEE15" s="9"/>
      <c r="UEF15" s="9"/>
      <c r="UEG15" s="9"/>
      <c r="UEH15" s="10"/>
      <c r="UEI15" s="11"/>
      <c r="UEJ15" s="12"/>
      <c r="UEK15" s="12"/>
      <c r="UEL15" s="12"/>
      <c r="UEM15" s="13"/>
      <c r="UEN15" s="9"/>
      <c r="UEO15" s="9"/>
      <c r="UEP15" s="9"/>
      <c r="UEQ15" s="9"/>
      <c r="UER15" s="10"/>
      <c r="UES15" s="11"/>
      <c r="UET15" s="12"/>
      <c r="UEU15" s="12"/>
      <c r="UEV15" s="12"/>
      <c r="UEW15" s="13"/>
      <c r="UEX15" s="9"/>
      <c r="UEY15" s="9"/>
      <c r="UEZ15" s="9"/>
      <c r="UFA15" s="9"/>
      <c r="UFB15" s="10"/>
      <c r="UFC15" s="11"/>
      <c r="UFD15" s="12"/>
      <c r="UFE15" s="12"/>
      <c r="UFF15" s="12"/>
      <c r="UFG15" s="13"/>
      <c r="UFH15" s="9"/>
      <c r="UFI15" s="9"/>
      <c r="UFJ15" s="9"/>
      <c r="UFK15" s="9"/>
      <c r="UFL15" s="10"/>
      <c r="UFM15" s="11"/>
      <c r="UFN15" s="12"/>
      <c r="UFO15" s="12"/>
      <c r="UFP15" s="12"/>
      <c r="UFQ15" s="13"/>
      <c r="UFR15" s="9"/>
      <c r="UFS15" s="9"/>
      <c r="UFT15" s="9"/>
      <c r="UFU15" s="9"/>
      <c r="UFV15" s="10"/>
      <c r="UFW15" s="11"/>
      <c r="UFX15" s="12"/>
      <c r="UFY15" s="12"/>
      <c r="UFZ15" s="12"/>
      <c r="UGA15" s="13"/>
      <c r="UGB15" s="9"/>
      <c r="UGC15" s="9"/>
      <c r="UGD15" s="9"/>
      <c r="UGE15" s="9"/>
      <c r="UGF15" s="10"/>
      <c r="UGG15" s="11"/>
      <c r="UGH15" s="12"/>
      <c r="UGI15" s="12"/>
      <c r="UGJ15" s="12"/>
      <c r="UGK15" s="13"/>
      <c r="UGL15" s="9"/>
      <c r="UGM15" s="9"/>
      <c r="UGN15" s="9"/>
      <c r="UGO15" s="9"/>
      <c r="UGP15" s="10"/>
      <c r="UGQ15" s="11"/>
      <c r="UGR15" s="12"/>
      <c r="UGS15" s="12"/>
      <c r="UGT15" s="12"/>
      <c r="UGU15" s="13"/>
      <c r="UGV15" s="9"/>
      <c r="UGW15" s="9"/>
      <c r="UGX15" s="9"/>
      <c r="UGY15" s="9"/>
      <c r="UGZ15" s="10"/>
      <c r="UHA15" s="11"/>
      <c r="UHB15" s="12"/>
      <c r="UHC15" s="12"/>
      <c r="UHD15" s="12"/>
      <c r="UHE15" s="13"/>
      <c r="UHF15" s="9"/>
      <c r="UHG15" s="9"/>
      <c r="UHH15" s="9"/>
      <c r="UHI15" s="9"/>
      <c r="UHJ15" s="10"/>
      <c r="UHK15" s="11"/>
      <c r="UHL15" s="12"/>
      <c r="UHM15" s="12"/>
      <c r="UHN15" s="12"/>
      <c r="UHO15" s="13"/>
      <c r="UHP15" s="9"/>
      <c r="UHQ15" s="9"/>
      <c r="UHR15" s="9"/>
      <c r="UHS15" s="9"/>
      <c r="UHT15" s="10"/>
      <c r="UHU15" s="11"/>
      <c r="UHV15" s="12"/>
      <c r="UHW15" s="12"/>
      <c r="UHX15" s="12"/>
      <c r="UHY15" s="13"/>
      <c r="UHZ15" s="9"/>
      <c r="UIA15" s="9"/>
      <c r="UIB15" s="9"/>
      <c r="UIC15" s="9"/>
      <c r="UID15" s="10"/>
      <c r="UIE15" s="11"/>
      <c r="UIF15" s="12"/>
      <c r="UIG15" s="12"/>
      <c r="UIH15" s="12"/>
      <c r="UII15" s="13"/>
      <c r="UIJ15" s="9"/>
      <c r="UIK15" s="9"/>
      <c r="UIL15" s="9"/>
      <c r="UIM15" s="9"/>
      <c r="UIN15" s="10"/>
      <c r="UIO15" s="11"/>
      <c r="UIP15" s="12"/>
      <c r="UIQ15" s="12"/>
      <c r="UIR15" s="12"/>
      <c r="UIS15" s="13"/>
      <c r="UIT15" s="9"/>
      <c r="UIU15" s="9"/>
      <c r="UIV15" s="9"/>
      <c r="UIW15" s="9"/>
      <c r="UIX15" s="10"/>
      <c r="UIY15" s="11"/>
      <c r="UIZ15" s="12"/>
      <c r="UJA15" s="12"/>
      <c r="UJB15" s="12"/>
      <c r="UJC15" s="13"/>
      <c r="UJD15" s="9"/>
      <c r="UJE15" s="9"/>
      <c r="UJF15" s="9"/>
      <c r="UJG15" s="9"/>
      <c r="UJH15" s="10"/>
      <c r="UJI15" s="11"/>
      <c r="UJJ15" s="12"/>
      <c r="UJK15" s="12"/>
      <c r="UJL15" s="12"/>
      <c r="UJM15" s="13"/>
      <c r="UJN15" s="9"/>
      <c r="UJO15" s="9"/>
      <c r="UJP15" s="9"/>
      <c r="UJQ15" s="9"/>
      <c r="UJR15" s="10"/>
      <c r="UJS15" s="11"/>
      <c r="UJT15" s="12"/>
      <c r="UJU15" s="12"/>
      <c r="UJV15" s="12"/>
      <c r="UJW15" s="13"/>
      <c r="UJX15" s="9"/>
      <c r="UJY15" s="9"/>
      <c r="UJZ15" s="9"/>
      <c r="UKA15" s="9"/>
      <c r="UKB15" s="10"/>
      <c r="UKC15" s="11"/>
      <c r="UKD15" s="12"/>
      <c r="UKE15" s="12"/>
      <c r="UKF15" s="12"/>
      <c r="UKG15" s="13"/>
      <c r="UKH15" s="9"/>
      <c r="UKI15" s="9"/>
      <c r="UKJ15" s="9"/>
      <c r="UKK15" s="9"/>
      <c r="UKL15" s="10"/>
      <c r="UKM15" s="11"/>
      <c r="UKN15" s="12"/>
      <c r="UKO15" s="12"/>
      <c r="UKP15" s="12"/>
      <c r="UKQ15" s="13"/>
      <c r="UKR15" s="9"/>
      <c r="UKS15" s="9"/>
      <c r="UKT15" s="9"/>
      <c r="UKU15" s="9"/>
      <c r="UKV15" s="10"/>
      <c r="UKW15" s="11"/>
      <c r="UKX15" s="12"/>
      <c r="UKY15" s="12"/>
      <c r="UKZ15" s="12"/>
      <c r="ULA15" s="13"/>
      <c r="ULB15" s="9"/>
      <c r="ULC15" s="9"/>
      <c r="ULD15" s="9"/>
      <c r="ULE15" s="9"/>
      <c r="ULF15" s="10"/>
      <c r="ULG15" s="11"/>
      <c r="ULH15" s="12"/>
      <c r="ULI15" s="12"/>
      <c r="ULJ15" s="12"/>
      <c r="ULK15" s="13"/>
      <c r="ULL15" s="9"/>
      <c r="ULM15" s="9"/>
      <c r="ULN15" s="9"/>
      <c r="ULO15" s="9"/>
      <c r="ULP15" s="10"/>
      <c r="ULQ15" s="11"/>
      <c r="ULR15" s="12"/>
      <c r="ULS15" s="12"/>
      <c r="ULT15" s="12"/>
      <c r="ULU15" s="13"/>
      <c r="ULV15" s="9"/>
      <c r="ULW15" s="9"/>
      <c r="ULX15" s="9"/>
      <c r="ULY15" s="9"/>
      <c r="ULZ15" s="10"/>
      <c r="UMA15" s="11"/>
      <c r="UMB15" s="12"/>
      <c r="UMC15" s="12"/>
      <c r="UMD15" s="12"/>
      <c r="UME15" s="13"/>
      <c r="UMF15" s="9"/>
      <c r="UMG15" s="9"/>
      <c r="UMH15" s="9"/>
      <c r="UMI15" s="9"/>
      <c r="UMJ15" s="10"/>
      <c r="UMK15" s="11"/>
      <c r="UML15" s="12"/>
      <c r="UMM15" s="12"/>
      <c r="UMN15" s="12"/>
      <c r="UMO15" s="13"/>
      <c r="UMP15" s="9"/>
      <c r="UMQ15" s="9"/>
      <c r="UMR15" s="9"/>
      <c r="UMS15" s="9"/>
      <c r="UMT15" s="10"/>
      <c r="UMU15" s="11"/>
      <c r="UMV15" s="12"/>
      <c r="UMW15" s="12"/>
      <c r="UMX15" s="12"/>
      <c r="UMY15" s="13"/>
      <c r="UMZ15" s="9"/>
      <c r="UNA15" s="9"/>
      <c r="UNB15" s="9"/>
      <c r="UNC15" s="9"/>
      <c r="UND15" s="10"/>
      <c r="UNE15" s="11"/>
      <c r="UNF15" s="12"/>
      <c r="UNG15" s="12"/>
      <c r="UNH15" s="12"/>
      <c r="UNI15" s="13"/>
      <c r="UNJ15" s="9"/>
      <c r="UNK15" s="9"/>
      <c r="UNL15" s="9"/>
      <c r="UNM15" s="9"/>
      <c r="UNN15" s="10"/>
      <c r="UNO15" s="11"/>
      <c r="UNP15" s="12"/>
      <c r="UNQ15" s="12"/>
      <c r="UNR15" s="12"/>
      <c r="UNS15" s="13"/>
      <c r="UNT15" s="9"/>
      <c r="UNU15" s="9"/>
      <c r="UNV15" s="9"/>
      <c r="UNW15" s="9"/>
      <c r="UNX15" s="10"/>
      <c r="UNY15" s="11"/>
      <c r="UNZ15" s="12"/>
      <c r="UOA15" s="12"/>
      <c r="UOB15" s="12"/>
      <c r="UOC15" s="13"/>
      <c r="UOD15" s="9"/>
      <c r="UOE15" s="9"/>
      <c r="UOF15" s="9"/>
      <c r="UOG15" s="9"/>
      <c r="UOH15" s="10"/>
      <c r="UOI15" s="11"/>
      <c r="UOJ15" s="12"/>
      <c r="UOK15" s="12"/>
      <c r="UOL15" s="12"/>
      <c r="UOM15" s="13"/>
      <c r="UON15" s="9"/>
      <c r="UOO15" s="9"/>
      <c r="UOP15" s="9"/>
      <c r="UOQ15" s="9"/>
      <c r="UOR15" s="10"/>
      <c r="UOS15" s="11"/>
      <c r="UOT15" s="12"/>
      <c r="UOU15" s="12"/>
      <c r="UOV15" s="12"/>
      <c r="UOW15" s="13"/>
      <c r="UOX15" s="9"/>
      <c r="UOY15" s="9"/>
      <c r="UOZ15" s="9"/>
      <c r="UPA15" s="9"/>
      <c r="UPB15" s="10"/>
      <c r="UPC15" s="11"/>
      <c r="UPD15" s="12"/>
      <c r="UPE15" s="12"/>
      <c r="UPF15" s="12"/>
      <c r="UPG15" s="13"/>
      <c r="UPH15" s="9"/>
      <c r="UPI15" s="9"/>
      <c r="UPJ15" s="9"/>
      <c r="UPK15" s="9"/>
      <c r="UPL15" s="10"/>
      <c r="UPM15" s="11"/>
      <c r="UPN15" s="12"/>
      <c r="UPO15" s="12"/>
      <c r="UPP15" s="12"/>
      <c r="UPQ15" s="13"/>
      <c r="UPR15" s="9"/>
      <c r="UPS15" s="9"/>
      <c r="UPT15" s="9"/>
      <c r="UPU15" s="9"/>
      <c r="UPV15" s="10"/>
      <c r="UPW15" s="11"/>
      <c r="UPX15" s="12"/>
      <c r="UPY15" s="12"/>
      <c r="UPZ15" s="12"/>
      <c r="UQA15" s="13"/>
      <c r="UQB15" s="9"/>
      <c r="UQC15" s="9"/>
      <c r="UQD15" s="9"/>
      <c r="UQE15" s="9"/>
      <c r="UQF15" s="10"/>
      <c r="UQG15" s="11"/>
      <c r="UQH15" s="12"/>
      <c r="UQI15" s="12"/>
      <c r="UQJ15" s="12"/>
      <c r="UQK15" s="13"/>
      <c r="UQL15" s="9"/>
      <c r="UQM15" s="9"/>
      <c r="UQN15" s="9"/>
      <c r="UQO15" s="9"/>
      <c r="UQP15" s="10"/>
      <c r="UQQ15" s="11"/>
      <c r="UQR15" s="12"/>
      <c r="UQS15" s="12"/>
      <c r="UQT15" s="12"/>
      <c r="UQU15" s="13"/>
      <c r="UQV15" s="9"/>
      <c r="UQW15" s="9"/>
      <c r="UQX15" s="9"/>
      <c r="UQY15" s="9"/>
      <c r="UQZ15" s="10"/>
      <c r="URA15" s="11"/>
      <c r="URB15" s="12"/>
      <c r="URC15" s="12"/>
      <c r="URD15" s="12"/>
      <c r="URE15" s="13"/>
      <c r="URF15" s="9"/>
      <c r="URG15" s="9"/>
      <c r="URH15" s="9"/>
      <c r="URI15" s="9"/>
      <c r="URJ15" s="10"/>
      <c r="URK15" s="11"/>
      <c r="URL15" s="12"/>
      <c r="URM15" s="12"/>
      <c r="URN15" s="12"/>
      <c r="URO15" s="13"/>
      <c r="URP15" s="9"/>
      <c r="URQ15" s="9"/>
      <c r="URR15" s="9"/>
      <c r="URS15" s="9"/>
      <c r="URT15" s="10"/>
      <c r="URU15" s="11"/>
      <c r="URV15" s="12"/>
      <c r="URW15" s="12"/>
      <c r="URX15" s="12"/>
      <c r="URY15" s="13"/>
      <c r="URZ15" s="9"/>
      <c r="USA15" s="9"/>
      <c r="USB15" s="9"/>
      <c r="USC15" s="9"/>
      <c r="USD15" s="10"/>
      <c r="USE15" s="11"/>
      <c r="USF15" s="12"/>
      <c r="USG15" s="12"/>
      <c r="USH15" s="12"/>
      <c r="USI15" s="13"/>
      <c r="USJ15" s="9"/>
      <c r="USK15" s="9"/>
      <c r="USL15" s="9"/>
      <c r="USM15" s="9"/>
      <c r="USN15" s="10"/>
      <c r="USO15" s="11"/>
      <c r="USP15" s="12"/>
      <c r="USQ15" s="12"/>
      <c r="USR15" s="12"/>
      <c r="USS15" s="13"/>
      <c r="UST15" s="9"/>
      <c r="USU15" s="9"/>
      <c r="USV15" s="9"/>
      <c r="USW15" s="9"/>
      <c r="USX15" s="10"/>
      <c r="USY15" s="11"/>
      <c r="USZ15" s="12"/>
      <c r="UTA15" s="12"/>
      <c r="UTB15" s="12"/>
      <c r="UTC15" s="13"/>
      <c r="UTD15" s="9"/>
      <c r="UTE15" s="9"/>
      <c r="UTF15" s="9"/>
      <c r="UTG15" s="9"/>
      <c r="UTH15" s="10"/>
      <c r="UTI15" s="11"/>
      <c r="UTJ15" s="12"/>
      <c r="UTK15" s="12"/>
      <c r="UTL15" s="12"/>
      <c r="UTM15" s="13"/>
      <c r="UTN15" s="9"/>
      <c r="UTO15" s="9"/>
      <c r="UTP15" s="9"/>
      <c r="UTQ15" s="9"/>
      <c r="UTR15" s="10"/>
      <c r="UTS15" s="11"/>
      <c r="UTT15" s="12"/>
      <c r="UTU15" s="12"/>
      <c r="UTV15" s="12"/>
      <c r="UTW15" s="13"/>
      <c r="UTX15" s="9"/>
      <c r="UTY15" s="9"/>
      <c r="UTZ15" s="9"/>
      <c r="UUA15" s="9"/>
      <c r="UUB15" s="10"/>
      <c r="UUC15" s="11"/>
      <c r="UUD15" s="12"/>
      <c r="UUE15" s="12"/>
      <c r="UUF15" s="12"/>
      <c r="UUG15" s="13"/>
      <c r="UUH15" s="9"/>
      <c r="UUI15" s="9"/>
      <c r="UUJ15" s="9"/>
      <c r="UUK15" s="9"/>
      <c r="UUL15" s="10"/>
      <c r="UUM15" s="11"/>
      <c r="UUN15" s="12"/>
      <c r="UUO15" s="12"/>
      <c r="UUP15" s="12"/>
      <c r="UUQ15" s="13"/>
      <c r="UUR15" s="9"/>
      <c r="UUS15" s="9"/>
      <c r="UUT15" s="9"/>
      <c r="UUU15" s="9"/>
      <c r="UUV15" s="10"/>
      <c r="UUW15" s="11"/>
      <c r="UUX15" s="12"/>
      <c r="UUY15" s="12"/>
      <c r="UUZ15" s="12"/>
      <c r="UVA15" s="13"/>
      <c r="UVB15" s="9"/>
      <c r="UVC15" s="9"/>
      <c r="UVD15" s="9"/>
      <c r="UVE15" s="9"/>
      <c r="UVF15" s="10"/>
      <c r="UVG15" s="11"/>
      <c r="UVH15" s="12"/>
      <c r="UVI15" s="12"/>
      <c r="UVJ15" s="12"/>
      <c r="UVK15" s="13"/>
      <c r="UVL15" s="9"/>
      <c r="UVM15" s="9"/>
      <c r="UVN15" s="9"/>
      <c r="UVO15" s="9"/>
      <c r="UVP15" s="10"/>
      <c r="UVQ15" s="11"/>
      <c r="UVR15" s="12"/>
      <c r="UVS15" s="12"/>
      <c r="UVT15" s="12"/>
      <c r="UVU15" s="13"/>
      <c r="UVV15" s="9"/>
      <c r="UVW15" s="9"/>
      <c r="UVX15" s="9"/>
      <c r="UVY15" s="9"/>
      <c r="UVZ15" s="10"/>
      <c r="UWA15" s="11"/>
      <c r="UWB15" s="12"/>
      <c r="UWC15" s="12"/>
      <c r="UWD15" s="12"/>
      <c r="UWE15" s="13"/>
      <c r="UWF15" s="9"/>
      <c r="UWG15" s="9"/>
      <c r="UWH15" s="9"/>
      <c r="UWI15" s="9"/>
      <c r="UWJ15" s="10"/>
      <c r="UWK15" s="11"/>
      <c r="UWL15" s="12"/>
      <c r="UWM15" s="12"/>
      <c r="UWN15" s="12"/>
      <c r="UWO15" s="13"/>
      <c r="UWP15" s="9"/>
      <c r="UWQ15" s="9"/>
      <c r="UWR15" s="9"/>
      <c r="UWS15" s="9"/>
      <c r="UWT15" s="10"/>
      <c r="UWU15" s="11"/>
      <c r="UWV15" s="12"/>
      <c r="UWW15" s="12"/>
      <c r="UWX15" s="12"/>
      <c r="UWY15" s="13"/>
      <c r="UWZ15" s="9"/>
      <c r="UXA15" s="9"/>
      <c r="UXB15" s="9"/>
      <c r="UXC15" s="9"/>
      <c r="UXD15" s="10"/>
      <c r="UXE15" s="11"/>
      <c r="UXF15" s="12"/>
      <c r="UXG15" s="12"/>
      <c r="UXH15" s="12"/>
      <c r="UXI15" s="13"/>
      <c r="UXJ15" s="9"/>
      <c r="UXK15" s="9"/>
      <c r="UXL15" s="9"/>
      <c r="UXM15" s="9"/>
      <c r="UXN15" s="10"/>
      <c r="UXO15" s="11"/>
      <c r="UXP15" s="12"/>
      <c r="UXQ15" s="12"/>
      <c r="UXR15" s="12"/>
      <c r="UXS15" s="13"/>
      <c r="UXT15" s="9"/>
      <c r="UXU15" s="9"/>
      <c r="UXV15" s="9"/>
      <c r="UXW15" s="9"/>
      <c r="UXX15" s="10"/>
      <c r="UXY15" s="11"/>
      <c r="UXZ15" s="12"/>
      <c r="UYA15" s="12"/>
      <c r="UYB15" s="12"/>
      <c r="UYC15" s="13"/>
      <c r="UYD15" s="9"/>
      <c r="UYE15" s="9"/>
      <c r="UYF15" s="9"/>
      <c r="UYG15" s="9"/>
      <c r="UYH15" s="10"/>
      <c r="UYI15" s="11"/>
      <c r="UYJ15" s="12"/>
      <c r="UYK15" s="12"/>
      <c r="UYL15" s="12"/>
      <c r="UYM15" s="13"/>
      <c r="UYN15" s="9"/>
      <c r="UYO15" s="9"/>
      <c r="UYP15" s="9"/>
      <c r="UYQ15" s="9"/>
      <c r="UYR15" s="10"/>
      <c r="UYS15" s="11"/>
      <c r="UYT15" s="12"/>
      <c r="UYU15" s="12"/>
      <c r="UYV15" s="12"/>
      <c r="UYW15" s="13"/>
      <c r="UYX15" s="9"/>
      <c r="UYY15" s="9"/>
      <c r="UYZ15" s="9"/>
      <c r="UZA15" s="9"/>
      <c r="UZB15" s="10"/>
      <c r="UZC15" s="11"/>
      <c r="UZD15" s="12"/>
      <c r="UZE15" s="12"/>
      <c r="UZF15" s="12"/>
      <c r="UZG15" s="13"/>
      <c r="UZH15" s="9"/>
      <c r="UZI15" s="9"/>
      <c r="UZJ15" s="9"/>
      <c r="UZK15" s="9"/>
      <c r="UZL15" s="10"/>
      <c r="UZM15" s="11"/>
      <c r="UZN15" s="12"/>
      <c r="UZO15" s="12"/>
      <c r="UZP15" s="12"/>
      <c r="UZQ15" s="13"/>
      <c r="UZR15" s="9"/>
      <c r="UZS15" s="9"/>
      <c r="UZT15" s="9"/>
      <c r="UZU15" s="9"/>
      <c r="UZV15" s="10"/>
      <c r="UZW15" s="11"/>
      <c r="UZX15" s="12"/>
      <c r="UZY15" s="12"/>
      <c r="UZZ15" s="12"/>
      <c r="VAA15" s="13"/>
      <c r="VAB15" s="9"/>
      <c r="VAC15" s="9"/>
      <c r="VAD15" s="9"/>
      <c r="VAE15" s="9"/>
      <c r="VAF15" s="10"/>
      <c r="VAG15" s="11"/>
      <c r="VAH15" s="12"/>
      <c r="VAI15" s="12"/>
      <c r="VAJ15" s="12"/>
      <c r="VAK15" s="13"/>
      <c r="VAL15" s="9"/>
      <c r="VAM15" s="9"/>
      <c r="VAN15" s="9"/>
      <c r="VAO15" s="9"/>
      <c r="VAP15" s="10"/>
      <c r="VAQ15" s="11"/>
      <c r="VAR15" s="12"/>
      <c r="VAS15" s="12"/>
      <c r="VAT15" s="12"/>
      <c r="VAU15" s="13"/>
      <c r="VAV15" s="9"/>
      <c r="VAW15" s="9"/>
      <c r="VAX15" s="9"/>
      <c r="VAY15" s="9"/>
      <c r="VAZ15" s="10"/>
      <c r="VBA15" s="11"/>
      <c r="VBB15" s="12"/>
      <c r="VBC15" s="12"/>
      <c r="VBD15" s="12"/>
      <c r="VBE15" s="13"/>
      <c r="VBF15" s="9"/>
      <c r="VBG15" s="9"/>
      <c r="VBH15" s="9"/>
      <c r="VBI15" s="9"/>
      <c r="VBJ15" s="10"/>
      <c r="VBK15" s="11"/>
      <c r="VBL15" s="12"/>
      <c r="VBM15" s="12"/>
      <c r="VBN15" s="12"/>
      <c r="VBO15" s="13"/>
      <c r="VBP15" s="9"/>
      <c r="VBQ15" s="9"/>
      <c r="VBR15" s="9"/>
      <c r="VBS15" s="9"/>
      <c r="VBT15" s="10"/>
      <c r="VBU15" s="11"/>
      <c r="VBV15" s="12"/>
      <c r="VBW15" s="12"/>
      <c r="VBX15" s="12"/>
      <c r="VBY15" s="13"/>
      <c r="VBZ15" s="9"/>
      <c r="VCA15" s="9"/>
      <c r="VCB15" s="9"/>
      <c r="VCC15" s="9"/>
      <c r="VCD15" s="10"/>
      <c r="VCE15" s="11"/>
      <c r="VCF15" s="12"/>
      <c r="VCG15" s="12"/>
      <c r="VCH15" s="12"/>
      <c r="VCI15" s="13"/>
      <c r="VCJ15" s="9"/>
      <c r="VCK15" s="9"/>
      <c r="VCL15" s="9"/>
      <c r="VCM15" s="9"/>
      <c r="VCN15" s="10"/>
      <c r="VCO15" s="11"/>
      <c r="VCP15" s="12"/>
      <c r="VCQ15" s="12"/>
      <c r="VCR15" s="12"/>
      <c r="VCS15" s="13"/>
      <c r="VCT15" s="9"/>
      <c r="VCU15" s="9"/>
      <c r="VCV15" s="9"/>
      <c r="VCW15" s="9"/>
      <c r="VCX15" s="10"/>
      <c r="VCY15" s="11"/>
      <c r="VCZ15" s="12"/>
      <c r="VDA15" s="12"/>
      <c r="VDB15" s="12"/>
      <c r="VDC15" s="13"/>
      <c r="VDD15" s="9"/>
      <c r="VDE15" s="9"/>
      <c r="VDF15" s="9"/>
      <c r="VDG15" s="9"/>
      <c r="VDH15" s="10"/>
      <c r="VDI15" s="11"/>
      <c r="VDJ15" s="12"/>
      <c r="VDK15" s="12"/>
      <c r="VDL15" s="12"/>
      <c r="VDM15" s="13"/>
      <c r="VDN15" s="9"/>
      <c r="VDO15" s="9"/>
      <c r="VDP15" s="9"/>
      <c r="VDQ15" s="9"/>
      <c r="VDR15" s="10"/>
      <c r="VDS15" s="11"/>
      <c r="VDT15" s="12"/>
      <c r="VDU15" s="12"/>
      <c r="VDV15" s="12"/>
      <c r="VDW15" s="13"/>
      <c r="VDX15" s="9"/>
      <c r="VDY15" s="9"/>
      <c r="VDZ15" s="9"/>
      <c r="VEA15" s="9"/>
      <c r="VEB15" s="10"/>
      <c r="VEC15" s="11"/>
      <c r="VED15" s="12"/>
      <c r="VEE15" s="12"/>
      <c r="VEF15" s="12"/>
      <c r="VEG15" s="13"/>
      <c r="VEH15" s="9"/>
      <c r="VEI15" s="9"/>
      <c r="VEJ15" s="9"/>
      <c r="VEK15" s="9"/>
      <c r="VEL15" s="10"/>
      <c r="VEM15" s="11"/>
      <c r="VEN15" s="12"/>
      <c r="VEO15" s="12"/>
      <c r="VEP15" s="12"/>
      <c r="VEQ15" s="13"/>
      <c r="VER15" s="9"/>
      <c r="VES15" s="9"/>
      <c r="VET15" s="9"/>
      <c r="VEU15" s="9"/>
      <c r="VEV15" s="10"/>
      <c r="VEW15" s="11"/>
      <c r="VEX15" s="12"/>
      <c r="VEY15" s="12"/>
      <c r="VEZ15" s="12"/>
      <c r="VFA15" s="13"/>
      <c r="VFB15" s="9"/>
      <c r="VFC15" s="9"/>
      <c r="VFD15" s="9"/>
      <c r="VFE15" s="9"/>
      <c r="VFF15" s="10"/>
      <c r="VFG15" s="11"/>
      <c r="VFH15" s="12"/>
      <c r="VFI15" s="12"/>
      <c r="VFJ15" s="12"/>
      <c r="VFK15" s="13"/>
      <c r="VFL15" s="9"/>
      <c r="VFM15" s="9"/>
      <c r="VFN15" s="9"/>
      <c r="VFO15" s="9"/>
      <c r="VFP15" s="10"/>
      <c r="VFQ15" s="11"/>
      <c r="VFR15" s="12"/>
      <c r="VFS15" s="12"/>
      <c r="VFT15" s="12"/>
      <c r="VFU15" s="13"/>
      <c r="VFV15" s="9"/>
      <c r="VFW15" s="9"/>
      <c r="VFX15" s="9"/>
      <c r="VFY15" s="9"/>
      <c r="VFZ15" s="10"/>
      <c r="VGA15" s="11"/>
      <c r="VGB15" s="12"/>
      <c r="VGC15" s="12"/>
      <c r="VGD15" s="12"/>
      <c r="VGE15" s="13"/>
      <c r="VGF15" s="9"/>
      <c r="VGG15" s="9"/>
      <c r="VGH15" s="9"/>
      <c r="VGI15" s="9"/>
      <c r="VGJ15" s="10"/>
      <c r="VGK15" s="11"/>
      <c r="VGL15" s="12"/>
      <c r="VGM15" s="12"/>
      <c r="VGN15" s="12"/>
      <c r="VGO15" s="13"/>
      <c r="VGP15" s="9"/>
      <c r="VGQ15" s="9"/>
      <c r="VGR15" s="9"/>
      <c r="VGS15" s="9"/>
      <c r="VGT15" s="10"/>
      <c r="VGU15" s="11"/>
      <c r="VGV15" s="12"/>
      <c r="VGW15" s="12"/>
      <c r="VGX15" s="12"/>
      <c r="VGY15" s="13"/>
      <c r="VGZ15" s="9"/>
      <c r="VHA15" s="9"/>
      <c r="VHB15" s="9"/>
      <c r="VHC15" s="9"/>
      <c r="VHD15" s="10"/>
      <c r="VHE15" s="11"/>
      <c r="VHF15" s="12"/>
      <c r="VHG15" s="12"/>
      <c r="VHH15" s="12"/>
      <c r="VHI15" s="13"/>
      <c r="VHJ15" s="9"/>
      <c r="VHK15" s="9"/>
      <c r="VHL15" s="9"/>
      <c r="VHM15" s="9"/>
      <c r="VHN15" s="10"/>
      <c r="VHO15" s="11"/>
      <c r="VHP15" s="12"/>
      <c r="VHQ15" s="12"/>
      <c r="VHR15" s="12"/>
      <c r="VHS15" s="13"/>
      <c r="VHT15" s="9"/>
      <c r="VHU15" s="9"/>
      <c r="VHV15" s="9"/>
      <c r="VHW15" s="9"/>
      <c r="VHX15" s="10"/>
      <c r="VHY15" s="11"/>
      <c r="VHZ15" s="12"/>
      <c r="VIA15" s="12"/>
      <c r="VIB15" s="12"/>
      <c r="VIC15" s="13"/>
      <c r="VID15" s="9"/>
      <c r="VIE15" s="9"/>
      <c r="VIF15" s="9"/>
      <c r="VIG15" s="9"/>
      <c r="VIH15" s="10"/>
      <c r="VII15" s="11"/>
      <c r="VIJ15" s="12"/>
      <c r="VIK15" s="12"/>
      <c r="VIL15" s="12"/>
      <c r="VIM15" s="13"/>
      <c r="VIN15" s="9"/>
      <c r="VIO15" s="9"/>
      <c r="VIP15" s="9"/>
      <c r="VIQ15" s="9"/>
      <c r="VIR15" s="10"/>
      <c r="VIS15" s="11"/>
      <c r="VIT15" s="12"/>
      <c r="VIU15" s="12"/>
      <c r="VIV15" s="12"/>
      <c r="VIW15" s="13"/>
      <c r="VIX15" s="9"/>
      <c r="VIY15" s="9"/>
      <c r="VIZ15" s="9"/>
      <c r="VJA15" s="9"/>
      <c r="VJB15" s="10"/>
      <c r="VJC15" s="11"/>
      <c r="VJD15" s="12"/>
      <c r="VJE15" s="12"/>
      <c r="VJF15" s="12"/>
      <c r="VJG15" s="13"/>
      <c r="VJH15" s="9"/>
      <c r="VJI15" s="9"/>
      <c r="VJJ15" s="9"/>
      <c r="VJK15" s="9"/>
      <c r="VJL15" s="10"/>
      <c r="VJM15" s="11"/>
      <c r="VJN15" s="12"/>
      <c r="VJO15" s="12"/>
      <c r="VJP15" s="12"/>
      <c r="VJQ15" s="13"/>
      <c r="VJR15" s="9"/>
      <c r="VJS15" s="9"/>
      <c r="VJT15" s="9"/>
      <c r="VJU15" s="9"/>
      <c r="VJV15" s="10"/>
      <c r="VJW15" s="11"/>
      <c r="VJX15" s="12"/>
      <c r="VJY15" s="12"/>
      <c r="VJZ15" s="12"/>
      <c r="VKA15" s="13"/>
      <c r="VKB15" s="9"/>
      <c r="VKC15" s="9"/>
      <c r="VKD15" s="9"/>
      <c r="VKE15" s="9"/>
      <c r="VKF15" s="10"/>
      <c r="VKG15" s="11"/>
      <c r="VKH15" s="12"/>
      <c r="VKI15" s="12"/>
      <c r="VKJ15" s="12"/>
      <c r="VKK15" s="13"/>
      <c r="VKL15" s="9"/>
      <c r="VKM15" s="9"/>
      <c r="VKN15" s="9"/>
      <c r="VKO15" s="9"/>
      <c r="VKP15" s="10"/>
      <c r="VKQ15" s="11"/>
      <c r="VKR15" s="12"/>
      <c r="VKS15" s="12"/>
      <c r="VKT15" s="12"/>
      <c r="VKU15" s="13"/>
      <c r="VKV15" s="9"/>
      <c r="VKW15" s="9"/>
      <c r="VKX15" s="9"/>
      <c r="VKY15" s="9"/>
      <c r="VKZ15" s="10"/>
      <c r="VLA15" s="11"/>
      <c r="VLB15" s="12"/>
      <c r="VLC15" s="12"/>
      <c r="VLD15" s="12"/>
      <c r="VLE15" s="13"/>
      <c r="VLF15" s="9"/>
      <c r="VLG15" s="9"/>
      <c r="VLH15" s="9"/>
      <c r="VLI15" s="9"/>
      <c r="VLJ15" s="10"/>
      <c r="VLK15" s="11"/>
      <c r="VLL15" s="12"/>
      <c r="VLM15" s="12"/>
      <c r="VLN15" s="12"/>
      <c r="VLO15" s="13"/>
      <c r="VLP15" s="9"/>
      <c r="VLQ15" s="9"/>
      <c r="VLR15" s="9"/>
      <c r="VLS15" s="9"/>
      <c r="VLT15" s="10"/>
      <c r="VLU15" s="11"/>
      <c r="VLV15" s="12"/>
      <c r="VLW15" s="12"/>
      <c r="VLX15" s="12"/>
      <c r="VLY15" s="13"/>
      <c r="VLZ15" s="9"/>
      <c r="VMA15" s="9"/>
      <c r="VMB15" s="9"/>
      <c r="VMC15" s="9"/>
      <c r="VMD15" s="10"/>
      <c r="VME15" s="11"/>
      <c r="VMF15" s="12"/>
      <c r="VMG15" s="12"/>
      <c r="VMH15" s="12"/>
      <c r="VMI15" s="13"/>
      <c r="VMJ15" s="9"/>
      <c r="VMK15" s="9"/>
      <c r="VML15" s="9"/>
      <c r="VMM15" s="9"/>
      <c r="VMN15" s="10"/>
      <c r="VMO15" s="11"/>
      <c r="VMP15" s="12"/>
      <c r="VMQ15" s="12"/>
      <c r="VMR15" s="12"/>
      <c r="VMS15" s="13"/>
      <c r="VMT15" s="9"/>
      <c r="VMU15" s="9"/>
      <c r="VMV15" s="9"/>
      <c r="VMW15" s="9"/>
      <c r="VMX15" s="10"/>
      <c r="VMY15" s="11"/>
      <c r="VMZ15" s="12"/>
      <c r="VNA15" s="12"/>
      <c r="VNB15" s="12"/>
      <c r="VNC15" s="13"/>
      <c r="VND15" s="9"/>
      <c r="VNE15" s="9"/>
      <c r="VNF15" s="9"/>
      <c r="VNG15" s="9"/>
      <c r="VNH15" s="10"/>
      <c r="VNI15" s="11"/>
      <c r="VNJ15" s="12"/>
      <c r="VNK15" s="12"/>
      <c r="VNL15" s="12"/>
      <c r="VNM15" s="13"/>
      <c r="VNN15" s="9"/>
      <c r="VNO15" s="9"/>
      <c r="VNP15" s="9"/>
      <c r="VNQ15" s="9"/>
      <c r="VNR15" s="10"/>
      <c r="VNS15" s="11"/>
      <c r="VNT15" s="12"/>
      <c r="VNU15" s="12"/>
      <c r="VNV15" s="12"/>
      <c r="VNW15" s="13"/>
      <c r="VNX15" s="9"/>
      <c r="VNY15" s="9"/>
      <c r="VNZ15" s="9"/>
      <c r="VOA15" s="9"/>
      <c r="VOB15" s="10"/>
      <c r="VOC15" s="11"/>
      <c r="VOD15" s="12"/>
      <c r="VOE15" s="12"/>
      <c r="VOF15" s="12"/>
      <c r="VOG15" s="13"/>
      <c r="VOH15" s="9"/>
      <c r="VOI15" s="9"/>
      <c r="VOJ15" s="9"/>
      <c r="VOK15" s="9"/>
      <c r="VOL15" s="10"/>
      <c r="VOM15" s="11"/>
      <c r="VON15" s="12"/>
      <c r="VOO15" s="12"/>
      <c r="VOP15" s="12"/>
      <c r="VOQ15" s="13"/>
      <c r="VOR15" s="9"/>
      <c r="VOS15" s="9"/>
      <c r="VOT15" s="9"/>
      <c r="VOU15" s="9"/>
      <c r="VOV15" s="10"/>
      <c r="VOW15" s="11"/>
      <c r="VOX15" s="12"/>
      <c r="VOY15" s="12"/>
      <c r="VOZ15" s="12"/>
      <c r="VPA15" s="13"/>
      <c r="VPB15" s="9"/>
      <c r="VPC15" s="9"/>
      <c r="VPD15" s="9"/>
      <c r="VPE15" s="9"/>
      <c r="VPF15" s="10"/>
      <c r="VPG15" s="11"/>
      <c r="VPH15" s="12"/>
      <c r="VPI15" s="12"/>
      <c r="VPJ15" s="12"/>
      <c r="VPK15" s="13"/>
      <c r="VPL15" s="9"/>
      <c r="VPM15" s="9"/>
      <c r="VPN15" s="9"/>
      <c r="VPO15" s="9"/>
      <c r="VPP15" s="10"/>
      <c r="VPQ15" s="11"/>
      <c r="VPR15" s="12"/>
      <c r="VPS15" s="12"/>
      <c r="VPT15" s="12"/>
      <c r="VPU15" s="13"/>
      <c r="VPV15" s="9"/>
      <c r="VPW15" s="9"/>
      <c r="VPX15" s="9"/>
      <c r="VPY15" s="9"/>
      <c r="VPZ15" s="10"/>
      <c r="VQA15" s="11"/>
      <c r="VQB15" s="12"/>
      <c r="VQC15" s="12"/>
      <c r="VQD15" s="12"/>
      <c r="VQE15" s="13"/>
      <c r="VQF15" s="9"/>
      <c r="VQG15" s="9"/>
      <c r="VQH15" s="9"/>
      <c r="VQI15" s="9"/>
      <c r="VQJ15" s="10"/>
      <c r="VQK15" s="11"/>
      <c r="VQL15" s="12"/>
      <c r="VQM15" s="12"/>
      <c r="VQN15" s="12"/>
      <c r="VQO15" s="13"/>
      <c r="VQP15" s="9"/>
      <c r="VQQ15" s="9"/>
      <c r="VQR15" s="9"/>
      <c r="VQS15" s="9"/>
      <c r="VQT15" s="10"/>
      <c r="VQU15" s="11"/>
      <c r="VQV15" s="12"/>
      <c r="VQW15" s="12"/>
      <c r="VQX15" s="12"/>
      <c r="VQY15" s="13"/>
      <c r="VQZ15" s="9"/>
      <c r="VRA15" s="9"/>
      <c r="VRB15" s="9"/>
      <c r="VRC15" s="9"/>
      <c r="VRD15" s="10"/>
      <c r="VRE15" s="11"/>
      <c r="VRF15" s="12"/>
      <c r="VRG15" s="12"/>
      <c r="VRH15" s="12"/>
      <c r="VRI15" s="13"/>
      <c r="VRJ15" s="9"/>
      <c r="VRK15" s="9"/>
      <c r="VRL15" s="9"/>
      <c r="VRM15" s="9"/>
      <c r="VRN15" s="10"/>
      <c r="VRO15" s="11"/>
      <c r="VRP15" s="12"/>
      <c r="VRQ15" s="12"/>
      <c r="VRR15" s="12"/>
      <c r="VRS15" s="13"/>
      <c r="VRT15" s="9"/>
      <c r="VRU15" s="9"/>
      <c r="VRV15" s="9"/>
      <c r="VRW15" s="9"/>
      <c r="VRX15" s="10"/>
      <c r="VRY15" s="11"/>
      <c r="VRZ15" s="12"/>
      <c r="VSA15" s="12"/>
      <c r="VSB15" s="12"/>
      <c r="VSC15" s="13"/>
      <c r="VSD15" s="9"/>
      <c r="VSE15" s="9"/>
      <c r="VSF15" s="9"/>
      <c r="VSG15" s="9"/>
      <c r="VSH15" s="10"/>
      <c r="VSI15" s="11"/>
      <c r="VSJ15" s="12"/>
      <c r="VSK15" s="12"/>
      <c r="VSL15" s="12"/>
      <c r="VSM15" s="13"/>
      <c r="VSN15" s="9"/>
      <c r="VSO15" s="9"/>
      <c r="VSP15" s="9"/>
      <c r="VSQ15" s="9"/>
      <c r="VSR15" s="10"/>
      <c r="VSS15" s="11"/>
      <c r="VST15" s="12"/>
      <c r="VSU15" s="12"/>
      <c r="VSV15" s="12"/>
      <c r="VSW15" s="13"/>
      <c r="VSX15" s="9"/>
      <c r="VSY15" s="9"/>
      <c r="VSZ15" s="9"/>
      <c r="VTA15" s="9"/>
      <c r="VTB15" s="10"/>
      <c r="VTC15" s="11"/>
      <c r="VTD15" s="12"/>
      <c r="VTE15" s="12"/>
      <c r="VTF15" s="12"/>
      <c r="VTG15" s="13"/>
      <c r="VTH15" s="9"/>
      <c r="VTI15" s="9"/>
      <c r="VTJ15" s="9"/>
      <c r="VTK15" s="9"/>
      <c r="VTL15" s="10"/>
      <c r="VTM15" s="11"/>
      <c r="VTN15" s="12"/>
      <c r="VTO15" s="12"/>
      <c r="VTP15" s="12"/>
      <c r="VTQ15" s="13"/>
      <c r="VTR15" s="9"/>
      <c r="VTS15" s="9"/>
      <c r="VTT15" s="9"/>
      <c r="VTU15" s="9"/>
      <c r="VTV15" s="10"/>
      <c r="VTW15" s="11"/>
      <c r="VTX15" s="12"/>
      <c r="VTY15" s="12"/>
      <c r="VTZ15" s="12"/>
      <c r="VUA15" s="13"/>
      <c r="VUB15" s="9"/>
      <c r="VUC15" s="9"/>
      <c r="VUD15" s="9"/>
      <c r="VUE15" s="9"/>
      <c r="VUF15" s="10"/>
      <c r="VUG15" s="11"/>
      <c r="VUH15" s="12"/>
      <c r="VUI15" s="12"/>
      <c r="VUJ15" s="12"/>
      <c r="VUK15" s="13"/>
      <c r="VUL15" s="9"/>
      <c r="VUM15" s="9"/>
      <c r="VUN15" s="9"/>
      <c r="VUO15" s="9"/>
      <c r="VUP15" s="10"/>
      <c r="VUQ15" s="11"/>
      <c r="VUR15" s="12"/>
      <c r="VUS15" s="12"/>
      <c r="VUT15" s="12"/>
      <c r="VUU15" s="13"/>
      <c r="VUV15" s="9"/>
      <c r="VUW15" s="9"/>
      <c r="VUX15" s="9"/>
      <c r="VUY15" s="9"/>
      <c r="VUZ15" s="10"/>
      <c r="VVA15" s="11"/>
      <c r="VVB15" s="12"/>
      <c r="VVC15" s="12"/>
      <c r="VVD15" s="12"/>
      <c r="VVE15" s="13"/>
      <c r="VVF15" s="9"/>
      <c r="VVG15" s="9"/>
      <c r="VVH15" s="9"/>
      <c r="VVI15" s="9"/>
      <c r="VVJ15" s="10"/>
      <c r="VVK15" s="11"/>
      <c r="VVL15" s="12"/>
      <c r="VVM15" s="12"/>
      <c r="VVN15" s="12"/>
      <c r="VVO15" s="13"/>
      <c r="VVP15" s="9"/>
      <c r="VVQ15" s="9"/>
      <c r="VVR15" s="9"/>
      <c r="VVS15" s="9"/>
      <c r="VVT15" s="10"/>
      <c r="VVU15" s="11"/>
      <c r="VVV15" s="12"/>
      <c r="VVW15" s="12"/>
      <c r="VVX15" s="12"/>
      <c r="VVY15" s="13"/>
      <c r="VVZ15" s="9"/>
      <c r="VWA15" s="9"/>
      <c r="VWB15" s="9"/>
      <c r="VWC15" s="9"/>
      <c r="VWD15" s="10"/>
      <c r="VWE15" s="11"/>
      <c r="VWF15" s="12"/>
      <c r="VWG15" s="12"/>
      <c r="VWH15" s="12"/>
      <c r="VWI15" s="13"/>
      <c r="VWJ15" s="9"/>
      <c r="VWK15" s="9"/>
      <c r="VWL15" s="9"/>
      <c r="VWM15" s="9"/>
      <c r="VWN15" s="10"/>
      <c r="VWO15" s="11"/>
      <c r="VWP15" s="12"/>
      <c r="VWQ15" s="12"/>
      <c r="VWR15" s="12"/>
      <c r="VWS15" s="13"/>
      <c r="VWT15" s="9"/>
      <c r="VWU15" s="9"/>
      <c r="VWV15" s="9"/>
      <c r="VWW15" s="9"/>
      <c r="VWX15" s="10"/>
      <c r="VWY15" s="11"/>
      <c r="VWZ15" s="12"/>
      <c r="VXA15" s="12"/>
      <c r="VXB15" s="12"/>
      <c r="VXC15" s="13"/>
      <c r="VXD15" s="9"/>
      <c r="VXE15" s="9"/>
      <c r="VXF15" s="9"/>
      <c r="VXG15" s="9"/>
      <c r="VXH15" s="10"/>
      <c r="VXI15" s="11"/>
      <c r="VXJ15" s="12"/>
      <c r="VXK15" s="12"/>
      <c r="VXL15" s="12"/>
      <c r="VXM15" s="13"/>
      <c r="VXN15" s="9"/>
      <c r="VXO15" s="9"/>
      <c r="VXP15" s="9"/>
      <c r="VXQ15" s="9"/>
      <c r="VXR15" s="10"/>
      <c r="VXS15" s="11"/>
      <c r="VXT15" s="12"/>
      <c r="VXU15" s="12"/>
      <c r="VXV15" s="12"/>
      <c r="VXW15" s="13"/>
      <c r="VXX15" s="9"/>
      <c r="VXY15" s="9"/>
      <c r="VXZ15" s="9"/>
      <c r="VYA15" s="9"/>
      <c r="VYB15" s="10"/>
      <c r="VYC15" s="11"/>
      <c r="VYD15" s="12"/>
      <c r="VYE15" s="12"/>
      <c r="VYF15" s="12"/>
      <c r="VYG15" s="13"/>
      <c r="VYH15" s="9"/>
      <c r="VYI15" s="9"/>
      <c r="VYJ15" s="9"/>
      <c r="VYK15" s="9"/>
      <c r="VYL15" s="10"/>
      <c r="VYM15" s="11"/>
      <c r="VYN15" s="12"/>
      <c r="VYO15" s="12"/>
      <c r="VYP15" s="12"/>
      <c r="VYQ15" s="13"/>
      <c r="VYR15" s="9"/>
      <c r="VYS15" s="9"/>
      <c r="VYT15" s="9"/>
      <c r="VYU15" s="9"/>
      <c r="VYV15" s="10"/>
      <c r="VYW15" s="11"/>
      <c r="VYX15" s="12"/>
      <c r="VYY15" s="12"/>
      <c r="VYZ15" s="12"/>
      <c r="VZA15" s="13"/>
      <c r="VZB15" s="9"/>
      <c r="VZC15" s="9"/>
      <c r="VZD15" s="9"/>
      <c r="VZE15" s="9"/>
      <c r="VZF15" s="10"/>
      <c r="VZG15" s="11"/>
      <c r="VZH15" s="12"/>
      <c r="VZI15" s="12"/>
      <c r="VZJ15" s="12"/>
      <c r="VZK15" s="13"/>
      <c r="VZL15" s="9"/>
      <c r="VZM15" s="9"/>
      <c r="VZN15" s="9"/>
      <c r="VZO15" s="9"/>
      <c r="VZP15" s="10"/>
      <c r="VZQ15" s="11"/>
      <c r="VZR15" s="12"/>
      <c r="VZS15" s="12"/>
      <c r="VZT15" s="12"/>
      <c r="VZU15" s="13"/>
      <c r="VZV15" s="9"/>
      <c r="VZW15" s="9"/>
      <c r="VZX15" s="9"/>
      <c r="VZY15" s="9"/>
      <c r="VZZ15" s="10"/>
      <c r="WAA15" s="11"/>
      <c r="WAB15" s="12"/>
      <c r="WAC15" s="12"/>
      <c r="WAD15" s="12"/>
      <c r="WAE15" s="13"/>
      <c r="WAF15" s="9"/>
      <c r="WAG15" s="9"/>
      <c r="WAH15" s="9"/>
      <c r="WAI15" s="9"/>
      <c r="WAJ15" s="10"/>
      <c r="WAK15" s="11"/>
      <c r="WAL15" s="12"/>
      <c r="WAM15" s="12"/>
      <c r="WAN15" s="12"/>
      <c r="WAO15" s="13"/>
      <c r="WAP15" s="9"/>
      <c r="WAQ15" s="9"/>
      <c r="WAR15" s="9"/>
      <c r="WAS15" s="9"/>
      <c r="WAT15" s="10"/>
      <c r="WAU15" s="11"/>
      <c r="WAV15" s="12"/>
      <c r="WAW15" s="12"/>
      <c r="WAX15" s="12"/>
      <c r="WAY15" s="13"/>
      <c r="WAZ15" s="9"/>
      <c r="WBA15" s="9"/>
      <c r="WBB15" s="9"/>
      <c r="WBC15" s="9"/>
      <c r="WBD15" s="10"/>
      <c r="WBE15" s="11"/>
      <c r="WBF15" s="12"/>
      <c r="WBG15" s="12"/>
      <c r="WBH15" s="12"/>
      <c r="WBI15" s="13"/>
      <c r="WBJ15" s="9"/>
      <c r="WBK15" s="9"/>
      <c r="WBL15" s="9"/>
      <c r="WBM15" s="9"/>
      <c r="WBN15" s="10"/>
      <c r="WBO15" s="11"/>
      <c r="WBP15" s="12"/>
      <c r="WBQ15" s="12"/>
      <c r="WBR15" s="12"/>
      <c r="WBS15" s="13"/>
      <c r="WBT15" s="9"/>
      <c r="WBU15" s="9"/>
      <c r="WBV15" s="9"/>
      <c r="WBW15" s="9"/>
      <c r="WBX15" s="10"/>
      <c r="WBY15" s="11"/>
      <c r="WBZ15" s="12"/>
      <c r="WCA15" s="12"/>
      <c r="WCB15" s="12"/>
      <c r="WCC15" s="13"/>
      <c r="WCD15" s="9"/>
      <c r="WCE15" s="9"/>
      <c r="WCF15" s="9"/>
      <c r="WCG15" s="9"/>
      <c r="WCH15" s="10"/>
      <c r="WCI15" s="11"/>
      <c r="WCJ15" s="12"/>
      <c r="WCK15" s="12"/>
      <c r="WCL15" s="12"/>
      <c r="WCM15" s="13"/>
      <c r="WCN15" s="9"/>
      <c r="WCO15" s="9"/>
      <c r="WCP15" s="9"/>
      <c r="WCQ15" s="9"/>
      <c r="WCR15" s="10"/>
      <c r="WCS15" s="11"/>
      <c r="WCT15" s="12"/>
      <c r="WCU15" s="12"/>
      <c r="WCV15" s="12"/>
      <c r="WCW15" s="13"/>
      <c r="WCX15" s="9"/>
      <c r="WCY15" s="9"/>
      <c r="WCZ15" s="9"/>
      <c r="WDA15" s="9"/>
      <c r="WDB15" s="10"/>
      <c r="WDC15" s="11"/>
      <c r="WDD15" s="12"/>
      <c r="WDE15" s="12"/>
      <c r="WDF15" s="12"/>
      <c r="WDG15" s="13"/>
      <c r="WDH15" s="9"/>
      <c r="WDI15" s="9"/>
      <c r="WDJ15" s="9"/>
      <c r="WDK15" s="9"/>
      <c r="WDL15" s="10"/>
      <c r="WDM15" s="11"/>
      <c r="WDN15" s="12"/>
      <c r="WDO15" s="12"/>
      <c r="WDP15" s="12"/>
      <c r="WDQ15" s="13"/>
      <c r="WDR15" s="9"/>
      <c r="WDS15" s="9"/>
      <c r="WDT15" s="9"/>
      <c r="WDU15" s="9"/>
      <c r="WDV15" s="10"/>
      <c r="WDW15" s="11"/>
      <c r="WDX15" s="12"/>
      <c r="WDY15" s="12"/>
      <c r="WDZ15" s="12"/>
      <c r="WEA15" s="13"/>
      <c r="WEB15" s="9"/>
      <c r="WEC15" s="9"/>
      <c r="WED15" s="9"/>
      <c r="WEE15" s="9"/>
      <c r="WEF15" s="10"/>
      <c r="WEG15" s="11"/>
      <c r="WEH15" s="12"/>
      <c r="WEI15" s="12"/>
      <c r="WEJ15" s="12"/>
      <c r="WEK15" s="13"/>
      <c r="WEL15" s="9"/>
      <c r="WEM15" s="9"/>
      <c r="WEN15" s="9"/>
      <c r="WEO15" s="9"/>
      <c r="WEP15" s="10"/>
      <c r="WEQ15" s="11"/>
      <c r="WER15" s="12"/>
      <c r="WES15" s="12"/>
      <c r="WET15" s="12"/>
      <c r="WEU15" s="13"/>
      <c r="WEV15" s="9"/>
      <c r="WEW15" s="9"/>
      <c r="WEX15" s="9"/>
      <c r="WEY15" s="9"/>
      <c r="WEZ15" s="10"/>
      <c r="WFA15" s="11"/>
      <c r="WFB15" s="12"/>
      <c r="WFC15" s="12"/>
      <c r="WFD15" s="12"/>
      <c r="WFE15" s="13"/>
      <c r="WFF15" s="9"/>
      <c r="WFG15" s="9"/>
      <c r="WFH15" s="9"/>
      <c r="WFI15" s="9"/>
      <c r="WFJ15" s="10"/>
      <c r="WFK15" s="11"/>
      <c r="WFL15" s="12"/>
      <c r="WFM15" s="12"/>
      <c r="WFN15" s="12"/>
      <c r="WFO15" s="13"/>
      <c r="WFP15" s="9"/>
      <c r="WFQ15" s="9"/>
      <c r="WFR15" s="9"/>
      <c r="WFS15" s="9"/>
      <c r="WFT15" s="10"/>
      <c r="WFU15" s="11"/>
      <c r="WFV15" s="12"/>
      <c r="WFW15" s="12"/>
      <c r="WFX15" s="12"/>
      <c r="WFY15" s="13"/>
      <c r="WFZ15" s="9"/>
      <c r="WGA15" s="9"/>
      <c r="WGB15" s="9"/>
      <c r="WGC15" s="9"/>
      <c r="WGD15" s="10"/>
      <c r="WGE15" s="11"/>
      <c r="WGF15" s="12"/>
      <c r="WGG15" s="12"/>
      <c r="WGH15" s="12"/>
      <c r="WGI15" s="13"/>
      <c r="WGJ15" s="9"/>
      <c r="WGK15" s="9"/>
      <c r="WGL15" s="9"/>
      <c r="WGM15" s="9"/>
      <c r="WGN15" s="10"/>
      <c r="WGO15" s="11"/>
      <c r="WGP15" s="12"/>
      <c r="WGQ15" s="12"/>
      <c r="WGR15" s="12"/>
      <c r="WGS15" s="13"/>
      <c r="WGT15" s="9"/>
      <c r="WGU15" s="9"/>
      <c r="WGV15" s="9"/>
      <c r="WGW15" s="9"/>
      <c r="WGX15" s="10"/>
      <c r="WGY15" s="11"/>
      <c r="WGZ15" s="12"/>
      <c r="WHA15" s="12"/>
      <c r="WHB15" s="12"/>
      <c r="WHC15" s="13"/>
      <c r="WHD15" s="9"/>
      <c r="WHE15" s="9"/>
      <c r="WHF15" s="9"/>
      <c r="WHG15" s="9"/>
      <c r="WHH15" s="10"/>
      <c r="WHI15" s="11"/>
      <c r="WHJ15" s="12"/>
      <c r="WHK15" s="12"/>
      <c r="WHL15" s="12"/>
      <c r="WHM15" s="13"/>
      <c r="WHN15" s="9"/>
      <c r="WHO15" s="9"/>
      <c r="WHP15" s="9"/>
      <c r="WHQ15" s="9"/>
      <c r="WHR15" s="10"/>
      <c r="WHS15" s="11"/>
      <c r="WHT15" s="12"/>
      <c r="WHU15" s="12"/>
      <c r="WHV15" s="12"/>
      <c r="WHW15" s="13"/>
      <c r="WHX15" s="9"/>
      <c r="WHY15" s="9"/>
      <c r="WHZ15" s="9"/>
      <c r="WIA15" s="9"/>
      <c r="WIB15" s="10"/>
      <c r="WIC15" s="11"/>
      <c r="WID15" s="12"/>
      <c r="WIE15" s="12"/>
      <c r="WIF15" s="12"/>
      <c r="WIG15" s="13"/>
      <c r="WIH15" s="9"/>
      <c r="WII15" s="9"/>
      <c r="WIJ15" s="9"/>
      <c r="WIK15" s="9"/>
      <c r="WIL15" s="10"/>
      <c r="WIM15" s="11"/>
      <c r="WIN15" s="12"/>
      <c r="WIO15" s="12"/>
      <c r="WIP15" s="12"/>
      <c r="WIQ15" s="13"/>
      <c r="WIR15" s="9"/>
      <c r="WIS15" s="9"/>
      <c r="WIT15" s="9"/>
      <c r="WIU15" s="9"/>
      <c r="WIV15" s="10"/>
      <c r="WIW15" s="11"/>
      <c r="WIX15" s="12"/>
      <c r="WIY15" s="12"/>
      <c r="WIZ15" s="12"/>
      <c r="WJA15" s="13"/>
      <c r="WJB15" s="9"/>
      <c r="WJC15" s="9"/>
      <c r="WJD15" s="9"/>
      <c r="WJE15" s="9"/>
      <c r="WJF15" s="10"/>
      <c r="WJG15" s="11"/>
      <c r="WJH15" s="12"/>
      <c r="WJI15" s="12"/>
      <c r="WJJ15" s="12"/>
      <c r="WJK15" s="13"/>
      <c r="WJL15" s="9"/>
      <c r="WJM15" s="9"/>
      <c r="WJN15" s="9"/>
      <c r="WJO15" s="9"/>
      <c r="WJP15" s="10"/>
      <c r="WJQ15" s="11"/>
      <c r="WJR15" s="12"/>
      <c r="WJS15" s="12"/>
      <c r="WJT15" s="12"/>
      <c r="WJU15" s="13"/>
      <c r="WJV15" s="9"/>
      <c r="WJW15" s="9"/>
      <c r="WJX15" s="9"/>
      <c r="WJY15" s="9"/>
      <c r="WJZ15" s="10"/>
      <c r="WKA15" s="11"/>
      <c r="WKB15" s="12"/>
      <c r="WKC15" s="12"/>
      <c r="WKD15" s="12"/>
      <c r="WKE15" s="13"/>
      <c r="WKF15" s="9"/>
      <c r="WKG15" s="9"/>
      <c r="WKH15" s="9"/>
      <c r="WKI15" s="9"/>
      <c r="WKJ15" s="10"/>
      <c r="WKK15" s="11"/>
      <c r="WKL15" s="12"/>
      <c r="WKM15" s="12"/>
      <c r="WKN15" s="12"/>
      <c r="WKO15" s="13"/>
      <c r="WKP15" s="9"/>
      <c r="WKQ15" s="9"/>
      <c r="WKR15" s="9"/>
      <c r="WKS15" s="9"/>
      <c r="WKT15" s="10"/>
      <c r="WKU15" s="11"/>
      <c r="WKV15" s="12"/>
      <c r="WKW15" s="12"/>
      <c r="WKX15" s="12"/>
      <c r="WKY15" s="13"/>
      <c r="WKZ15" s="9"/>
      <c r="WLA15" s="9"/>
      <c r="WLB15" s="9"/>
      <c r="WLC15" s="9"/>
      <c r="WLD15" s="10"/>
      <c r="WLE15" s="11"/>
      <c r="WLF15" s="12"/>
      <c r="WLG15" s="12"/>
      <c r="WLH15" s="12"/>
      <c r="WLI15" s="13"/>
      <c r="WLJ15" s="9"/>
      <c r="WLK15" s="9"/>
      <c r="WLL15" s="9"/>
      <c r="WLM15" s="9"/>
      <c r="WLN15" s="10"/>
      <c r="WLO15" s="11"/>
      <c r="WLP15" s="12"/>
      <c r="WLQ15" s="12"/>
      <c r="WLR15" s="12"/>
      <c r="WLS15" s="13"/>
      <c r="WLT15" s="9"/>
      <c r="WLU15" s="9"/>
      <c r="WLV15" s="9"/>
      <c r="WLW15" s="9"/>
      <c r="WLX15" s="10"/>
      <c r="WLY15" s="11"/>
      <c r="WLZ15" s="12"/>
      <c r="WMA15" s="12"/>
      <c r="WMB15" s="12"/>
      <c r="WMC15" s="13"/>
      <c r="WMD15" s="9"/>
      <c r="WME15" s="9"/>
      <c r="WMF15" s="9"/>
      <c r="WMG15" s="9"/>
      <c r="WMH15" s="10"/>
      <c r="WMI15" s="11"/>
      <c r="WMJ15" s="12"/>
      <c r="WMK15" s="12"/>
      <c r="WML15" s="12"/>
      <c r="WMM15" s="13"/>
      <c r="WMN15" s="9"/>
      <c r="WMO15" s="9"/>
      <c r="WMP15" s="9"/>
      <c r="WMQ15" s="9"/>
      <c r="WMR15" s="10"/>
      <c r="WMS15" s="11"/>
      <c r="WMT15" s="12"/>
      <c r="WMU15" s="12"/>
      <c r="WMV15" s="12"/>
      <c r="WMW15" s="13"/>
      <c r="WMX15" s="9"/>
      <c r="WMY15" s="9"/>
      <c r="WMZ15" s="9"/>
      <c r="WNA15" s="9"/>
      <c r="WNB15" s="10"/>
      <c r="WNC15" s="11"/>
      <c r="WND15" s="12"/>
      <c r="WNE15" s="12"/>
      <c r="WNF15" s="12"/>
      <c r="WNG15" s="13"/>
      <c r="WNH15" s="9"/>
      <c r="WNI15" s="9"/>
      <c r="WNJ15" s="9"/>
      <c r="WNK15" s="9"/>
      <c r="WNL15" s="10"/>
      <c r="WNM15" s="11"/>
      <c r="WNN15" s="12"/>
      <c r="WNO15" s="12"/>
      <c r="WNP15" s="12"/>
      <c r="WNQ15" s="13"/>
      <c r="WNR15" s="9"/>
      <c r="WNS15" s="9"/>
      <c r="WNT15" s="9"/>
      <c r="WNU15" s="9"/>
      <c r="WNV15" s="10"/>
      <c r="WNW15" s="11"/>
      <c r="WNX15" s="12"/>
      <c r="WNY15" s="12"/>
      <c r="WNZ15" s="12"/>
      <c r="WOA15" s="13"/>
      <c r="WOB15" s="9"/>
      <c r="WOC15" s="9"/>
      <c r="WOD15" s="9"/>
      <c r="WOE15" s="9"/>
      <c r="WOF15" s="10"/>
      <c r="WOG15" s="11"/>
      <c r="WOH15" s="12"/>
      <c r="WOI15" s="12"/>
      <c r="WOJ15" s="12"/>
      <c r="WOK15" s="13"/>
      <c r="WOL15" s="9"/>
      <c r="WOM15" s="9"/>
      <c r="WON15" s="9"/>
      <c r="WOO15" s="9"/>
      <c r="WOP15" s="10"/>
      <c r="WOQ15" s="11"/>
      <c r="WOR15" s="12"/>
      <c r="WOS15" s="12"/>
      <c r="WOT15" s="12"/>
      <c r="WOU15" s="13"/>
      <c r="WOV15" s="9"/>
      <c r="WOW15" s="9"/>
      <c r="WOX15" s="9"/>
      <c r="WOY15" s="9"/>
      <c r="WOZ15" s="10"/>
      <c r="WPA15" s="11"/>
      <c r="WPB15" s="12"/>
      <c r="WPC15" s="12"/>
      <c r="WPD15" s="12"/>
      <c r="WPE15" s="13"/>
      <c r="WPF15" s="9"/>
      <c r="WPG15" s="9"/>
      <c r="WPH15" s="9"/>
      <c r="WPI15" s="9"/>
      <c r="WPJ15" s="10"/>
      <c r="WPK15" s="11"/>
      <c r="WPL15" s="12"/>
      <c r="WPM15" s="12"/>
      <c r="WPN15" s="12"/>
      <c r="WPO15" s="13"/>
      <c r="WPP15" s="9"/>
      <c r="WPQ15" s="9"/>
      <c r="WPR15" s="9"/>
      <c r="WPS15" s="9"/>
      <c r="WPT15" s="10"/>
      <c r="WPU15" s="11"/>
      <c r="WPV15" s="12"/>
      <c r="WPW15" s="12"/>
      <c r="WPX15" s="12"/>
      <c r="WPY15" s="13"/>
      <c r="WPZ15" s="9"/>
      <c r="WQA15" s="9"/>
      <c r="WQB15" s="9"/>
      <c r="WQC15" s="9"/>
      <c r="WQD15" s="10"/>
      <c r="WQE15" s="11"/>
      <c r="WQF15" s="12"/>
      <c r="WQG15" s="12"/>
      <c r="WQH15" s="12"/>
      <c r="WQI15" s="13"/>
      <c r="WQJ15" s="9"/>
      <c r="WQK15" s="9"/>
      <c r="WQL15" s="9"/>
      <c r="WQM15" s="9"/>
      <c r="WQN15" s="10"/>
      <c r="WQO15" s="11"/>
      <c r="WQP15" s="12"/>
      <c r="WQQ15" s="12"/>
      <c r="WQR15" s="12"/>
      <c r="WQS15" s="13"/>
      <c r="WQT15" s="9"/>
      <c r="WQU15" s="9"/>
      <c r="WQV15" s="9"/>
      <c r="WQW15" s="9"/>
      <c r="WQX15" s="10"/>
      <c r="WQY15" s="11"/>
      <c r="WQZ15" s="12"/>
      <c r="WRA15" s="12"/>
      <c r="WRB15" s="12"/>
      <c r="WRC15" s="13"/>
      <c r="WRD15" s="9"/>
      <c r="WRE15" s="9"/>
      <c r="WRF15" s="9"/>
      <c r="WRG15" s="9"/>
      <c r="WRH15" s="10"/>
      <c r="WRI15" s="11"/>
      <c r="WRJ15" s="12"/>
      <c r="WRK15" s="12"/>
      <c r="WRL15" s="12"/>
      <c r="WRM15" s="13"/>
      <c r="WRN15" s="9"/>
      <c r="WRO15" s="9"/>
      <c r="WRP15" s="9"/>
      <c r="WRQ15" s="9"/>
      <c r="WRR15" s="10"/>
      <c r="WRS15" s="11"/>
      <c r="WRT15" s="12"/>
      <c r="WRU15" s="12"/>
      <c r="WRV15" s="12"/>
      <c r="WRW15" s="13"/>
      <c r="WRX15" s="9"/>
      <c r="WRY15" s="9"/>
      <c r="WRZ15" s="9"/>
      <c r="WSA15" s="9"/>
      <c r="WSB15" s="10"/>
      <c r="WSC15" s="11"/>
      <c r="WSD15" s="12"/>
      <c r="WSE15" s="12"/>
      <c r="WSF15" s="12"/>
      <c r="WSG15" s="13"/>
      <c r="WSH15" s="9"/>
      <c r="WSI15" s="9"/>
      <c r="WSJ15" s="9"/>
      <c r="WSK15" s="9"/>
      <c r="WSL15" s="10"/>
      <c r="WSM15" s="11"/>
      <c r="WSN15" s="12"/>
      <c r="WSO15" s="12"/>
      <c r="WSP15" s="12"/>
      <c r="WSQ15" s="13"/>
      <c r="WSR15" s="9"/>
      <c r="WSS15" s="9"/>
      <c r="WST15" s="9"/>
      <c r="WSU15" s="9"/>
      <c r="WSV15" s="10"/>
      <c r="WSW15" s="11"/>
      <c r="WSX15" s="12"/>
      <c r="WSY15" s="12"/>
      <c r="WSZ15" s="12"/>
      <c r="WTA15" s="13"/>
      <c r="WTB15" s="9"/>
      <c r="WTC15" s="9"/>
      <c r="WTD15" s="9"/>
      <c r="WTE15" s="9"/>
      <c r="WTF15" s="10"/>
      <c r="WTG15" s="11"/>
      <c r="WTH15" s="12"/>
      <c r="WTI15" s="12"/>
      <c r="WTJ15" s="12"/>
      <c r="WTK15" s="13"/>
      <c r="WTL15" s="9"/>
      <c r="WTM15" s="9"/>
      <c r="WTN15" s="9"/>
      <c r="WTO15" s="9"/>
      <c r="WTP15" s="10"/>
      <c r="WTQ15" s="11"/>
      <c r="WTR15" s="12"/>
      <c r="WTS15" s="12"/>
      <c r="WTT15" s="12"/>
      <c r="WTU15" s="13"/>
      <c r="WTV15" s="9"/>
      <c r="WTW15" s="9"/>
      <c r="WTX15" s="9"/>
      <c r="WTY15" s="9"/>
      <c r="WTZ15" s="10"/>
      <c r="WUA15" s="11"/>
      <c r="WUB15" s="12"/>
      <c r="WUC15" s="12"/>
      <c r="WUD15" s="12"/>
      <c r="WUE15" s="13"/>
      <c r="WUF15" s="9"/>
      <c r="WUG15" s="9"/>
      <c r="WUH15" s="9"/>
      <c r="WUI15" s="9"/>
      <c r="WUJ15" s="10"/>
      <c r="WUK15" s="11"/>
      <c r="WUL15" s="12"/>
      <c r="WUM15" s="12"/>
      <c r="WUN15" s="12"/>
      <c r="WUO15" s="13"/>
      <c r="WUP15" s="9"/>
      <c r="WUQ15" s="9"/>
      <c r="WUR15" s="9"/>
      <c r="WUS15" s="9"/>
      <c r="WUT15" s="10"/>
      <c r="WUU15" s="11"/>
      <c r="WUV15" s="12"/>
      <c r="WUW15" s="12"/>
      <c r="WUX15" s="12"/>
      <c r="WUY15" s="13"/>
      <c r="WUZ15" s="9"/>
      <c r="WVA15" s="9"/>
      <c r="WVB15" s="9"/>
      <c r="WVC15" s="9"/>
      <c r="WVD15" s="10"/>
      <c r="WVE15" s="11"/>
      <c r="WVF15" s="12"/>
      <c r="WVG15" s="12"/>
      <c r="WVH15" s="12"/>
      <c r="WVI15" s="13"/>
      <c r="WVJ15" s="9"/>
      <c r="WVK15" s="9"/>
      <c r="WVL15" s="9"/>
      <c r="WVM15" s="9"/>
      <c r="WVN15" s="10"/>
      <c r="WVO15" s="11"/>
      <c r="WVP15" s="12"/>
      <c r="WVQ15" s="12"/>
      <c r="WVR15" s="12"/>
      <c r="WVS15" s="13"/>
      <c r="WVT15" s="9"/>
      <c r="WVU15" s="9"/>
      <c r="WVV15" s="9"/>
      <c r="WVW15" s="9"/>
      <c r="WVX15" s="10"/>
      <c r="WVY15" s="11"/>
      <c r="WVZ15" s="12"/>
      <c r="WWA15" s="12"/>
      <c r="WWB15" s="12"/>
      <c r="WWC15" s="13"/>
      <c r="WWD15" s="9"/>
      <c r="WWE15" s="9"/>
      <c r="WWF15" s="9"/>
      <c r="WWG15" s="9"/>
      <c r="WWH15" s="10"/>
      <c r="WWI15" s="11"/>
      <c r="WWJ15" s="12"/>
      <c r="WWK15" s="12"/>
      <c r="WWL15" s="12"/>
      <c r="WWM15" s="13"/>
      <c r="WWN15" s="9"/>
      <c r="WWO15" s="9"/>
      <c r="WWP15" s="9"/>
      <c r="WWQ15" s="9"/>
      <c r="WWR15" s="10"/>
      <c r="WWS15" s="11"/>
      <c r="WWT15" s="12"/>
      <c r="WWU15" s="12"/>
      <c r="WWV15" s="12"/>
      <c r="WWW15" s="13"/>
      <c r="WWX15" s="9"/>
      <c r="WWY15" s="9"/>
      <c r="WWZ15" s="9"/>
      <c r="WXA15" s="9"/>
      <c r="WXB15" s="10"/>
      <c r="WXC15" s="11"/>
      <c r="WXD15" s="12"/>
      <c r="WXE15" s="12"/>
      <c r="WXF15" s="12"/>
      <c r="WXG15" s="13"/>
      <c r="WXH15" s="9"/>
      <c r="WXI15" s="9"/>
      <c r="WXJ15" s="9"/>
      <c r="WXK15" s="9"/>
      <c r="WXL15" s="10"/>
      <c r="WXM15" s="11"/>
      <c r="WXN15" s="12"/>
      <c r="WXO15" s="12"/>
      <c r="WXP15" s="12"/>
      <c r="WXQ15" s="13"/>
      <c r="WXR15" s="9"/>
      <c r="WXS15" s="9"/>
      <c r="WXT15" s="9"/>
      <c r="WXU15" s="9"/>
      <c r="WXV15" s="10"/>
      <c r="WXW15" s="11"/>
      <c r="WXX15" s="12"/>
      <c r="WXY15" s="12"/>
      <c r="WXZ15" s="12"/>
      <c r="WYA15" s="13"/>
      <c r="WYB15" s="9"/>
      <c r="WYC15" s="9"/>
      <c r="WYD15" s="9"/>
      <c r="WYE15" s="9"/>
      <c r="WYF15" s="10"/>
      <c r="WYG15" s="11"/>
      <c r="WYH15" s="12"/>
      <c r="WYI15" s="12"/>
      <c r="WYJ15" s="12"/>
      <c r="WYK15" s="13"/>
      <c r="WYL15" s="9"/>
      <c r="WYM15" s="9"/>
      <c r="WYN15" s="9"/>
      <c r="WYO15" s="9"/>
      <c r="WYP15" s="10"/>
      <c r="WYQ15" s="11"/>
      <c r="WYR15" s="12"/>
      <c r="WYS15" s="12"/>
      <c r="WYT15" s="12"/>
      <c r="WYU15" s="13"/>
      <c r="WYV15" s="9"/>
      <c r="WYW15" s="9"/>
      <c r="WYX15" s="9"/>
      <c r="WYY15" s="9"/>
      <c r="WYZ15" s="10"/>
      <c r="WZA15" s="11"/>
      <c r="WZB15" s="12"/>
      <c r="WZC15" s="12"/>
      <c r="WZD15" s="12"/>
      <c r="WZE15" s="13"/>
      <c r="WZF15" s="9"/>
      <c r="WZG15" s="9"/>
      <c r="WZH15" s="9"/>
      <c r="WZI15" s="9"/>
      <c r="WZJ15" s="10"/>
      <c r="WZK15" s="11"/>
      <c r="WZL15" s="12"/>
      <c r="WZM15" s="12"/>
      <c r="WZN15" s="12"/>
      <c r="WZO15" s="13"/>
      <c r="WZP15" s="9"/>
      <c r="WZQ15" s="9"/>
      <c r="WZR15" s="9"/>
      <c r="WZS15" s="9"/>
      <c r="WZT15" s="10"/>
      <c r="WZU15" s="11"/>
      <c r="WZV15" s="12"/>
      <c r="WZW15" s="12"/>
      <c r="WZX15" s="12"/>
      <c r="WZY15" s="13"/>
      <c r="WZZ15" s="9"/>
      <c r="XAA15" s="9"/>
      <c r="XAB15" s="9"/>
      <c r="XAC15" s="9"/>
      <c r="XAD15" s="10"/>
      <c r="XAE15" s="11"/>
      <c r="XAF15" s="12"/>
      <c r="XAG15" s="12"/>
      <c r="XAH15" s="12"/>
      <c r="XAI15" s="13"/>
      <c r="XAJ15" s="9"/>
      <c r="XAK15" s="9"/>
      <c r="XAL15" s="9"/>
      <c r="XAM15" s="9"/>
      <c r="XAN15" s="10"/>
      <c r="XAO15" s="11"/>
      <c r="XAP15" s="12"/>
      <c r="XAQ15" s="12"/>
      <c r="XAR15" s="12"/>
      <c r="XAS15" s="13"/>
      <c r="XAT15" s="9"/>
      <c r="XAU15" s="9"/>
      <c r="XAV15" s="9"/>
      <c r="XAW15" s="9"/>
      <c r="XAX15" s="10"/>
      <c r="XAY15" s="11"/>
      <c r="XAZ15" s="12"/>
      <c r="XBA15" s="12"/>
      <c r="XBB15" s="12"/>
      <c r="XBC15" s="13"/>
      <c r="XBD15" s="9"/>
      <c r="XBE15" s="9"/>
      <c r="XBF15" s="9"/>
      <c r="XBG15" s="9"/>
      <c r="XBH15" s="10"/>
      <c r="XBI15" s="11"/>
      <c r="XBJ15" s="12"/>
      <c r="XBK15" s="12"/>
      <c r="XBL15" s="12"/>
      <c r="XBM15" s="13"/>
      <c r="XBN15" s="9"/>
      <c r="XBO15" s="9"/>
      <c r="XBP15" s="9"/>
      <c r="XBQ15" s="9"/>
      <c r="XBR15" s="10"/>
      <c r="XBS15" s="11"/>
      <c r="XBT15" s="12"/>
      <c r="XBU15" s="12"/>
      <c r="XBV15" s="12"/>
      <c r="XBW15" s="13"/>
      <c r="XBX15" s="9"/>
      <c r="XBY15" s="9"/>
      <c r="XBZ15" s="9"/>
      <c r="XCA15" s="9"/>
      <c r="XCB15" s="10"/>
      <c r="XCC15" s="11"/>
      <c r="XCD15" s="12"/>
      <c r="XCE15" s="12"/>
      <c r="XCF15" s="12"/>
      <c r="XCG15" s="13"/>
      <c r="XCH15" s="9"/>
      <c r="XCI15" s="9"/>
      <c r="XCJ15" s="9"/>
      <c r="XCK15" s="9"/>
      <c r="XCL15" s="10"/>
      <c r="XCM15" s="11"/>
      <c r="XCN15" s="12"/>
      <c r="XCO15" s="12"/>
      <c r="XCP15" s="12"/>
      <c r="XCQ15" s="13"/>
      <c r="XCR15" s="9"/>
      <c r="XCS15" s="9"/>
      <c r="XCT15" s="9"/>
      <c r="XCU15" s="9"/>
      <c r="XCV15" s="10"/>
      <c r="XCW15" s="11"/>
      <c r="XCX15" s="12"/>
      <c r="XCY15" s="12"/>
      <c r="XCZ15" s="12"/>
      <c r="XDA15" s="13"/>
      <c r="XDB15" s="9"/>
      <c r="XDC15" s="9"/>
      <c r="XDD15" s="9"/>
      <c r="XDE15" s="9"/>
      <c r="XDF15" s="10"/>
      <c r="XDG15" s="11"/>
      <c r="XDH15" s="12"/>
      <c r="XDI15" s="12"/>
      <c r="XDJ15" s="12"/>
      <c r="XDK15" s="13"/>
      <c r="XDL15" s="9"/>
      <c r="XDM15" s="9"/>
      <c r="XDN15" s="9"/>
      <c r="XDO15" s="9"/>
      <c r="XDP15" s="10"/>
      <c r="XDQ15" s="11"/>
      <c r="XDR15" s="12"/>
      <c r="XDS15" s="12"/>
      <c r="XDT15" s="12"/>
      <c r="XDU15" s="13"/>
      <c r="XDV15" s="9"/>
      <c r="XDW15" s="9"/>
      <c r="XDX15" s="9"/>
      <c r="XDY15" s="9"/>
      <c r="XDZ15" s="10"/>
      <c r="XEA15" s="11"/>
      <c r="XEB15" s="12"/>
      <c r="XEC15" s="12"/>
      <c r="XED15" s="12"/>
      <c r="XEE15" s="13"/>
      <c r="XEF15" s="9"/>
      <c r="XEG15" s="9"/>
      <c r="XEH15" s="9"/>
      <c r="XEI15" s="9"/>
      <c r="XEJ15" s="10"/>
      <c r="XEK15" s="11"/>
      <c r="XEL15" s="12"/>
      <c r="XEM15" s="12"/>
      <c r="XEN15" s="12"/>
      <c r="XEO15" s="13"/>
      <c r="XEP15" s="9"/>
      <c r="XEQ15" s="9"/>
      <c r="XER15" s="9"/>
      <c r="XES15" s="9"/>
      <c r="XET15" s="10"/>
      <c r="XEU15" s="11"/>
      <c r="XEV15" s="12"/>
      <c r="XEW15" s="12"/>
      <c r="XEX15" s="12"/>
      <c r="XEY15" s="13"/>
      <c r="XEZ15" s="9"/>
      <c r="XFA15" s="9"/>
      <c r="XFB15" s="9"/>
      <c r="XFC15" s="9"/>
      <c r="XFD15" s="10"/>
    </row>
    <row r="16" spans="1:16384" x14ac:dyDescent="0.25">
      <c r="A16" t="s">
        <v>30</v>
      </c>
      <c r="B16" t="s">
        <v>31</v>
      </c>
      <c r="C16" t="s">
        <v>101</v>
      </c>
      <c r="D16" s="1">
        <v>8</v>
      </c>
      <c r="E16" s="5">
        <v>11</v>
      </c>
      <c r="F16" s="8" t="s">
        <v>123</v>
      </c>
      <c r="G16" s="8" t="s">
        <v>122</v>
      </c>
      <c r="H16" s="8" t="s">
        <v>116</v>
      </c>
      <c r="I16" s="5">
        <v>9</v>
      </c>
      <c r="J16" t="s">
        <v>110</v>
      </c>
      <c r="K16" s="5">
        <f t="shared" si="0"/>
        <v>10</v>
      </c>
    </row>
    <row r="17" spans="1:16384" x14ac:dyDescent="0.25">
      <c r="A17" t="s">
        <v>32</v>
      </c>
      <c r="B17" t="s">
        <v>33</v>
      </c>
      <c r="C17" t="s">
        <v>33</v>
      </c>
      <c r="D17" s="1">
        <v>6</v>
      </c>
      <c r="E17" s="5">
        <v>10</v>
      </c>
      <c r="F17" s="8" t="s">
        <v>117</v>
      </c>
      <c r="G17" s="8" t="s">
        <v>120</v>
      </c>
      <c r="H17" s="8" t="s">
        <v>121</v>
      </c>
      <c r="I17" s="5">
        <v>9</v>
      </c>
      <c r="J17" t="s">
        <v>110</v>
      </c>
      <c r="K17" s="5">
        <f t="shared" si="0"/>
        <v>9.5</v>
      </c>
    </row>
    <row r="18" spans="1:16384" x14ac:dyDescent="0.25">
      <c r="A18" t="s">
        <v>34</v>
      </c>
      <c r="B18" t="s">
        <v>35</v>
      </c>
      <c r="C18" t="s">
        <v>84</v>
      </c>
      <c r="D18" s="1">
        <v>2</v>
      </c>
      <c r="E18" s="5">
        <v>11</v>
      </c>
      <c r="F18" s="8" t="s">
        <v>117</v>
      </c>
      <c r="G18" s="8" t="s">
        <v>115</v>
      </c>
      <c r="H18" s="8" t="s">
        <v>116</v>
      </c>
      <c r="I18" s="5">
        <v>9</v>
      </c>
      <c r="J18" t="s">
        <v>108</v>
      </c>
      <c r="K18" s="5">
        <f t="shared" si="0"/>
        <v>10</v>
      </c>
    </row>
    <row r="19" spans="1:16384" x14ac:dyDescent="0.25">
      <c r="A19" t="s">
        <v>36</v>
      </c>
      <c r="B19" t="s">
        <v>37</v>
      </c>
      <c r="C19" t="s">
        <v>91</v>
      </c>
      <c r="D19" s="1">
        <v>4</v>
      </c>
      <c r="E19" s="5">
        <v>11</v>
      </c>
      <c r="F19" s="8" t="s">
        <v>131</v>
      </c>
      <c r="G19" s="8" t="s">
        <v>118</v>
      </c>
      <c r="H19" s="8" t="s">
        <v>130</v>
      </c>
      <c r="I19" s="5">
        <v>9</v>
      </c>
      <c r="J19" t="s">
        <v>108</v>
      </c>
      <c r="K19" s="5">
        <f t="shared" si="0"/>
        <v>10</v>
      </c>
    </row>
    <row r="20" spans="1:16384" x14ac:dyDescent="0.25">
      <c r="A20" s="9" t="s">
        <v>38</v>
      </c>
      <c r="B20" s="9" t="s">
        <v>39</v>
      </c>
      <c r="C20" s="9" t="s">
        <v>85</v>
      </c>
      <c r="D20" s="10">
        <v>2</v>
      </c>
      <c r="E20" s="13">
        <v>11</v>
      </c>
      <c r="F20" s="12" t="s">
        <v>117</v>
      </c>
      <c r="G20" s="12" t="s">
        <v>115</v>
      </c>
      <c r="H20" s="12" t="s">
        <v>116</v>
      </c>
      <c r="I20" s="13">
        <v>9</v>
      </c>
      <c r="J20" s="9" t="s">
        <v>108</v>
      </c>
      <c r="K20" s="13">
        <f t="shared" si="0"/>
        <v>10</v>
      </c>
      <c r="L20" s="9"/>
      <c r="M20" s="9"/>
      <c r="N20" s="10"/>
      <c r="O20" s="11"/>
      <c r="P20" s="12"/>
      <c r="Q20" s="12"/>
      <c r="R20" s="12"/>
      <c r="S20" s="13"/>
      <c r="T20" s="9"/>
      <c r="U20" s="9"/>
      <c r="V20" s="9"/>
      <c r="W20" s="9"/>
      <c r="X20" s="10"/>
      <c r="Y20" s="11"/>
      <c r="Z20" s="12"/>
      <c r="AA20" s="12"/>
      <c r="AB20" s="12"/>
      <c r="AC20" s="13"/>
      <c r="AD20" s="9"/>
      <c r="AE20" s="9"/>
      <c r="AF20" s="9"/>
      <c r="AG20" s="9"/>
      <c r="AH20" s="10"/>
      <c r="AI20" s="11"/>
      <c r="AJ20" s="12"/>
      <c r="AK20" s="12"/>
      <c r="AL20" s="12"/>
      <c r="AM20" s="13"/>
      <c r="AN20" s="9"/>
      <c r="AO20" s="9"/>
      <c r="AP20" s="9"/>
      <c r="AQ20" s="9"/>
      <c r="AR20" s="10"/>
      <c r="AS20" s="11"/>
      <c r="AT20" s="12"/>
      <c r="AU20" s="12"/>
      <c r="AV20" s="12"/>
      <c r="AW20" s="13"/>
      <c r="AX20" s="9"/>
      <c r="AY20" s="9"/>
      <c r="AZ20" s="9"/>
      <c r="BA20" s="9"/>
      <c r="BB20" s="10"/>
      <c r="BC20" s="11"/>
      <c r="BD20" s="12"/>
      <c r="BE20" s="12"/>
      <c r="BF20" s="12"/>
      <c r="BG20" s="13"/>
      <c r="BH20" s="9"/>
      <c r="BI20" s="9"/>
      <c r="BJ20" s="9"/>
      <c r="BK20" s="9"/>
      <c r="BL20" s="10"/>
      <c r="BM20" s="11"/>
      <c r="BN20" s="12"/>
      <c r="BO20" s="12"/>
      <c r="BP20" s="12"/>
      <c r="BQ20" s="13"/>
      <c r="BR20" s="9"/>
      <c r="BS20" s="9"/>
      <c r="BT20" s="9"/>
      <c r="BU20" s="9"/>
      <c r="BV20" s="10"/>
      <c r="BW20" s="11"/>
      <c r="BX20" s="12"/>
      <c r="BY20" s="12"/>
      <c r="BZ20" s="12"/>
      <c r="CA20" s="13"/>
      <c r="CB20" s="9"/>
      <c r="CC20" s="9"/>
      <c r="CD20" s="9"/>
      <c r="CE20" s="9"/>
      <c r="CF20" s="10"/>
      <c r="CG20" s="11"/>
      <c r="CH20" s="12"/>
      <c r="CI20" s="12"/>
      <c r="CJ20" s="12"/>
      <c r="CK20" s="13"/>
      <c r="CL20" s="9"/>
      <c r="CM20" s="9"/>
      <c r="CN20" s="9"/>
      <c r="CO20" s="9"/>
      <c r="CP20" s="10"/>
      <c r="CQ20" s="11"/>
      <c r="CR20" s="12"/>
      <c r="CS20" s="12"/>
      <c r="CT20" s="12"/>
      <c r="CU20" s="13"/>
      <c r="CV20" s="9"/>
      <c r="CW20" s="9"/>
      <c r="CX20" s="9"/>
      <c r="CY20" s="9"/>
      <c r="CZ20" s="10"/>
      <c r="DA20" s="11"/>
      <c r="DB20" s="12"/>
      <c r="DC20" s="12"/>
      <c r="DD20" s="12"/>
      <c r="DE20" s="13"/>
      <c r="DF20" s="9"/>
      <c r="DG20" s="9"/>
      <c r="DH20" s="9"/>
      <c r="DI20" s="9"/>
      <c r="DJ20" s="10"/>
      <c r="DK20" s="11"/>
      <c r="DL20" s="12"/>
      <c r="DM20" s="12"/>
      <c r="DN20" s="12"/>
      <c r="DO20" s="13"/>
      <c r="DP20" s="9"/>
      <c r="DQ20" s="9"/>
      <c r="DR20" s="9"/>
      <c r="DS20" s="9"/>
      <c r="DT20" s="10"/>
      <c r="DU20" s="11"/>
      <c r="DV20" s="12"/>
      <c r="DW20" s="12"/>
      <c r="DX20" s="12"/>
      <c r="DY20" s="13"/>
      <c r="DZ20" s="9"/>
      <c r="EA20" s="9"/>
      <c r="EB20" s="9"/>
      <c r="EC20" s="9"/>
      <c r="ED20" s="10"/>
      <c r="EE20" s="11"/>
      <c r="EF20" s="12"/>
      <c r="EG20" s="12"/>
      <c r="EH20" s="12"/>
      <c r="EI20" s="13"/>
      <c r="EJ20" s="9"/>
      <c r="EK20" s="9"/>
      <c r="EL20" s="9"/>
      <c r="EM20" s="9"/>
      <c r="EN20" s="10"/>
      <c r="EO20" s="11"/>
      <c r="EP20" s="12"/>
      <c r="EQ20" s="12"/>
      <c r="ER20" s="12"/>
      <c r="ES20" s="13"/>
      <c r="ET20" s="9"/>
      <c r="EU20" s="9"/>
      <c r="EV20" s="9"/>
      <c r="EW20" s="9"/>
      <c r="EX20" s="10"/>
      <c r="EY20" s="11"/>
      <c r="EZ20" s="12"/>
      <c r="FA20" s="12"/>
      <c r="FB20" s="12"/>
      <c r="FC20" s="13"/>
      <c r="FD20" s="9"/>
      <c r="FE20" s="9"/>
      <c r="FF20" s="9"/>
      <c r="FG20" s="9"/>
      <c r="FH20" s="10"/>
      <c r="FI20" s="11"/>
      <c r="FJ20" s="12"/>
      <c r="FK20" s="12"/>
      <c r="FL20" s="12"/>
      <c r="FM20" s="13"/>
      <c r="FN20" s="9"/>
      <c r="FO20" s="9"/>
      <c r="FP20" s="9"/>
      <c r="FQ20" s="9"/>
      <c r="FR20" s="10"/>
      <c r="FS20" s="11"/>
      <c r="FT20" s="12"/>
      <c r="FU20" s="12"/>
      <c r="FV20" s="12"/>
      <c r="FW20" s="13"/>
      <c r="FX20" s="9"/>
      <c r="FY20" s="9"/>
      <c r="FZ20" s="9"/>
      <c r="GA20" s="9"/>
      <c r="GB20" s="10"/>
      <c r="GC20" s="11"/>
      <c r="GD20" s="12"/>
      <c r="GE20" s="12"/>
      <c r="GF20" s="12"/>
      <c r="GG20" s="13"/>
      <c r="GH20" s="9"/>
      <c r="GI20" s="9"/>
      <c r="GJ20" s="9"/>
      <c r="GK20" s="9"/>
      <c r="GL20" s="10"/>
      <c r="GM20" s="11"/>
      <c r="GN20" s="12"/>
      <c r="GO20" s="12"/>
      <c r="GP20" s="12"/>
      <c r="GQ20" s="13"/>
      <c r="GR20" s="9"/>
      <c r="GS20" s="9"/>
      <c r="GT20" s="9"/>
      <c r="GU20" s="9"/>
      <c r="GV20" s="10"/>
      <c r="GW20" s="11"/>
      <c r="GX20" s="12"/>
      <c r="GY20" s="12"/>
      <c r="GZ20" s="12"/>
      <c r="HA20" s="13"/>
      <c r="HB20" s="9"/>
      <c r="HC20" s="9"/>
      <c r="HD20" s="9"/>
      <c r="HE20" s="9"/>
      <c r="HF20" s="10"/>
      <c r="HG20" s="11"/>
      <c r="HH20" s="12"/>
      <c r="HI20" s="12"/>
      <c r="HJ20" s="12"/>
      <c r="HK20" s="13"/>
      <c r="HL20" s="9"/>
      <c r="HM20" s="9"/>
      <c r="HN20" s="9"/>
      <c r="HO20" s="9"/>
      <c r="HP20" s="10"/>
      <c r="HQ20" s="11"/>
      <c r="HR20" s="12"/>
      <c r="HS20" s="12"/>
      <c r="HT20" s="12"/>
      <c r="HU20" s="13"/>
      <c r="HV20" s="9"/>
      <c r="HW20" s="9"/>
      <c r="HX20" s="9"/>
      <c r="HY20" s="9"/>
      <c r="HZ20" s="10"/>
      <c r="IA20" s="11"/>
      <c r="IB20" s="12"/>
      <c r="IC20" s="12"/>
      <c r="ID20" s="12"/>
      <c r="IE20" s="13"/>
      <c r="IF20" s="9"/>
      <c r="IG20" s="9"/>
      <c r="IH20" s="9"/>
      <c r="II20" s="9"/>
      <c r="IJ20" s="10"/>
      <c r="IK20" s="11"/>
      <c r="IL20" s="12"/>
      <c r="IM20" s="12"/>
      <c r="IN20" s="12"/>
      <c r="IO20" s="13"/>
      <c r="IP20" s="9"/>
      <c r="IQ20" s="9"/>
      <c r="IR20" s="9"/>
      <c r="IS20" s="9"/>
      <c r="IT20" s="10"/>
      <c r="IU20" s="11"/>
      <c r="IV20" s="12"/>
      <c r="IW20" s="12"/>
      <c r="IX20" s="12"/>
      <c r="IY20" s="13"/>
      <c r="IZ20" s="9"/>
      <c r="JA20" s="9"/>
      <c r="JB20" s="9"/>
      <c r="JC20" s="9"/>
      <c r="JD20" s="10"/>
      <c r="JE20" s="11"/>
      <c r="JF20" s="12"/>
      <c r="JG20" s="12"/>
      <c r="JH20" s="12"/>
      <c r="JI20" s="13"/>
      <c r="JJ20" s="9"/>
      <c r="JK20" s="9"/>
      <c r="JL20" s="9"/>
      <c r="JM20" s="9"/>
      <c r="JN20" s="10"/>
      <c r="JO20" s="11"/>
      <c r="JP20" s="12"/>
      <c r="JQ20" s="12"/>
      <c r="JR20" s="12"/>
      <c r="JS20" s="13"/>
      <c r="JT20" s="9"/>
      <c r="JU20" s="9"/>
      <c r="JV20" s="9"/>
      <c r="JW20" s="9"/>
      <c r="JX20" s="10"/>
      <c r="JY20" s="11"/>
      <c r="JZ20" s="12"/>
      <c r="KA20" s="12"/>
      <c r="KB20" s="12"/>
      <c r="KC20" s="13"/>
      <c r="KD20" s="9"/>
      <c r="KE20" s="9"/>
      <c r="KF20" s="9"/>
      <c r="KG20" s="9"/>
      <c r="KH20" s="10"/>
      <c r="KI20" s="11"/>
      <c r="KJ20" s="12"/>
      <c r="KK20" s="12"/>
      <c r="KL20" s="12"/>
      <c r="KM20" s="13"/>
      <c r="KN20" s="9"/>
      <c r="KO20" s="9"/>
      <c r="KP20" s="9"/>
      <c r="KQ20" s="9"/>
      <c r="KR20" s="10"/>
      <c r="KS20" s="11"/>
      <c r="KT20" s="12"/>
      <c r="KU20" s="12"/>
      <c r="KV20" s="12"/>
      <c r="KW20" s="13"/>
      <c r="KX20" s="9"/>
      <c r="KY20" s="9"/>
      <c r="KZ20" s="9"/>
      <c r="LA20" s="9"/>
      <c r="LB20" s="10"/>
      <c r="LC20" s="11"/>
      <c r="LD20" s="12"/>
      <c r="LE20" s="12"/>
      <c r="LF20" s="12"/>
      <c r="LG20" s="13"/>
      <c r="LH20" s="9"/>
      <c r="LI20" s="9"/>
      <c r="LJ20" s="9"/>
      <c r="LK20" s="9"/>
      <c r="LL20" s="10"/>
      <c r="LM20" s="11"/>
      <c r="LN20" s="12"/>
      <c r="LO20" s="12"/>
      <c r="LP20" s="12"/>
      <c r="LQ20" s="13"/>
      <c r="LR20" s="9"/>
      <c r="LS20" s="9"/>
      <c r="LT20" s="9"/>
      <c r="LU20" s="9"/>
      <c r="LV20" s="10"/>
      <c r="LW20" s="11"/>
      <c r="LX20" s="12"/>
      <c r="LY20" s="12"/>
      <c r="LZ20" s="12"/>
      <c r="MA20" s="13"/>
      <c r="MB20" s="9"/>
      <c r="MC20" s="9"/>
      <c r="MD20" s="9"/>
      <c r="ME20" s="9"/>
      <c r="MF20" s="10"/>
      <c r="MG20" s="11"/>
      <c r="MH20" s="12"/>
      <c r="MI20" s="12"/>
      <c r="MJ20" s="12"/>
      <c r="MK20" s="13"/>
      <c r="ML20" s="9"/>
      <c r="MM20" s="9"/>
      <c r="MN20" s="9"/>
      <c r="MO20" s="9"/>
      <c r="MP20" s="10"/>
      <c r="MQ20" s="11"/>
      <c r="MR20" s="12"/>
      <c r="MS20" s="12"/>
      <c r="MT20" s="12"/>
      <c r="MU20" s="13"/>
      <c r="MV20" s="9"/>
      <c r="MW20" s="9"/>
      <c r="MX20" s="9"/>
      <c r="MY20" s="9"/>
      <c r="MZ20" s="10"/>
      <c r="NA20" s="11"/>
      <c r="NB20" s="12"/>
      <c r="NC20" s="12"/>
      <c r="ND20" s="12"/>
      <c r="NE20" s="13"/>
      <c r="NF20" s="9"/>
      <c r="NG20" s="9"/>
      <c r="NH20" s="9"/>
      <c r="NI20" s="9"/>
      <c r="NJ20" s="10"/>
      <c r="NK20" s="11"/>
      <c r="NL20" s="12"/>
      <c r="NM20" s="12"/>
      <c r="NN20" s="12"/>
      <c r="NO20" s="13"/>
      <c r="NP20" s="9"/>
      <c r="NQ20" s="9"/>
      <c r="NR20" s="9"/>
      <c r="NS20" s="9"/>
      <c r="NT20" s="10"/>
      <c r="NU20" s="11"/>
      <c r="NV20" s="12"/>
      <c r="NW20" s="12"/>
      <c r="NX20" s="12"/>
      <c r="NY20" s="13"/>
      <c r="NZ20" s="9"/>
      <c r="OA20" s="9"/>
      <c r="OB20" s="9"/>
      <c r="OC20" s="9"/>
      <c r="OD20" s="10"/>
      <c r="OE20" s="11"/>
      <c r="OF20" s="12"/>
      <c r="OG20" s="12"/>
      <c r="OH20" s="12"/>
      <c r="OI20" s="13"/>
      <c r="OJ20" s="9"/>
      <c r="OK20" s="9"/>
      <c r="OL20" s="9"/>
      <c r="OM20" s="9"/>
      <c r="ON20" s="10"/>
      <c r="OO20" s="11"/>
      <c r="OP20" s="12"/>
      <c r="OQ20" s="12"/>
      <c r="OR20" s="12"/>
      <c r="OS20" s="13"/>
      <c r="OT20" s="9"/>
      <c r="OU20" s="9"/>
      <c r="OV20" s="9"/>
      <c r="OW20" s="9"/>
      <c r="OX20" s="10"/>
      <c r="OY20" s="11"/>
      <c r="OZ20" s="12"/>
      <c r="PA20" s="12"/>
      <c r="PB20" s="12"/>
      <c r="PC20" s="13"/>
      <c r="PD20" s="9"/>
      <c r="PE20" s="9"/>
      <c r="PF20" s="9"/>
      <c r="PG20" s="9"/>
      <c r="PH20" s="10"/>
      <c r="PI20" s="11"/>
      <c r="PJ20" s="12"/>
      <c r="PK20" s="12"/>
      <c r="PL20" s="12"/>
      <c r="PM20" s="13"/>
      <c r="PN20" s="9"/>
      <c r="PO20" s="9"/>
      <c r="PP20" s="9"/>
      <c r="PQ20" s="9"/>
      <c r="PR20" s="10"/>
      <c r="PS20" s="11"/>
      <c r="PT20" s="12"/>
      <c r="PU20" s="12"/>
      <c r="PV20" s="12"/>
      <c r="PW20" s="13"/>
      <c r="PX20" s="9"/>
      <c r="PY20" s="9"/>
      <c r="PZ20" s="9"/>
      <c r="QA20" s="9"/>
      <c r="QB20" s="10"/>
      <c r="QC20" s="11"/>
      <c r="QD20" s="12"/>
      <c r="QE20" s="12"/>
      <c r="QF20" s="12"/>
      <c r="QG20" s="13"/>
      <c r="QH20" s="9"/>
      <c r="QI20" s="9"/>
      <c r="QJ20" s="9"/>
      <c r="QK20" s="9"/>
      <c r="QL20" s="10"/>
      <c r="QM20" s="11"/>
      <c r="QN20" s="12"/>
      <c r="QO20" s="12"/>
      <c r="QP20" s="12"/>
      <c r="QQ20" s="13"/>
      <c r="QR20" s="9"/>
      <c r="QS20" s="9"/>
      <c r="QT20" s="9"/>
      <c r="QU20" s="9"/>
      <c r="QV20" s="10"/>
      <c r="QW20" s="11"/>
      <c r="QX20" s="12"/>
      <c r="QY20" s="12"/>
      <c r="QZ20" s="12"/>
      <c r="RA20" s="13"/>
      <c r="RB20" s="9"/>
      <c r="RC20" s="9"/>
      <c r="RD20" s="9"/>
      <c r="RE20" s="9"/>
      <c r="RF20" s="10"/>
      <c r="RG20" s="11"/>
      <c r="RH20" s="12"/>
      <c r="RI20" s="12"/>
      <c r="RJ20" s="12"/>
      <c r="RK20" s="13"/>
      <c r="RL20" s="9"/>
      <c r="RM20" s="9"/>
      <c r="RN20" s="9"/>
      <c r="RO20" s="9"/>
      <c r="RP20" s="10"/>
      <c r="RQ20" s="11"/>
      <c r="RR20" s="12"/>
      <c r="RS20" s="12"/>
      <c r="RT20" s="12"/>
      <c r="RU20" s="13"/>
      <c r="RV20" s="9"/>
      <c r="RW20" s="9"/>
      <c r="RX20" s="9"/>
      <c r="RY20" s="9"/>
      <c r="RZ20" s="10"/>
      <c r="SA20" s="11"/>
      <c r="SB20" s="12"/>
      <c r="SC20" s="12"/>
      <c r="SD20" s="12"/>
      <c r="SE20" s="13"/>
      <c r="SF20" s="9"/>
      <c r="SG20" s="9"/>
      <c r="SH20" s="9"/>
      <c r="SI20" s="9"/>
      <c r="SJ20" s="10"/>
      <c r="SK20" s="11"/>
      <c r="SL20" s="12"/>
      <c r="SM20" s="12"/>
      <c r="SN20" s="12"/>
      <c r="SO20" s="13"/>
      <c r="SP20" s="9"/>
      <c r="SQ20" s="9"/>
      <c r="SR20" s="9"/>
      <c r="SS20" s="9"/>
      <c r="ST20" s="10"/>
      <c r="SU20" s="11"/>
      <c r="SV20" s="12"/>
      <c r="SW20" s="12"/>
      <c r="SX20" s="12"/>
      <c r="SY20" s="13"/>
      <c r="SZ20" s="9"/>
      <c r="TA20" s="9"/>
      <c r="TB20" s="9"/>
      <c r="TC20" s="9"/>
      <c r="TD20" s="10"/>
      <c r="TE20" s="11"/>
      <c r="TF20" s="12"/>
      <c r="TG20" s="12"/>
      <c r="TH20" s="12"/>
      <c r="TI20" s="13"/>
      <c r="TJ20" s="9"/>
      <c r="TK20" s="9"/>
      <c r="TL20" s="9"/>
      <c r="TM20" s="9"/>
      <c r="TN20" s="10"/>
      <c r="TO20" s="11"/>
      <c r="TP20" s="12"/>
      <c r="TQ20" s="12"/>
      <c r="TR20" s="12"/>
      <c r="TS20" s="13"/>
      <c r="TT20" s="9"/>
      <c r="TU20" s="9"/>
      <c r="TV20" s="9"/>
      <c r="TW20" s="9"/>
      <c r="TX20" s="10"/>
      <c r="TY20" s="11"/>
      <c r="TZ20" s="12"/>
      <c r="UA20" s="12"/>
      <c r="UB20" s="12"/>
      <c r="UC20" s="13"/>
      <c r="UD20" s="9"/>
      <c r="UE20" s="9"/>
      <c r="UF20" s="9"/>
      <c r="UG20" s="9"/>
      <c r="UH20" s="10"/>
      <c r="UI20" s="11"/>
      <c r="UJ20" s="12"/>
      <c r="UK20" s="12"/>
      <c r="UL20" s="12"/>
      <c r="UM20" s="13"/>
      <c r="UN20" s="9"/>
      <c r="UO20" s="9"/>
      <c r="UP20" s="9"/>
      <c r="UQ20" s="9"/>
      <c r="UR20" s="10"/>
      <c r="US20" s="11"/>
      <c r="UT20" s="12"/>
      <c r="UU20" s="12"/>
      <c r="UV20" s="12"/>
      <c r="UW20" s="13"/>
      <c r="UX20" s="9"/>
      <c r="UY20" s="9"/>
      <c r="UZ20" s="9"/>
      <c r="VA20" s="9"/>
      <c r="VB20" s="10"/>
      <c r="VC20" s="11"/>
      <c r="VD20" s="12"/>
      <c r="VE20" s="12"/>
      <c r="VF20" s="12"/>
      <c r="VG20" s="13"/>
      <c r="VH20" s="9"/>
      <c r="VI20" s="9"/>
      <c r="VJ20" s="9"/>
      <c r="VK20" s="9"/>
      <c r="VL20" s="10"/>
      <c r="VM20" s="11"/>
      <c r="VN20" s="12"/>
      <c r="VO20" s="12"/>
      <c r="VP20" s="12"/>
      <c r="VQ20" s="13"/>
      <c r="VR20" s="9"/>
      <c r="VS20" s="9"/>
      <c r="VT20" s="9"/>
      <c r="VU20" s="9"/>
      <c r="VV20" s="10"/>
      <c r="VW20" s="11"/>
      <c r="VX20" s="12"/>
      <c r="VY20" s="12"/>
      <c r="VZ20" s="12"/>
      <c r="WA20" s="13"/>
      <c r="WB20" s="9"/>
      <c r="WC20" s="9"/>
      <c r="WD20" s="9"/>
      <c r="WE20" s="9"/>
      <c r="WF20" s="10"/>
      <c r="WG20" s="11"/>
      <c r="WH20" s="12"/>
      <c r="WI20" s="12"/>
      <c r="WJ20" s="12"/>
      <c r="WK20" s="13"/>
      <c r="WL20" s="9"/>
      <c r="WM20" s="9"/>
      <c r="WN20" s="9"/>
      <c r="WO20" s="9"/>
      <c r="WP20" s="10"/>
      <c r="WQ20" s="11"/>
      <c r="WR20" s="12"/>
      <c r="WS20" s="12"/>
      <c r="WT20" s="12"/>
      <c r="WU20" s="13"/>
      <c r="WV20" s="9"/>
      <c r="WW20" s="9"/>
      <c r="WX20" s="9"/>
      <c r="WY20" s="9"/>
      <c r="WZ20" s="10"/>
      <c r="XA20" s="11"/>
      <c r="XB20" s="12"/>
      <c r="XC20" s="12"/>
      <c r="XD20" s="12"/>
      <c r="XE20" s="13"/>
      <c r="XF20" s="9"/>
      <c r="XG20" s="9"/>
      <c r="XH20" s="9"/>
      <c r="XI20" s="9"/>
      <c r="XJ20" s="10"/>
      <c r="XK20" s="11"/>
      <c r="XL20" s="12"/>
      <c r="XM20" s="12"/>
      <c r="XN20" s="12"/>
      <c r="XO20" s="13"/>
      <c r="XP20" s="9"/>
      <c r="XQ20" s="9"/>
      <c r="XR20" s="9"/>
      <c r="XS20" s="9"/>
      <c r="XT20" s="10"/>
      <c r="XU20" s="11"/>
      <c r="XV20" s="12"/>
      <c r="XW20" s="12"/>
      <c r="XX20" s="12"/>
      <c r="XY20" s="13"/>
      <c r="XZ20" s="9"/>
      <c r="YA20" s="9"/>
      <c r="YB20" s="9"/>
      <c r="YC20" s="9"/>
      <c r="YD20" s="10"/>
      <c r="YE20" s="11"/>
      <c r="YF20" s="12"/>
      <c r="YG20" s="12"/>
      <c r="YH20" s="12"/>
      <c r="YI20" s="13"/>
      <c r="YJ20" s="9"/>
      <c r="YK20" s="9"/>
      <c r="YL20" s="9"/>
      <c r="YM20" s="9"/>
      <c r="YN20" s="10"/>
      <c r="YO20" s="11"/>
      <c r="YP20" s="12"/>
      <c r="YQ20" s="12"/>
      <c r="YR20" s="12"/>
      <c r="YS20" s="13"/>
      <c r="YT20" s="9"/>
      <c r="YU20" s="9"/>
      <c r="YV20" s="9"/>
      <c r="YW20" s="9"/>
      <c r="YX20" s="10"/>
      <c r="YY20" s="11"/>
      <c r="YZ20" s="12"/>
      <c r="ZA20" s="12"/>
      <c r="ZB20" s="12"/>
      <c r="ZC20" s="13"/>
      <c r="ZD20" s="9"/>
      <c r="ZE20" s="9"/>
      <c r="ZF20" s="9"/>
      <c r="ZG20" s="9"/>
      <c r="ZH20" s="10"/>
      <c r="ZI20" s="11"/>
      <c r="ZJ20" s="12"/>
      <c r="ZK20" s="12"/>
      <c r="ZL20" s="12"/>
      <c r="ZM20" s="13"/>
      <c r="ZN20" s="9"/>
      <c r="ZO20" s="9"/>
      <c r="ZP20" s="9"/>
      <c r="ZQ20" s="9"/>
      <c r="ZR20" s="10"/>
      <c r="ZS20" s="11"/>
      <c r="ZT20" s="12"/>
      <c r="ZU20" s="12"/>
      <c r="ZV20" s="12"/>
      <c r="ZW20" s="13"/>
      <c r="ZX20" s="9"/>
      <c r="ZY20" s="9"/>
      <c r="ZZ20" s="9"/>
      <c r="AAA20" s="9"/>
      <c r="AAB20" s="10"/>
      <c r="AAC20" s="11"/>
      <c r="AAD20" s="12"/>
      <c r="AAE20" s="12"/>
      <c r="AAF20" s="12"/>
      <c r="AAG20" s="13"/>
      <c r="AAH20" s="9"/>
      <c r="AAI20" s="9"/>
      <c r="AAJ20" s="9"/>
      <c r="AAK20" s="9"/>
      <c r="AAL20" s="10"/>
      <c r="AAM20" s="11"/>
      <c r="AAN20" s="12"/>
      <c r="AAO20" s="12"/>
      <c r="AAP20" s="12"/>
      <c r="AAQ20" s="13"/>
      <c r="AAR20" s="9"/>
      <c r="AAS20" s="9"/>
      <c r="AAT20" s="9"/>
      <c r="AAU20" s="9"/>
      <c r="AAV20" s="10"/>
      <c r="AAW20" s="11"/>
      <c r="AAX20" s="12"/>
      <c r="AAY20" s="12"/>
      <c r="AAZ20" s="12"/>
      <c r="ABA20" s="13"/>
      <c r="ABB20" s="9"/>
      <c r="ABC20" s="9"/>
      <c r="ABD20" s="9"/>
      <c r="ABE20" s="9"/>
      <c r="ABF20" s="10"/>
      <c r="ABG20" s="11"/>
      <c r="ABH20" s="12"/>
      <c r="ABI20" s="12"/>
      <c r="ABJ20" s="12"/>
      <c r="ABK20" s="13"/>
      <c r="ABL20" s="9"/>
      <c r="ABM20" s="9"/>
      <c r="ABN20" s="9"/>
      <c r="ABO20" s="9"/>
      <c r="ABP20" s="10"/>
      <c r="ABQ20" s="11"/>
      <c r="ABR20" s="12"/>
      <c r="ABS20" s="12"/>
      <c r="ABT20" s="12"/>
      <c r="ABU20" s="13"/>
      <c r="ABV20" s="9"/>
      <c r="ABW20" s="9"/>
      <c r="ABX20" s="9"/>
      <c r="ABY20" s="9"/>
      <c r="ABZ20" s="10"/>
      <c r="ACA20" s="11"/>
      <c r="ACB20" s="12"/>
      <c r="ACC20" s="12"/>
      <c r="ACD20" s="12"/>
      <c r="ACE20" s="13"/>
      <c r="ACF20" s="9"/>
      <c r="ACG20" s="9"/>
      <c r="ACH20" s="9"/>
      <c r="ACI20" s="9"/>
      <c r="ACJ20" s="10"/>
      <c r="ACK20" s="11"/>
      <c r="ACL20" s="12"/>
      <c r="ACM20" s="12"/>
      <c r="ACN20" s="12"/>
      <c r="ACO20" s="13"/>
      <c r="ACP20" s="9"/>
      <c r="ACQ20" s="9"/>
      <c r="ACR20" s="9"/>
      <c r="ACS20" s="9"/>
      <c r="ACT20" s="10"/>
      <c r="ACU20" s="11"/>
      <c r="ACV20" s="12"/>
      <c r="ACW20" s="12"/>
      <c r="ACX20" s="12"/>
      <c r="ACY20" s="13"/>
      <c r="ACZ20" s="9"/>
      <c r="ADA20" s="9"/>
      <c r="ADB20" s="9"/>
      <c r="ADC20" s="9"/>
      <c r="ADD20" s="10"/>
      <c r="ADE20" s="11"/>
      <c r="ADF20" s="12"/>
      <c r="ADG20" s="12"/>
      <c r="ADH20" s="12"/>
      <c r="ADI20" s="13"/>
      <c r="ADJ20" s="9"/>
      <c r="ADK20" s="9"/>
      <c r="ADL20" s="9"/>
      <c r="ADM20" s="9"/>
      <c r="ADN20" s="10"/>
      <c r="ADO20" s="11"/>
      <c r="ADP20" s="12"/>
      <c r="ADQ20" s="12"/>
      <c r="ADR20" s="12"/>
      <c r="ADS20" s="13"/>
      <c r="ADT20" s="9"/>
      <c r="ADU20" s="9"/>
      <c r="ADV20" s="9"/>
      <c r="ADW20" s="9"/>
      <c r="ADX20" s="10"/>
      <c r="ADY20" s="11"/>
      <c r="ADZ20" s="12"/>
      <c r="AEA20" s="12"/>
      <c r="AEB20" s="12"/>
      <c r="AEC20" s="13"/>
      <c r="AED20" s="9"/>
      <c r="AEE20" s="9"/>
      <c r="AEF20" s="9"/>
      <c r="AEG20" s="9"/>
      <c r="AEH20" s="10"/>
      <c r="AEI20" s="11"/>
      <c r="AEJ20" s="12"/>
      <c r="AEK20" s="12"/>
      <c r="AEL20" s="12"/>
      <c r="AEM20" s="13"/>
      <c r="AEN20" s="9"/>
      <c r="AEO20" s="9"/>
      <c r="AEP20" s="9"/>
      <c r="AEQ20" s="9"/>
      <c r="AER20" s="10"/>
      <c r="AES20" s="11"/>
      <c r="AET20" s="12"/>
      <c r="AEU20" s="12"/>
      <c r="AEV20" s="12"/>
      <c r="AEW20" s="13"/>
      <c r="AEX20" s="9"/>
      <c r="AEY20" s="9"/>
      <c r="AEZ20" s="9"/>
      <c r="AFA20" s="9"/>
      <c r="AFB20" s="10"/>
      <c r="AFC20" s="11"/>
      <c r="AFD20" s="12"/>
      <c r="AFE20" s="12"/>
      <c r="AFF20" s="12"/>
      <c r="AFG20" s="13"/>
      <c r="AFH20" s="9"/>
      <c r="AFI20" s="9"/>
      <c r="AFJ20" s="9"/>
      <c r="AFK20" s="9"/>
      <c r="AFL20" s="10"/>
      <c r="AFM20" s="11"/>
      <c r="AFN20" s="12"/>
      <c r="AFO20" s="12"/>
      <c r="AFP20" s="12"/>
      <c r="AFQ20" s="13"/>
      <c r="AFR20" s="9"/>
      <c r="AFS20" s="9"/>
      <c r="AFT20" s="9"/>
      <c r="AFU20" s="9"/>
      <c r="AFV20" s="10"/>
      <c r="AFW20" s="11"/>
      <c r="AFX20" s="12"/>
      <c r="AFY20" s="12"/>
      <c r="AFZ20" s="12"/>
      <c r="AGA20" s="13"/>
      <c r="AGB20" s="9"/>
      <c r="AGC20" s="9"/>
      <c r="AGD20" s="9"/>
      <c r="AGE20" s="9"/>
      <c r="AGF20" s="10"/>
      <c r="AGG20" s="11"/>
      <c r="AGH20" s="12"/>
      <c r="AGI20" s="12"/>
      <c r="AGJ20" s="12"/>
      <c r="AGK20" s="13"/>
      <c r="AGL20" s="9"/>
      <c r="AGM20" s="9"/>
      <c r="AGN20" s="9"/>
      <c r="AGO20" s="9"/>
      <c r="AGP20" s="10"/>
      <c r="AGQ20" s="11"/>
      <c r="AGR20" s="12"/>
      <c r="AGS20" s="12"/>
      <c r="AGT20" s="12"/>
      <c r="AGU20" s="13"/>
      <c r="AGV20" s="9"/>
      <c r="AGW20" s="9"/>
      <c r="AGX20" s="9"/>
      <c r="AGY20" s="9"/>
      <c r="AGZ20" s="10"/>
      <c r="AHA20" s="11"/>
      <c r="AHB20" s="12"/>
      <c r="AHC20" s="12"/>
      <c r="AHD20" s="12"/>
      <c r="AHE20" s="13"/>
      <c r="AHF20" s="9"/>
      <c r="AHG20" s="9"/>
      <c r="AHH20" s="9"/>
      <c r="AHI20" s="9"/>
      <c r="AHJ20" s="10"/>
      <c r="AHK20" s="11"/>
      <c r="AHL20" s="12"/>
      <c r="AHM20" s="12"/>
      <c r="AHN20" s="12"/>
      <c r="AHO20" s="13"/>
      <c r="AHP20" s="9"/>
      <c r="AHQ20" s="9"/>
      <c r="AHR20" s="9"/>
      <c r="AHS20" s="9"/>
      <c r="AHT20" s="10"/>
      <c r="AHU20" s="11"/>
      <c r="AHV20" s="12"/>
      <c r="AHW20" s="12"/>
      <c r="AHX20" s="12"/>
      <c r="AHY20" s="13"/>
      <c r="AHZ20" s="9"/>
      <c r="AIA20" s="9"/>
      <c r="AIB20" s="9"/>
      <c r="AIC20" s="9"/>
      <c r="AID20" s="10"/>
      <c r="AIE20" s="11"/>
      <c r="AIF20" s="12"/>
      <c r="AIG20" s="12"/>
      <c r="AIH20" s="12"/>
      <c r="AII20" s="13"/>
      <c r="AIJ20" s="9"/>
      <c r="AIK20" s="9"/>
      <c r="AIL20" s="9"/>
      <c r="AIM20" s="9"/>
      <c r="AIN20" s="10"/>
      <c r="AIO20" s="11"/>
      <c r="AIP20" s="12"/>
      <c r="AIQ20" s="12"/>
      <c r="AIR20" s="12"/>
      <c r="AIS20" s="13"/>
      <c r="AIT20" s="9"/>
      <c r="AIU20" s="9"/>
      <c r="AIV20" s="9"/>
      <c r="AIW20" s="9"/>
      <c r="AIX20" s="10"/>
      <c r="AIY20" s="11"/>
      <c r="AIZ20" s="12"/>
      <c r="AJA20" s="12"/>
      <c r="AJB20" s="12"/>
      <c r="AJC20" s="13"/>
      <c r="AJD20" s="9"/>
      <c r="AJE20" s="9"/>
      <c r="AJF20" s="9"/>
      <c r="AJG20" s="9"/>
      <c r="AJH20" s="10"/>
      <c r="AJI20" s="11"/>
      <c r="AJJ20" s="12"/>
      <c r="AJK20" s="12"/>
      <c r="AJL20" s="12"/>
      <c r="AJM20" s="13"/>
      <c r="AJN20" s="9"/>
      <c r="AJO20" s="9"/>
      <c r="AJP20" s="9"/>
      <c r="AJQ20" s="9"/>
      <c r="AJR20" s="10"/>
      <c r="AJS20" s="11"/>
      <c r="AJT20" s="12"/>
      <c r="AJU20" s="12"/>
      <c r="AJV20" s="12"/>
      <c r="AJW20" s="13"/>
      <c r="AJX20" s="9"/>
      <c r="AJY20" s="9"/>
      <c r="AJZ20" s="9"/>
      <c r="AKA20" s="9"/>
      <c r="AKB20" s="10"/>
      <c r="AKC20" s="11"/>
      <c r="AKD20" s="12"/>
      <c r="AKE20" s="12"/>
      <c r="AKF20" s="12"/>
      <c r="AKG20" s="13"/>
      <c r="AKH20" s="9"/>
      <c r="AKI20" s="9"/>
      <c r="AKJ20" s="9"/>
      <c r="AKK20" s="9"/>
      <c r="AKL20" s="10"/>
      <c r="AKM20" s="11"/>
      <c r="AKN20" s="12"/>
      <c r="AKO20" s="12"/>
      <c r="AKP20" s="12"/>
      <c r="AKQ20" s="13"/>
      <c r="AKR20" s="9"/>
      <c r="AKS20" s="9"/>
      <c r="AKT20" s="9"/>
      <c r="AKU20" s="9"/>
      <c r="AKV20" s="10"/>
      <c r="AKW20" s="11"/>
      <c r="AKX20" s="12"/>
      <c r="AKY20" s="12"/>
      <c r="AKZ20" s="12"/>
      <c r="ALA20" s="13"/>
      <c r="ALB20" s="9"/>
      <c r="ALC20" s="9"/>
      <c r="ALD20" s="9"/>
      <c r="ALE20" s="9"/>
      <c r="ALF20" s="10"/>
      <c r="ALG20" s="11"/>
      <c r="ALH20" s="12"/>
      <c r="ALI20" s="12"/>
      <c r="ALJ20" s="12"/>
      <c r="ALK20" s="13"/>
      <c r="ALL20" s="9"/>
      <c r="ALM20" s="9"/>
      <c r="ALN20" s="9"/>
      <c r="ALO20" s="9"/>
      <c r="ALP20" s="10"/>
      <c r="ALQ20" s="11"/>
      <c r="ALR20" s="12"/>
      <c r="ALS20" s="12"/>
      <c r="ALT20" s="12"/>
      <c r="ALU20" s="13"/>
      <c r="ALV20" s="9"/>
      <c r="ALW20" s="9"/>
      <c r="ALX20" s="9"/>
      <c r="ALY20" s="9"/>
      <c r="ALZ20" s="10"/>
      <c r="AMA20" s="11"/>
      <c r="AMB20" s="12"/>
      <c r="AMC20" s="12"/>
      <c r="AMD20" s="12"/>
      <c r="AME20" s="13"/>
      <c r="AMF20" s="9"/>
      <c r="AMG20" s="9"/>
      <c r="AMH20" s="9"/>
      <c r="AMI20" s="9"/>
      <c r="AMJ20" s="10"/>
      <c r="AMK20" s="11"/>
      <c r="AML20" s="12"/>
      <c r="AMM20" s="12"/>
      <c r="AMN20" s="12"/>
      <c r="AMO20" s="13"/>
      <c r="AMP20" s="9"/>
      <c r="AMQ20" s="9"/>
      <c r="AMR20" s="9"/>
      <c r="AMS20" s="9"/>
      <c r="AMT20" s="10"/>
      <c r="AMU20" s="11"/>
      <c r="AMV20" s="12"/>
      <c r="AMW20" s="12"/>
      <c r="AMX20" s="12"/>
      <c r="AMY20" s="13"/>
      <c r="AMZ20" s="9"/>
      <c r="ANA20" s="9"/>
      <c r="ANB20" s="9"/>
      <c r="ANC20" s="9"/>
      <c r="AND20" s="10"/>
      <c r="ANE20" s="11"/>
      <c r="ANF20" s="12"/>
      <c r="ANG20" s="12"/>
      <c r="ANH20" s="12"/>
      <c r="ANI20" s="13"/>
      <c r="ANJ20" s="9"/>
      <c r="ANK20" s="9"/>
      <c r="ANL20" s="9"/>
      <c r="ANM20" s="9"/>
      <c r="ANN20" s="10"/>
      <c r="ANO20" s="11"/>
      <c r="ANP20" s="12"/>
      <c r="ANQ20" s="12"/>
      <c r="ANR20" s="12"/>
      <c r="ANS20" s="13"/>
      <c r="ANT20" s="9"/>
      <c r="ANU20" s="9"/>
      <c r="ANV20" s="9"/>
      <c r="ANW20" s="9"/>
      <c r="ANX20" s="10"/>
      <c r="ANY20" s="11"/>
      <c r="ANZ20" s="12"/>
      <c r="AOA20" s="12"/>
      <c r="AOB20" s="12"/>
      <c r="AOC20" s="13"/>
      <c r="AOD20" s="9"/>
      <c r="AOE20" s="9"/>
      <c r="AOF20" s="9"/>
      <c r="AOG20" s="9"/>
      <c r="AOH20" s="10"/>
      <c r="AOI20" s="11"/>
      <c r="AOJ20" s="12"/>
      <c r="AOK20" s="12"/>
      <c r="AOL20" s="12"/>
      <c r="AOM20" s="13"/>
      <c r="AON20" s="9"/>
      <c r="AOO20" s="9"/>
      <c r="AOP20" s="9"/>
      <c r="AOQ20" s="9"/>
      <c r="AOR20" s="10"/>
      <c r="AOS20" s="11"/>
      <c r="AOT20" s="12"/>
      <c r="AOU20" s="12"/>
      <c r="AOV20" s="12"/>
      <c r="AOW20" s="13"/>
      <c r="AOX20" s="9"/>
      <c r="AOY20" s="9"/>
      <c r="AOZ20" s="9"/>
      <c r="APA20" s="9"/>
      <c r="APB20" s="10"/>
      <c r="APC20" s="11"/>
      <c r="APD20" s="12"/>
      <c r="APE20" s="12"/>
      <c r="APF20" s="12"/>
      <c r="APG20" s="13"/>
      <c r="APH20" s="9"/>
      <c r="API20" s="9"/>
      <c r="APJ20" s="9"/>
      <c r="APK20" s="9"/>
      <c r="APL20" s="10"/>
      <c r="APM20" s="11"/>
      <c r="APN20" s="12"/>
      <c r="APO20" s="12"/>
      <c r="APP20" s="12"/>
      <c r="APQ20" s="13"/>
      <c r="APR20" s="9"/>
      <c r="APS20" s="9"/>
      <c r="APT20" s="9"/>
      <c r="APU20" s="9"/>
      <c r="APV20" s="10"/>
      <c r="APW20" s="11"/>
      <c r="APX20" s="12"/>
      <c r="APY20" s="12"/>
      <c r="APZ20" s="12"/>
      <c r="AQA20" s="13"/>
      <c r="AQB20" s="9"/>
      <c r="AQC20" s="9"/>
      <c r="AQD20" s="9"/>
      <c r="AQE20" s="9"/>
      <c r="AQF20" s="10"/>
      <c r="AQG20" s="11"/>
      <c r="AQH20" s="12"/>
      <c r="AQI20" s="12"/>
      <c r="AQJ20" s="12"/>
      <c r="AQK20" s="13"/>
      <c r="AQL20" s="9"/>
      <c r="AQM20" s="9"/>
      <c r="AQN20" s="9"/>
      <c r="AQO20" s="9"/>
      <c r="AQP20" s="10"/>
      <c r="AQQ20" s="11"/>
      <c r="AQR20" s="12"/>
      <c r="AQS20" s="12"/>
      <c r="AQT20" s="12"/>
      <c r="AQU20" s="13"/>
      <c r="AQV20" s="9"/>
      <c r="AQW20" s="9"/>
      <c r="AQX20" s="9"/>
      <c r="AQY20" s="9"/>
      <c r="AQZ20" s="10"/>
      <c r="ARA20" s="11"/>
      <c r="ARB20" s="12"/>
      <c r="ARC20" s="12"/>
      <c r="ARD20" s="12"/>
      <c r="ARE20" s="13"/>
      <c r="ARF20" s="9"/>
      <c r="ARG20" s="9"/>
      <c r="ARH20" s="9"/>
      <c r="ARI20" s="9"/>
      <c r="ARJ20" s="10"/>
      <c r="ARK20" s="11"/>
      <c r="ARL20" s="12"/>
      <c r="ARM20" s="12"/>
      <c r="ARN20" s="12"/>
      <c r="ARO20" s="13"/>
      <c r="ARP20" s="9"/>
      <c r="ARQ20" s="9"/>
      <c r="ARR20" s="9"/>
      <c r="ARS20" s="9"/>
      <c r="ART20" s="10"/>
      <c r="ARU20" s="11"/>
      <c r="ARV20" s="12"/>
      <c r="ARW20" s="12"/>
      <c r="ARX20" s="12"/>
      <c r="ARY20" s="13"/>
      <c r="ARZ20" s="9"/>
      <c r="ASA20" s="9"/>
      <c r="ASB20" s="9"/>
      <c r="ASC20" s="9"/>
      <c r="ASD20" s="10"/>
      <c r="ASE20" s="11"/>
      <c r="ASF20" s="12"/>
      <c r="ASG20" s="12"/>
      <c r="ASH20" s="12"/>
      <c r="ASI20" s="13"/>
      <c r="ASJ20" s="9"/>
      <c r="ASK20" s="9"/>
      <c r="ASL20" s="9"/>
      <c r="ASM20" s="9"/>
      <c r="ASN20" s="10"/>
      <c r="ASO20" s="11"/>
      <c r="ASP20" s="12"/>
      <c r="ASQ20" s="12"/>
      <c r="ASR20" s="12"/>
      <c r="ASS20" s="13"/>
      <c r="AST20" s="9"/>
      <c r="ASU20" s="9"/>
      <c r="ASV20" s="9"/>
      <c r="ASW20" s="9"/>
      <c r="ASX20" s="10"/>
      <c r="ASY20" s="11"/>
      <c r="ASZ20" s="12"/>
      <c r="ATA20" s="12"/>
      <c r="ATB20" s="12"/>
      <c r="ATC20" s="13"/>
      <c r="ATD20" s="9"/>
      <c r="ATE20" s="9"/>
      <c r="ATF20" s="9"/>
      <c r="ATG20" s="9"/>
      <c r="ATH20" s="10"/>
      <c r="ATI20" s="11"/>
      <c r="ATJ20" s="12"/>
      <c r="ATK20" s="12"/>
      <c r="ATL20" s="12"/>
      <c r="ATM20" s="13"/>
      <c r="ATN20" s="9"/>
      <c r="ATO20" s="9"/>
      <c r="ATP20" s="9"/>
      <c r="ATQ20" s="9"/>
      <c r="ATR20" s="10"/>
      <c r="ATS20" s="11"/>
      <c r="ATT20" s="12"/>
      <c r="ATU20" s="12"/>
      <c r="ATV20" s="12"/>
      <c r="ATW20" s="13"/>
      <c r="ATX20" s="9"/>
      <c r="ATY20" s="9"/>
      <c r="ATZ20" s="9"/>
      <c r="AUA20" s="9"/>
      <c r="AUB20" s="10"/>
      <c r="AUC20" s="11"/>
      <c r="AUD20" s="12"/>
      <c r="AUE20" s="12"/>
      <c r="AUF20" s="12"/>
      <c r="AUG20" s="13"/>
      <c r="AUH20" s="9"/>
      <c r="AUI20" s="9"/>
      <c r="AUJ20" s="9"/>
      <c r="AUK20" s="9"/>
      <c r="AUL20" s="10"/>
      <c r="AUM20" s="11"/>
      <c r="AUN20" s="12"/>
      <c r="AUO20" s="12"/>
      <c r="AUP20" s="12"/>
      <c r="AUQ20" s="13"/>
      <c r="AUR20" s="9"/>
      <c r="AUS20" s="9"/>
      <c r="AUT20" s="9"/>
      <c r="AUU20" s="9"/>
      <c r="AUV20" s="10"/>
      <c r="AUW20" s="11"/>
      <c r="AUX20" s="12"/>
      <c r="AUY20" s="12"/>
      <c r="AUZ20" s="12"/>
      <c r="AVA20" s="13"/>
      <c r="AVB20" s="9"/>
      <c r="AVC20" s="9"/>
      <c r="AVD20" s="9"/>
      <c r="AVE20" s="9"/>
      <c r="AVF20" s="10"/>
      <c r="AVG20" s="11"/>
      <c r="AVH20" s="12"/>
      <c r="AVI20" s="12"/>
      <c r="AVJ20" s="12"/>
      <c r="AVK20" s="13"/>
      <c r="AVL20" s="9"/>
      <c r="AVM20" s="9"/>
      <c r="AVN20" s="9"/>
      <c r="AVO20" s="9"/>
      <c r="AVP20" s="10"/>
      <c r="AVQ20" s="11"/>
      <c r="AVR20" s="12"/>
      <c r="AVS20" s="12"/>
      <c r="AVT20" s="12"/>
      <c r="AVU20" s="13"/>
      <c r="AVV20" s="9"/>
      <c r="AVW20" s="9"/>
      <c r="AVX20" s="9"/>
      <c r="AVY20" s="9"/>
      <c r="AVZ20" s="10"/>
      <c r="AWA20" s="11"/>
      <c r="AWB20" s="12"/>
      <c r="AWC20" s="12"/>
      <c r="AWD20" s="12"/>
      <c r="AWE20" s="13"/>
      <c r="AWF20" s="9"/>
      <c r="AWG20" s="9"/>
      <c r="AWH20" s="9"/>
      <c r="AWI20" s="9"/>
      <c r="AWJ20" s="10"/>
      <c r="AWK20" s="11"/>
      <c r="AWL20" s="12"/>
      <c r="AWM20" s="12"/>
      <c r="AWN20" s="12"/>
      <c r="AWO20" s="13"/>
      <c r="AWP20" s="9"/>
      <c r="AWQ20" s="9"/>
      <c r="AWR20" s="9"/>
      <c r="AWS20" s="9"/>
      <c r="AWT20" s="10"/>
      <c r="AWU20" s="11"/>
      <c r="AWV20" s="12"/>
      <c r="AWW20" s="12"/>
      <c r="AWX20" s="12"/>
      <c r="AWY20" s="13"/>
      <c r="AWZ20" s="9"/>
      <c r="AXA20" s="9"/>
      <c r="AXB20" s="9"/>
      <c r="AXC20" s="9"/>
      <c r="AXD20" s="10"/>
      <c r="AXE20" s="11"/>
      <c r="AXF20" s="12"/>
      <c r="AXG20" s="12"/>
      <c r="AXH20" s="12"/>
      <c r="AXI20" s="13"/>
      <c r="AXJ20" s="9"/>
      <c r="AXK20" s="9"/>
      <c r="AXL20" s="9"/>
      <c r="AXM20" s="9"/>
      <c r="AXN20" s="10"/>
      <c r="AXO20" s="11"/>
      <c r="AXP20" s="12"/>
      <c r="AXQ20" s="12"/>
      <c r="AXR20" s="12"/>
      <c r="AXS20" s="13"/>
      <c r="AXT20" s="9"/>
      <c r="AXU20" s="9"/>
      <c r="AXV20" s="9"/>
      <c r="AXW20" s="9"/>
      <c r="AXX20" s="10"/>
      <c r="AXY20" s="11"/>
      <c r="AXZ20" s="12"/>
      <c r="AYA20" s="12"/>
      <c r="AYB20" s="12"/>
      <c r="AYC20" s="13"/>
      <c r="AYD20" s="9"/>
      <c r="AYE20" s="9"/>
      <c r="AYF20" s="9"/>
      <c r="AYG20" s="9"/>
      <c r="AYH20" s="10"/>
      <c r="AYI20" s="11"/>
      <c r="AYJ20" s="12"/>
      <c r="AYK20" s="12"/>
      <c r="AYL20" s="12"/>
      <c r="AYM20" s="13"/>
      <c r="AYN20" s="9"/>
      <c r="AYO20" s="9"/>
      <c r="AYP20" s="9"/>
      <c r="AYQ20" s="9"/>
      <c r="AYR20" s="10"/>
      <c r="AYS20" s="11"/>
      <c r="AYT20" s="12"/>
      <c r="AYU20" s="12"/>
      <c r="AYV20" s="12"/>
      <c r="AYW20" s="13"/>
      <c r="AYX20" s="9"/>
      <c r="AYY20" s="9"/>
      <c r="AYZ20" s="9"/>
      <c r="AZA20" s="9"/>
      <c r="AZB20" s="10"/>
      <c r="AZC20" s="11"/>
      <c r="AZD20" s="12"/>
      <c r="AZE20" s="12"/>
      <c r="AZF20" s="12"/>
      <c r="AZG20" s="13"/>
      <c r="AZH20" s="9"/>
      <c r="AZI20" s="9"/>
      <c r="AZJ20" s="9"/>
      <c r="AZK20" s="9"/>
      <c r="AZL20" s="10"/>
      <c r="AZM20" s="11"/>
      <c r="AZN20" s="12"/>
      <c r="AZO20" s="12"/>
      <c r="AZP20" s="12"/>
      <c r="AZQ20" s="13"/>
      <c r="AZR20" s="9"/>
      <c r="AZS20" s="9"/>
      <c r="AZT20" s="9"/>
      <c r="AZU20" s="9"/>
      <c r="AZV20" s="10"/>
      <c r="AZW20" s="11"/>
      <c r="AZX20" s="12"/>
      <c r="AZY20" s="12"/>
      <c r="AZZ20" s="12"/>
      <c r="BAA20" s="13"/>
      <c r="BAB20" s="9"/>
      <c r="BAC20" s="9"/>
      <c r="BAD20" s="9"/>
      <c r="BAE20" s="9"/>
      <c r="BAF20" s="10"/>
      <c r="BAG20" s="11"/>
      <c r="BAH20" s="12"/>
      <c r="BAI20" s="12"/>
      <c r="BAJ20" s="12"/>
      <c r="BAK20" s="13"/>
      <c r="BAL20" s="9"/>
      <c r="BAM20" s="9"/>
      <c r="BAN20" s="9"/>
      <c r="BAO20" s="9"/>
      <c r="BAP20" s="10"/>
      <c r="BAQ20" s="11"/>
      <c r="BAR20" s="12"/>
      <c r="BAS20" s="12"/>
      <c r="BAT20" s="12"/>
      <c r="BAU20" s="13"/>
      <c r="BAV20" s="9"/>
      <c r="BAW20" s="9"/>
      <c r="BAX20" s="9"/>
      <c r="BAY20" s="9"/>
      <c r="BAZ20" s="10"/>
      <c r="BBA20" s="11"/>
      <c r="BBB20" s="12"/>
      <c r="BBC20" s="12"/>
      <c r="BBD20" s="12"/>
      <c r="BBE20" s="13"/>
      <c r="BBF20" s="9"/>
      <c r="BBG20" s="9"/>
      <c r="BBH20" s="9"/>
      <c r="BBI20" s="9"/>
      <c r="BBJ20" s="10"/>
      <c r="BBK20" s="11"/>
      <c r="BBL20" s="12"/>
      <c r="BBM20" s="12"/>
      <c r="BBN20" s="12"/>
      <c r="BBO20" s="13"/>
      <c r="BBP20" s="9"/>
      <c r="BBQ20" s="9"/>
      <c r="BBR20" s="9"/>
      <c r="BBS20" s="9"/>
      <c r="BBT20" s="10"/>
      <c r="BBU20" s="11"/>
      <c r="BBV20" s="12"/>
      <c r="BBW20" s="12"/>
      <c r="BBX20" s="12"/>
      <c r="BBY20" s="13"/>
      <c r="BBZ20" s="9"/>
      <c r="BCA20" s="9"/>
      <c r="BCB20" s="9"/>
      <c r="BCC20" s="9"/>
      <c r="BCD20" s="10"/>
      <c r="BCE20" s="11"/>
      <c r="BCF20" s="12"/>
      <c r="BCG20" s="12"/>
      <c r="BCH20" s="12"/>
      <c r="BCI20" s="13"/>
      <c r="BCJ20" s="9"/>
      <c r="BCK20" s="9"/>
      <c r="BCL20" s="9"/>
      <c r="BCM20" s="9"/>
      <c r="BCN20" s="10"/>
      <c r="BCO20" s="11"/>
      <c r="BCP20" s="12"/>
      <c r="BCQ20" s="12"/>
      <c r="BCR20" s="12"/>
      <c r="BCS20" s="13"/>
      <c r="BCT20" s="9"/>
      <c r="BCU20" s="9"/>
      <c r="BCV20" s="9"/>
      <c r="BCW20" s="9"/>
      <c r="BCX20" s="10"/>
      <c r="BCY20" s="11"/>
      <c r="BCZ20" s="12"/>
      <c r="BDA20" s="12"/>
      <c r="BDB20" s="12"/>
      <c r="BDC20" s="13"/>
      <c r="BDD20" s="9"/>
      <c r="BDE20" s="9"/>
      <c r="BDF20" s="9"/>
      <c r="BDG20" s="9"/>
      <c r="BDH20" s="10"/>
      <c r="BDI20" s="11"/>
      <c r="BDJ20" s="12"/>
      <c r="BDK20" s="12"/>
      <c r="BDL20" s="12"/>
      <c r="BDM20" s="13"/>
      <c r="BDN20" s="9"/>
      <c r="BDO20" s="9"/>
      <c r="BDP20" s="9"/>
      <c r="BDQ20" s="9"/>
      <c r="BDR20" s="10"/>
      <c r="BDS20" s="11"/>
      <c r="BDT20" s="12"/>
      <c r="BDU20" s="12"/>
      <c r="BDV20" s="12"/>
      <c r="BDW20" s="13"/>
      <c r="BDX20" s="9"/>
      <c r="BDY20" s="9"/>
      <c r="BDZ20" s="9"/>
      <c r="BEA20" s="9"/>
      <c r="BEB20" s="10"/>
      <c r="BEC20" s="11"/>
      <c r="BED20" s="12"/>
      <c r="BEE20" s="12"/>
      <c r="BEF20" s="12"/>
      <c r="BEG20" s="13"/>
      <c r="BEH20" s="9"/>
      <c r="BEI20" s="9"/>
      <c r="BEJ20" s="9"/>
      <c r="BEK20" s="9"/>
      <c r="BEL20" s="10"/>
      <c r="BEM20" s="11"/>
      <c r="BEN20" s="12"/>
      <c r="BEO20" s="12"/>
      <c r="BEP20" s="12"/>
      <c r="BEQ20" s="13"/>
      <c r="BER20" s="9"/>
      <c r="BES20" s="9"/>
      <c r="BET20" s="9"/>
      <c r="BEU20" s="9"/>
      <c r="BEV20" s="10"/>
      <c r="BEW20" s="11"/>
      <c r="BEX20" s="12"/>
      <c r="BEY20" s="12"/>
      <c r="BEZ20" s="12"/>
      <c r="BFA20" s="13"/>
      <c r="BFB20" s="9"/>
      <c r="BFC20" s="9"/>
      <c r="BFD20" s="9"/>
      <c r="BFE20" s="9"/>
      <c r="BFF20" s="10"/>
      <c r="BFG20" s="11"/>
      <c r="BFH20" s="12"/>
      <c r="BFI20" s="12"/>
      <c r="BFJ20" s="12"/>
      <c r="BFK20" s="13"/>
      <c r="BFL20" s="9"/>
      <c r="BFM20" s="9"/>
      <c r="BFN20" s="9"/>
      <c r="BFO20" s="9"/>
      <c r="BFP20" s="10"/>
      <c r="BFQ20" s="11"/>
      <c r="BFR20" s="12"/>
      <c r="BFS20" s="12"/>
      <c r="BFT20" s="12"/>
      <c r="BFU20" s="13"/>
      <c r="BFV20" s="9"/>
      <c r="BFW20" s="9"/>
      <c r="BFX20" s="9"/>
      <c r="BFY20" s="9"/>
      <c r="BFZ20" s="10"/>
      <c r="BGA20" s="11"/>
      <c r="BGB20" s="12"/>
      <c r="BGC20" s="12"/>
      <c r="BGD20" s="12"/>
      <c r="BGE20" s="13"/>
      <c r="BGF20" s="9"/>
      <c r="BGG20" s="9"/>
      <c r="BGH20" s="9"/>
      <c r="BGI20" s="9"/>
      <c r="BGJ20" s="10"/>
      <c r="BGK20" s="11"/>
      <c r="BGL20" s="12"/>
      <c r="BGM20" s="12"/>
      <c r="BGN20" s="12"/>
      <c r="BGO20" s="13"/>
      <c r="BGP20" s="9"/>
      <c r="BGQ20" s="9"/>
      <c r="BGR20" s="9"/>
      <c r="BGS20" s="9"/>
      <c r="BGT20" s="10"/>
      <c r="BGU20" s="11"/>
      <c r="BGV20" s="12"/>
      <c r="BGW20" s="12"/>
      <c r="BGX20" s="12"/>
      <c r="BGY20" s="13"/>
      <c r="BGZ20" s="9"/>
      <c r="BHA20" s="9"/>
      <c r="BHB20" s="9"/>
      <c r="BHC20" s="9"/>
      <c r="BHD20" s="10"/>
      <c r="BHE20" s="11"/>
      <c r="BHF20" s="12"/>
      <c r="BHG20" s="12"/>
      <c r="BHH20" s="12"/>
      <c r="BHI20" s="13"/>
      <c r="BHJ20" s="9"/>
      <c r="BHK20" s="9"/>
      <c r="BHL20" s="9"/>
      <c r="BHM20" s="9"/>
      <c r="BHN20" s="10"/>
      <c r="BHO20" s="11"/>
      <c r="BHP20" s="12"/>
      <c r="BHQ20" s="12"/>
      <c r="BHR20" s="12"/>
      <c r="BHS20" s="13"/>
      <c r="BHT20" s="9"/>
      <c r="BHU20" s="9"/>
      <c r="BHV20" s="9"/>
      <c r="BHW20" s="9"/>
      <c r="BHX20" s="10"/>
      <c r="BHY20" s="11"/>
      <c r="BHZ20" s="12"/>
      <c r="BIA20" s="12"/>
      <c r="BIB20" s="12"/>
      <c r="BIC20" s="13"/>
      <c r="BID20" s="9"/>
      <c r="BIE20" s="9"/>
      <c r="BIF20" s="9"/>
      <c r="BIG20" s="9"/>
      <c r="BIH20" s="10"/>
      <c r="BII20" s="11"/>
      <c r="BIJ20" s="12"/>
      <c r="BIK20" s="12"/>
      <c r="BIL20" s="12"/>
      <c r="BIM20" s="13"/>
      <c r="BIN20" s="9"/>
      <c r="BIO20" s="9"/>
      <c r="BIP20" s="9"/>
      <c r="BIQ20" s="9"/>
      <c r="BIR20" s="10"/>
      <c r="BIS20" s="11"/>
      <c r="BIT20" s="12"/>
      <c r="BIU20" s="12"/>
      <c r="BIV20" s="12"/>
      <c r="BIW20" s="13"/>
      <c r="BIX20" s="9"/>
      <c r="BIY20" s="9"/>
      <c r="BIZ20" s="9"/>
      <c r="BJA20" s="9"/>
      <c r="BJB20" s="10"/>
      <c r="BJC20" s="11"/>
      <c r="BJD20" s="12"/>
      <c r="BJE20" s="12"/>
      <c r="BJF20" s="12"/>
      <c r="BJG20" s="13"/>
      <c r="BJH20" s="9"/>
      <c r="BJI20" s="9"/>
      <c r="BJJ20" s="9"/>
      <c r="BJK20" s="9"/>
      <c r="BJL20" s="10"/>
      <c r="BJM20" s="11"/>
      <c r="BJN20" s="12"/>
      <c r="BJO20" s="12"/>
      <c r="BJP20" s="12"/>
      <c r="BJQ20" s="13"/>
      <c r="BJR20" s="9"/>
      <c r="BJS20" s="9"/>
      <c r="BJT20" s="9"/>
      <c r="BJU20" s="9"/>
      <c r="BJV20" s="10"/>
      <c r="BJW20" s="11"/>
      <c r="BJX20" s="12"/>
      <c r="BJY20" s="12"/>
      <c r="BJZ20" s="12"/>
      <c r="BKA20" s="13"/>
      <c r="BKB20" s="9"/>
      <c r="BKC20" s="9"/>
      <c r="BKD20" s="9"/>
      <c r="BKE20" s="9"/>
      <c r="BKF20" s="10"/>
      <c r="BKG20" s="11"/>
      <c r="BKH20" s="12"/>
      <c r="BKI20" s="12"/>
      <c r="BKJ20" s="12"/>
      <c r="BKK20" s="13"/>
      <c r="BKL20" s="9"/>
      <c r="BKM20" s="9"/>
      <c r="BKN20" s="9"/>
      <c r="BKO20" s="9"/>
      <c r="BKP20" s="10"/>
      <c r="BKQ20" s="11"/>
      <c r="BKR20" s="12"/>
      <c r="BKS20" s="12"/>
      <c r="BKT20" s="12"/>
      <c r="BKU20" s="13"/>
      <c r="BKV20" s="9"/>
      <c r="BKW20" s="9"/>
      <c r="BKX20" s="9"/>
      <c r="BKY20" s="9"/>
      <c r="BKZ20" s="10"/>
      <c r="BLA20" s="11"/>
      <c r="BLB20" s="12"/>
      <c r="BLC20" s="12"/>
      <c r="BLD20" s="12"/>
      <c r="BLE20" s="13"/>
      <c r="BLF20" s="9"/>
      <c r="BLG20" s="9"/>
      <c r="BLH20" s="9"/>
      <c r="BLI20" s="9"/>
      <c r="BLJ20" s="10"/>
      <c r="BLK20" s="11"/>
      <c r="BLL20" s="12"/>
      <c r="BLM20" s="12"/>
      <c r="BLN20" s="12"/>
      <c r="BLO20" s="13"/>
      <c r="BLP20" s="9"/>
      <c r="BLQ20" s="9"/>
      <c r="BLR20" s="9"/>
      <c r="BLS20" s="9"/>
      <c r="BLT20" s="10"/>
      <c r="BLU20" s="11"/>
      <c r="BLV20" s="12"/>
      <c r="BLW20" s="12"/>
      <c r="BLX20" s="12"/>
      <c r="BLY20" s="13"/>
      <c r="BLZ20" s="9"/>
      <c r="BMA20" s="9"/>
      <c r="BMB20" s="9"/>
      <c r="BMC20" s="9"/>
      <c r="BMD20" s="10"/>
      <c r="BME20" s="11"/>
      <c r="BMF20" s="12"/>
      <c r="BMG20" s="12"/>
      <c r="BMH20" s="12"/>
      <c r="BMI20" s="13"/>
      <c r="BMJ20" s="9"/>
      <c r="BMK20" s="9"/>
      <c r="BML20" s="9"/>
      <c r="BMM20" s="9"/>
      <c r="BMN20" s="10"/>
      <c r="BMO20" s="11"/>
      <c r="BMP20" s="12"/>
      <c r="BMQ20" s="12"/>
      <c r="BMR20" s="12"/>
      <c r="BMS20" s="13"/>
      <c r="BMT20" s="9"/>
      <c r="BMU20" s="9"/>
      <c r="BMV20" s="9"/>
      <c r="BMW20" s="9"/>
      <c r="BMX20" s="10"/>
      <c r="BMY20" s="11"/>
      <c r="BMZ20" s="12"/>
      <c r="BNA20" s="12"/>
      <c r="BNB20" s="12"/>
      <c r="BNC20" s="13"/>
      <c r="BND20" s="9"/>
      <c r="BNE20" s="9"/>
      <c r="BNF20" s="9"/>
      <c r="BNG20" s="9"/>
      <c r="BNH20" s="10"/>
      <c r="BNI20" s="11"/>
      <c r="BNJ20" s="12"/>
      <c r="BNK20" s="12"/>
      <c r="BNL20" s="12"/>
      <c r="BNM20" s="13"/>
      <c r="BNN20" s="9"/>
      <c r="BNO20" s="9"/>
      <c r="BNP20" s="9"/>
      <c r="BNQ20" s="9"/>
      <c r="BNR20" s="10"/>
      <c r="BNS20" s="11"/>
      <c r="BNT20" s="12"/>
      <c r="BNU20" s="12"/>
      <c r="BNV20" s="12"/>
      <c r="BNW20" s="13"/>
      <c r="BNX20" s="9"/>
      <c r="BNY20" s="9"/>
      <c r="BNZ20" s="9"/>
      <c r="BOA20" s="9"/>
      <c r="BOB20" s="10"/>
      <c r="BOC20" s="11"/>
      <c r="BOD20" s="12"/>
      <c r="BOE20" s="12"/>
      <c r="BOF20" s="12"/>
      <c r="BOG20" s="13"/>
      <c r="BOH20" s="9"/>
      <c r="BOI20" s="9"/>
      <c r="BOJ20" s="9"/>
      <c r="BOK20" s="9"/>
      <c r="BOL20" s="10"/>
      <c r="BOM20" s="11"/>
      <c r="BON20" s="12"/>
      <c r="BOO20" s="12"/>
      <c r="BOP20" s="12"/>
      <c r="BOQ20" s="13"/>
      <c r="BOR20" s="9"/>
      <c r="BOS20" s="9"/>
      <c r="BOT20" s="9"/>
      <c r="BOU20" s="9"/>
      <c r="BOV20" s="10"/>
      <c r="BOW20" s="11"/>
      <c r="BOX20" s="12"/>
      <c r="BOY20" s="12"/>
      <c r="BOZ20" s="12"/>
      <c r="BPA20" s="13"/>
      <c r="BPB20" s="9"/>
      <c r="BPC20" s="9"/>
      <c r="BPD20" s="9"/>
      <c r="BPE20" s="9"/>
      <c r="BPF20" s="10"/>
      <c r="BPG20" s="11"/>
      <c r="BPH20" s="12"/>
      <c r="BPI20" s="12"/>
      <c r="BPJ20" s="12"/>
      <c r="BPK20" s="13"/>
      <c r="BPL20" s="9"/>
      <c r="BPM20" s="9"/>
      <c r="BPN20" s="9"/>
      <c r="BPO20" s="9"/>
      <c r="BPP20" s="10"/>
      <c r="BPQ20" s="11"/>
      <c r="BPR20" s="12"/>
      <c r="BPS20" s="12"/>
      <c r="BPT20" s="12"/>
      <c r="BPU20" s="13"/>
      <c r="BPV20" s="9"/>
      <c r="BPW20" s="9"/>
      <c r="BPX20" s="9"/>
      <c r="BPY20" s="9"/>
      <c r="BPZ20" s="10"/>
      <c r="BQA20" s="11"/>
      <c r="BQB20" s="12"/>
      <c r="BQC20" s="12"/>
      <c r="BQD20" s="12"/>
      <c r="BQE20" s="13"/>
      <c r="BQF20" s="9"/>
      <c r="BQG20" s="9"/>
      <c r="BQH20" s="9"/>
      <c r="BQI20" s="9"/>
      <c r="BQJ20" s="10"/>
      <c r="BQK20" s="11"/>
      <c r="BQL20" s="12"/>
      <c r="BQM20" s="12"/>
      <c r="BQN20" s="12"/>
      <c r="BQO20" s="13"/>
      <c r="BQP20" s="9"/>
      <c r="BQQ20" s="9"/>
      <c r="BQR20" s="9"/>
      <c r="BQS20" s="9"/>
      <c r="BQT20" s="10"/>
      <c r="BQU20" s="11"/>
      <c r="BQV20" s="12"/>
      <c r="BQW20" s="12"/>
      <c r="BQX20" s="12"/>
      <c r="BQY20" s="13"/>
      <c r="BQZ20" s="9"/>
      <c r="BRA20" s="9"/>
      <c r="BRB20" s="9"/>
      <c r="BRC20" s="9"/>
      <c r="BRD20" s="10"/>
      <c r="BRE20" s="11"/>
      <c r="BRF20" s="12"/>
      <c r="BRG20" s="12"/>
      <c r="BRH20" s="12"/>
      <c r="BRI20" s="13"/>
      <c r="BRJ20" s="9"/>
      <c r="BRK20" s="9"/>
      <c r="BRL20" s="9"/>
      <c r="BRM20" s="9"/>
      <c r="BRN20" s="10"/>
      <c r="BRO20" s="11"/>
      <c r="BRP20" s="12"/>
      <c r="BRQ20" s="12"/>
      <c r="BRR20" s="12"/>
      <c r="BRS20" s="13"/>
      <c r="BRT20" s="9"/>
      <c r="BRU20" s="9"/>
      <c r="BRV20" s="9"/>
      <c r="BRW20" s="9"/>
      <c r="BRX20" s="10"/>
      <c r="BRY20" s="11"/>
      <c r="BRZ20" s="12"/>
      <c r="BSA20" s="12"/>
      <c r="BSB20" s="12"/>
      <c r="BSC20" s="13"/>
      <c r="BSD20" s="9"/>
      <c r="BSE20" s="9"/>
      <c r="BSF20" s="9"/>
      <c r="BSG20" s="9"/>
      <c r="BSH20" s="10"/>
      <c r="BSI20" s="11"/>
      <c r="BSJ20" s="12"/>
      <c r="BSK20" s="12"/>
      <c r="BSL20" s="12"/>
      <c r="BSM20" s="13"/>
      <c r="BSN20" s="9"/>
      <c r="BSO20" s="9"/>
      <c r="BSP20" s="9"/>
      <c r="BSQ20" s="9"/>
      <c r="BSR20" s="10"/>
      <c r="BSS20" s="11"/>
      <c r="BST20" s="12"/>
      <c r="BSU20" s="12"/>
      <c r="BSV20" s="12"/>
      <c r="BSW20" s="13"/>
      <c r="BSX20" s="9"/>
      <c r="BSY20" s="9"/>
      <c r="BSZ20" s="9"/>
      <c r="BTA20" s="9"/>
      <c r="BTB20" s="10"/>
      <c r="BTC20" s="11"/>
      <c r="BTD20" s="12"/>
      <c r="BTE20" s="12"/>
      <c r="BTF20" s="12"/>
      <c r="BTG20" s="13"/>
      <c r="BTH20" s="9"/>
      <c r="BTI20" s="9"/>
      <c r="BTJ20" s="9"/>
      <c r="BTK20" s="9"/>
      <c r="BTL20" s="10"/>
      <c r="BTM20" s="11"/>
      <c r="BTN20" s="12"/>
      <c r="BTO20" s="12"/>
      <c r="BTP20" s="12"/>
      <c r="BTQ20" s="13"/>
      <c r="BTR20" s="9"/>
      <c r="BTS20" s="9"/>
      <c r="BTT20" s="9"/>
      <c r="BTU20" s="9"/>
      <c r="BTV20" s="10"/>
      <c r="BTW20" s="11"/>
      <c r="BTX20" s="12"/>
      <c r="BTY20" s="12"/>
      <c r="BTZ20" s="12"/>
      <c r="BUA20" s="13"/>
      <c r="BUB20" s="9"/>
      <c r="BUC20" s="9"/>
      <c r="BUD20" s="9"/>
      <c r="BUE20" s="9"/>
      <c r="BUF20" s="10"/>
      <c r="BUG20" s="11"/>
      <c r="BUH20" s="12"/>
      <c r="BUI20" s="12"/>
      <c r="BUJ20" s="12"/>
      <c r="BUK20" s="13"/>
      <c r="BUL20" s="9"/>
      <c r="BUM20" s="9"/>
      <c r="BUN20" s="9"/>
      <c r="BUO20" s="9"/>
      <c r="BUP20" s="10"/>
      <c r="BUQ20" s="11"/>
      <c r="BUR20" s="12"/>
      <c r="BUS20" s="12"/>
      <c r="BUT20" s="12"/>
      <c r="BUU20" s="13"/>
      <c r="BUV20" s="9"/>
      <c r="BUW20" s="9"/>
      <c r="BUX20" s="9"/>
      <c r="BUY20" s="9"/>
      <c r="BUZ20" s="10"/>
      <c r="BVA20" s="11"/>
      <c r="BVB20" s="12"/>
      <c r="BVC20" s="12"/>
      <c r="BVD20" s="12"/>
      <c r="BVE20" s="13"/>
      <c r="BVF20" s="9"/>
      <c r="BVG20" s="9"/>
      <c r="BVH20" s="9"/>
      <c r="BVI20" s="9"/>
      <c r="BVJ20" s="10"/>
      <c r="BVK20" s="11"/>
      <c r="BVL20" s="12"/>
      <c r="BVM20" s="12"/>
      <c r="BVN20" s="12"/>
      <c r="BVO20" s="13"/>
      <c r="BVP20" s="9"/>
      <c r="BVQ20" s="9"/>
      <c r="BVR20" s="9"/>
      <c r="BVS20" s="9"/>
      <c r="BVT20" s="10"/>
      <c r="BVU20" s="11"/>
      <c r="BVV20" s="12"/>
      <c r="BVW20" s="12"/>
      <c r="BVX20" s="12"/>
      <c r="BVY20" s="13"/>
      <c r="BVZ20" s="9"/>
      <c r="BWA20" s="9"/>
      <c r="BWB20" s="9"/>
      <c r="BWC20" s="9"/>
      <c r="BWD20" s="10"/>
      <c r="BWE20" s="11"/>
      <c r="BWF20" s="12"/>
      <c r="BWG20" s="12"/>
      <c r="BWH20" s="12"/>
      <c r="BWI20" s="13"/>
      <c r="BWJ20" s="9"/>
      <c r="BWK20" s="9"/>
      <c r="BWL20" s="9"/>
      <c r="BWM20" s="9"/>
      <c r="BWN20" s="10"/>
      <c r="BWO20" s="11"/>
      <c r="BWP20" s="12"/>
      <c r="BWQ20" s="12"/>
      <c r="BWR20" s="12"/>
      <c r="BWS20" s="13"/>
      <c r="BWT20" s="9"/>
      <c r="BWU20" s="9"/>
      <c r="BWV20" s="9"/>
      <c r="BWW20" s="9"/>
      <c r="BWX20" s="10"/>
      <c r="BWY20" s="11"/>
      <c r="BWZ20" s="12"/>
      <c r="BXA20" s="12"/>
      <c r="BXB20" s="12"/>
      <c r="BXC20" s="13"/>
      <c r="BXD20" s="9"/>
      <c r="BXE20" s="9"/>
      <c r="BXF20" s="9"/>
      <c r="BXG20" s="9"/>
      <c r="BXH20" s="10"/>
      <c r="BXI20" s="11"/>
      <c r="BXJ20" s="12"/>
      <c r="BXK20" s="12"/>
      <c r="BXL20" s="12"/>
      <c r="BXM20" s="13"/>
      <c r="BXN20" s="9"/>
      <c r="BXO20" s="9"/>
      <c r="BXP20" s="9"/>
      <c r="BXQ20" s="9"/>
      <c r="BXR20" s="10"/>
      <c r="BXS20" s="11"/>
      <c r="BXT20" s="12"/>
      <c r="BXU20" s="12"/>
      <c r="BXV20" s="12"/>
      <c r="BXW20" s="13"/>
      <c r="BXX20" s="9"/>
      <c r="BXY20" s="9"/>
      <c r="BXZ20" s="9"/>
      <c r="BYA20" s="9"/>
      <c r="BYB20" s="10"/>
      <c r="BYC20" s="11"/>
      <c r="BYD20" s="12"/>
      <c r="BYE20" s="12"/>
      <c r="BYF20" s="12"/>
      <c r="BYG20" s="13"/>
      <c r="BYH20" s="9"/>
      <c r="BYI20" s="9"/>
      <c r="BYJ20" s="9"/>
      <c r="BYK20" s="9"/>
      <c r="BYL20" s="10"/>
      <c r="BYM20" s="11"/>
      <c r="BYN20" s="12"/>
      <c r="BYO20" s="12"/>
      <c r="BYP20" s="12"/>
      <c r="BYQ20" s="13"/>
      <c r="BYR20" s="9"/>
      <c r="BYS20" s="9"/>
      <c r="BYT20" s="9"/>
      <c r="BYU20" s="9"/>
      <c r="BYV20" s="10"/>
      <c r="BYW20" s="11"/>
      <c r="BYX20" s="12"/>
      <c r="BYY20" s="12"/>
      <c r="BYZ20" s="12"/>
      <c r="BZA20" s="13"/>
      <c r="BZB20" s="9"/>
      <c r="BZC20" s="9"/>
      <c r="BZD20" s="9"/>
      <c r="BZE20" s="9"/>
      <c r="BZF20" s="10"/>
      <c r="BZG20" s="11"/>
      <c r="BZH20" s="12"/>
      <c r="BZI20" s="12"/>
      <c r="BZJ20" s="12"/>
      <c r="BZK20" s="13"/>
      <c r="BZL20" s="9"/>
      <c r="BZM20" s="9"/>
      <c r="BZN20" s="9"/>
      <c r="BZO20" s="9"/>
      <c r="BZP20" s="10"/>
      <c r="BZQ20" s="11"/>
      <c r="BZR20" s="12"/>
      <c r="BZS20" s="12"/>
      <c r="BZT20" s="12"/>
      <c r="BZU20" s="13"/>
      <c r="BZV20" s="9"/>
      <c r="BZW20" s="9"/>
      <c r="BZX20" s="9"/>
      <c r="BZY20" s="9"/>
      <c r="BZZ20" s="10"/>
      <c r="CAA20" s="11"/>
      <c r="CAB20" s="12"/>
      <c r="CAC20" s="12"/>
      <c r="CAD20" s="12"/>
      <c r="CAE20" s="13"/>
      <c r="CAF20" s="9"/>
      <c r="CAG20" s="9"/>
      <c r="CAH20" s="9"/>
      <c r="CAI20" s="9"/>
      <c r="CAJ20" s="10"/>
      <c r="CAK20" s="11"/>
      <c r="CAL20" s="12"/>
      <c r="CAM20" s="12"/>
      <c r="CAN20" s="12"/>
      <c r="CAO20" s="13"/>
      <c r="CAP20" s="9"/>
      <c r="CAQ20" s="9"/>
      <c r="CAR20" s="9"/>
      <c r="CAS20" s="9"/>
      <c r="CAT20" s="10"/>
      <c r="CAU20" s="11"/>
      <c r="CAV20" s="12"/>
      <c r="CAW20" s="12"/>
      <c r="CAX20" s="12"/>
      <c r="CAY20" s="13"/>
      <c r="CAZ20" s="9"/>
      <c r="CBA20" s="9"/>
      <c r="CBB20" s="9"/>
      <c r="CBC20" s="9"/>
      <c r="CBD20" s="10"/>
      <c r="CBE20" s="11"/>
      <c r="CBF20" s="12"/>
      <c r="CBG20" s="12"/>
      <c r="CBH20" s="12"/>
      <c r="CBI20" s="13"/>
      <c r="CBJ20" s="9"/>
      <c r="CBK20" s="9"/>
      <c r="CBL20" s="9"/>
      <c r="CBM20" s="9"/>
      <c r="CBN20" s="10"/>
      <c r="CBO20" s="11"/>
      <c r="CBP20" s="12"/>
      <c r="CBQ20" s="12"/>
      <c r="CBR20" s="12"/>
      <c r="CBS20" s="13"/>
      <c r="CBT20" s="9"/>
      <c r="CBU20" s="9"/>
      <c r="CBV20" s="9"/>
      <c r="CBW20" s="9"/>
      <c r="CBX20" s="10"/>
      <c r="CBY20" s="11"/>
      <c r="CBZ20" s="12"/>
      <c r="CCA20" s="12"/>
      <c r="CCB20" s="12"/>
      <c r="CCC20" s="13"/>
      <c r="CCD20" s="9"/>
      <c r="CCE20" s="9"/>
      <c r="CCF20" s="9"/>
      <c r="CCG20" s="9"/>
      <c r="CCH20" s="10"/>
      <c r="CCI20" s="11"/>
      <c r="CCJ20" s="12"/>
      <c r="CCK20" s="12"/>
      <c r="CCL20" s="12"/>
      <c r="CCM20" s="13"/>
      <c r="CCN20" s="9"/>
      <c r="CCO20" s="9"/>
      <c r="CCP20" s="9"/>
      <c r="CCQ20" s="9"/>
      <c r="CCR20" s="10"/>
      <c r="CCS20" s="11"/>
      <c r="CCT20" s="12"/>
      <c r="CCU20" s="12"/>
      <c r="CCV20" s="12"/>
      <c r="CCW20" s="13"/>
      <c r="CCX20" s="9"/>
      <c r="CCY20" s="9"/>
      <c r="CCZ20" s="9"/>
      <c r="CDA20" s="9"/>
      <c r="CDB20" s="10"/>
      <c r="CDC20" s="11"/>
      <c r="CDD20" s="12"/>
      <c r="CDE20" s="12"/>
      <c r="CDF20" s="12"/>
      <c r="CDG20" s="13"/>
      <c r="CDH20" s="9"/>
      <c r="CDI20" s="9"/>
      <c r="CDJ20" s="9"/>
      <c r="CDK20" s="9"/>
      <c r="CDL20" s="10"/>
      <c r="CDM20" s="11"/>
      <c r="CDN20" s="12"/>
      <c r="CDO20" s="12"/>
      <c r="CDP20" s="12"/>
      <c r="CDQ20" s="13"/>
      <c r="CDR20" s="9"/>
      <c r="CDS20" s="9"/>
      <c r="CDT20" s="9"/>
      <c r="CDU20" s="9"/>
      <c r="CDV20" s="10"/>
      <c r="CDW20" s="11"/>
      <c r="CDX20" s="12"/>
      <c r="CDY20" s="12"/>
      <c r="CDZ20" s="12"/>
      <c r="CEA20" s="13"/>
      <c r="CEB20" s="9"/>
      <c r="CEC20" s="9"/>
      <c r="CED20" s="9"/>
      <c r="CEE20" s="9"/>
      <c r="CEF20" s="10"/>
      <c r="CEG20" s="11"/>
      <c r="CEH20" s="12"/>
      <c r="CEI20" s="12"/>
      <c r="CEJ20" s="12"/>
      <c r="CEK20" s="13"/>
      <c r="CEL20" s="9"/>
      <c r="CEM20" s="9"/>
      <c r="CEN20" s="9"/>
      <c r="CEO20" s="9"/>
      <c r="CEP20" s="10"/>
      <c r="CEQ20" s="11"/>
      <c r="CER20" s="12"/>
      <c r="CES20" s="12"/>
      <c r="CET20" s="12"/>
      <c r="CEU20" s="13"/>
      <c r="CEV20" s="9"/>
      <c r="CEW20" s="9"/>
      <c r="CEX20" s="9"/>
      <c r="CEY20" s="9"/>
      <c r="CEZ20" s="10"/>
      <c r="CFA20" s="11"/>
      <c r="CFB20" s="12"/>
      <c r="CFC20" s="12"/>
      <c r="CFD20" s="12"/>
      <c r="CFE20" s="13"/>
      <c r="CFF20" s="9"/>
      <c r="CFG20" s="9"/>
      <c r="CFH20" s="9"/>
      <c r="CFI20" s="9"/>
      <c r="CFJ20" s="10"/>
      <c r="CFK20" s="11"/>
      <c r="CFL20" s="12"/>
      <c r="CFM20" s="12"/>
      <c r="CFN20" s="12"/>
      <c r="CFO20" s="13"/>
      <c r="CFP20" s="9"/>
      <c r="CFQ20" s="9"/>
      <c r="CFR20" s="9"/>
      <c r="CFS20" s="9"/>
      <c r="CFT20" s="10"/>
      <c r="CFU20" s="11"/>
      <c r="CFV20" s="12"/>
      <c r="CFW20" s="12"/>
      <c r="CFX20" s="12"/>
      <c r="CFY20" s="13"/>
      <c r="CFZ20" s="9"/>
      <c r="CGA20" s="9"/>
      <c r="CGB20" s="9"/>
      <c r="CGC20" s="9"/>
      <c r="CGD20" s="10"/>
      <c r="CGE20" s="11"/>
      <c r="CGF20" s="12"/>
      <c r="CGG20" s="12"/>
      <c r="CGH20" s="12"/>
      <c r="CGI20" s="13"/>
      <c r="CGJ20" s="9"/>
      <c r="CGK20" s="9"/>
      <c r="CGL20" s="9"/>
      <c r="CGM20" s="9"/>
      <c r="CGN20" s="10"/>
      <c r="CGO20" s="11"/>
      <c r="CGP20" s="12"/>
      <c r="CGQ20" s="12"/>
      <c r="CGR20" s="12"/>
      <c r="CGS20" s="13"/>
      <c r="CGT20" s="9"/>
      <c r="CGU20" s="9"/>
      <c r="CGV20" s="9"/>
      <c r="CGW20" s="9"/>
      <c r="CGX20" s="10"/>
      <c r="CGY20" s="11"/>
      <c r="CGZ20" s="12"/>
      <c r="CHA20" s="12"/>
      <c r="CHB20" s="12"/>
      <c r="CHC20" s="13"/>
      <c r="CHD20" s="9"/>
      <c r="CHE20" s="9"/>
      <c r="CHF20" s="9"/>
      <c r="CHG20" s="9"/>
      <c r="CHH20" s="10"/>
      <c r="CHI20" s="11"/>
      <c r="CHJ20" s="12"/>
      <c r="CHK20" s="12"/>
      <c r="CHL20" s="12"/>
      <c r="CHM20" s="13"/>
      <c r="CHN20" s="9"/>
      <c r="CHO20" s="9"/>
      <c r="CHP20" s="9"/>
      <c r="CHQ20" s="9"/>
      <c r="CHR20" s="10"/>
      <c r="CHS20" s="11"/>
      <c r="CHT20" s="12"/>
      <c r="CHU20" s="12"/>
      <c r="CHV20" s="12"/>
      <c r="CHW20" s="13"/>
      <c r="CHX20" s="9"/>
      <c r="CHY20" s="9"/>
      <c r="CHZ20" s="9"/>
      <c r="CIA20" s="9"/>
      <c r="CIB20" s="10"/>
      <c r="CIC20" s="11"/>
      <c r="CID20" s="12"/>
      <c r="CIE20" s="12"/>
      <c r="CIF20" s="12"/>
      <c r="CIG20" s="13"/>
      <c r="CIH20" s="9"/>
      <c r="CII20" s="9"/>
      <c r="CIJ20" s="9"/>
      <c r="CIK20" s="9"/>
      <c r="CIL20" s="10"/>
      <c r="CIM20" s="11"/>
      <c r="CIN20" s="12"/>
      <c r="CIO20" s="12"/>
      <c r="CIP20" s="12"/>
      <c r="CIQ20" s="13"/>
      <c r="CIR20" s="9"/>
      <c r="CIS20" s="9"/>
      <c r="CIT20" s="9"/>
      <c r="CIU20" s="9"/>
      <c r="CIV20" s="10"/>
      <c r="CIW20" s="11"/>
      <c r="CIX20" s="12"/>
      <c r="CIY20" s="12"/>
      <c r="CIZ20" s="12"/>
      <c r="CJA20" s="13"/>
      <c r="CJB20" s="9"/>
      <c r="CJC20" s="9"/>
      <c r="CJD20" s="9"/>
      <c r="CJE20" s="9"/>
      <c r="CJF20" s="10"/>
      <c r="CJG20" s="11"/>
      <c r="CJH20" s="12"/>
      <c r="CJI20" s="12"/>
      <c r="CJJ20" s="12"/>
      <c r="CJK20" s="13"/>
      <c r="CJL20" s="9"/>
      <c r="CJM20" s="9"/>
      <c r="CJN20" s="9"/>
      <c r="CJO20" s="9"/>
      <c r="CJP20" s="10"/>
      <c r="CJQ20" s="11"/>
      <c r="CJR20" s="12"/>
      <c r="CJS20" s="12"/>
      <c r="CJT20" s="12"/>
      <c r="CJU20" s="13"/>
      <c r="CJV20" s="9"/>
      <c r="CJW20" s="9"/>
      <c r="CJX20" s="9"/>
      <c r="CJY20" s="9"/>
      <c r="CJZ20" s="10"/>
      <c r="CKA20" s="11"/>
      <c r="CKB20" s="12"/>
      <c r="CKC20" s="12"/>
      <c r="CKD20" s="12"/>
      <c r="CKE20" s="13"/>
      <c r="CKF20" s="9"/>
      <c r="CKG20" s="9"/>
      <c r="CKH20" s="9"/>
      <c r="CKI20" s="9"/>
      <c r="CKJ20" s="10"/>
      <c r="CKK20" s="11"/>
      <c r="CKL20" s="12"/>
      <c r="CKM20" s="12"/>
      <c r="CKN20" s="12"/>
      <c r="CKO20" s="13"/>
      <c r="CKP20" s="9"/>
      <c r="CKQ20" s="9"/>
      <c r="CKR20" s="9"/>
      <c r="CKS20" s="9"/>
      <c r="CKT20" s="10"/>
      <c r="CKU20" s="11"/>
      <c r="CKV20" s="12"/>
      <c r="CKW20" s="12"/>
      <c r="CKX20" s="12"/>
      <c r="CKY20" s="13"/>
      <c r="CKZ20" s="9"/>
      <c r="CLA20" s="9"/>
      <c r="CLB20" s="9"/>
      <c r="CLC20" s="9"/>
      <c r="CLD20" s="10"/>
      <c r="CLE20" s="11"/>
      <c r="CLF20" s="12"/>
      <c r="CLG20" s="12"/>
      <c r="CLH20" s="12"/>
      <c r="CLI20" s="13"/>
      <c r="CLJ20" s="9"/>
      <c r="CLK20" s="9"/>
      <c r="CLL20" s="9"/>
      <c r="CLM20" s="9"/>
      <c r="CLN20" s="10"/>
      <c r="CLO20" s="11"/>
      <c r="CLP20" s="12"/>
      <c r="CLQ20" s="12"/>
      <c r="CLR20" s="12"/>
      <c r="CLS20" s="13"/>
      <c r="CLT20" s="9"/>
      <c r="CLU20" s="9"/>
      <c r="CLV20" s="9"/>
      <c r="CLW20" s="9"/>
      <c r="CLX20" s="10"/>
      <c r="CLY20" s="11"/>
      <c r="CLZ20" s="12"/>
      <c r="CMA20" s="12"/>
      <c r="CMB20" s="12"/>
      <c r="CMC20" s="13"/>
      <c r="CMD20" s="9"/>
      <c r="CME20" s="9"/>
      <c r="CMF20" s="9"/>
      <c r="CMG20" s="9"/>
      <c r="CMH20" s="10"/>
      <c r="CMI20" s="11"/>
      <c r="CMJ20" s="12"/>
      <c r="CMK20" s="12"/>
      <c r="CML20" s="12"/>
      <c r="CMM20" s="13"/>
      <c r="CMN20" s="9"/>
      <c r="CMO20" s="9"/>
      <c r="CMP20" s="9"/>
      <c r="CMQ20" s="9"/>
      <c r="CMR20" s="10"/>
      <c r="CMS20" s="11"/>
      <c r="CMT20" s="12"/>
      <c r="CMU20" s="12"/>
      <c r="CMV20" s="12"/>
      <c r="CMW20" s="13"/>
      <c r="CMX20" s="9"/>
      <c r="CMY20" s="9"/>
      <c r="CMZ20" s="9"/>
      <c r="CNA20" s="9"/>
      <c r="CNB20" s="10"/>
      <c r="CNC20" s="11"/>
      <c r="CND20" s="12"/>
      <c r="CNE20" s="12"/>
      <c r="CNF20" s="12"/>
      <c r="CNG20" s="13"/>
      <c r="CNH20" s="9"/>
      <c r="CNI20" s="9"/>
      <c r="CNJ20" s="9"/>
      <c r="CNK20" s="9"/>
      <c r="CNL20" s="10"/>
      <c r="CNM20" s="11"/>
      <c r="CNN20" s="12"/>
      <c r="CNO20" s="12"/>
      <c r="CNP20" s="12"/>
      <c r="CNQ20" s="13"/>
      <c r="CNR20" s="9"/>
      <c r="CNS20" s="9"/>
      <c r="CNT20" s="9"/>
      <c r="CNU20" s="9"/>
      <c r="CNV20" s="10"/>
      <c r="CNW20" s="11"/>
      <c r="CNX20" s="12"/>
      <c r="CNY20" s="12"/>
      <c r="CNZ20" s="12"/>
      <c r="COA20" s="13"/>
      <c r="COB20" s="9"/>
      <c r="COC20" s="9"/>
      <c r="COD20" s="9"/>
      <c r="COE20" s="9"/>
      <c r="COF20" s="10"/>
      <c r="COG20" s="11"/>
      <c r="COH20" s="12"/>
      <c r="COI20" s="12"/>
      <c r="COJ20" s="12"/>
      <c r="COK20" s="13"/>
      <c r="COL20" s="9"/>
      <c r="COM20" s="9"/>
      <c r="CON20" s="9"/>
      <c r="COO20" s="9"/>
      <c r="COP20" s="10"/>
      <c r="COQ20" s="11"/>
      <c r="COR20" s="12"/>
      <c r="COS20" s="12"/>
      <c r="COT20" s="12"/>
      <c r="COU20" s="13"/>
      <c r="COV20" s="9"/>
      <c r="COW20" s="9"/>
      <c r="COX20" s="9"/>
      <c r="COY20" s="9"/>
      <c r="COZ20" s="10"/>
      <c r="CPA20" s="11"/>
      <c r="CPB20" s="12"/>
      <c r="CPC20" s="12"/>
      <c r="CPD20" s="12"/>
      <c r="CPE20" s="13"/>
      <c r="CPF20" s="9"/>
      <c r="CPG20" s="9"/>
      <c r="CPH20" s="9"/>
      <c r="CPI20" s="9"/>
      <c r="CPJ20" s="10"/>
      <c r="CPK20" s="11"/>
      <c r="CPL20" s="12"/>
      <c r="CPM20" s="12"/>
      <c r="CPN20" s="12"/>
      <c r="CPO20" s="13"/>
      <c r="CPP20" s="9"/>
      <c r="CPQ20" s="9"/>
      <c r="CPR20" s="9"/>
      <c r="CPS20" s="9"/>
      <c r="CPT20" s="10"/>
      <c r="CPU20" s="11"/>
      <c r="CPV20" s="12"/>
      <c r="CPW20" s="12"/>
      <c r="CPX20" s="12"/>
      <c r="CPY20" s="13"/>
      <c r="CPZ20" s="9"/>
      <c r="CQA20" s="9"/>
      <c r="CQB20" s="9"/>
      <c r="CQC20" s="9"/>
      <c r="CQD20" s="10"/>
      <c r="CQE20" s="11"/>
      <c r="CQF20" s="12"/>
      <c r="CQG20" s="12"/>
      <c r="CQH20" s="12"/>
      <c r="CQI20" s="13"/>
      <c r="CQJ20" s="9"/>
      <c r="CQK20" s="9"/>
      <c r="CQL20" s="9"/>
      <c r="CQM20" s="9"/>
      <c r="CQN20" s="10"/>
      <c r="CQO20" s="11"/>
      <c r="CQP20" s="12"/>
      <c r="CQQ20" s="12"/>
      <c r="CQR20" s="12"/>
      <c r="CQS20" s="13"/>
      <c r="CQT20" s="9"/>
      <c r="CQU20" s="9"/>
      <c r="CQV20" s="9"/>
      <c r="CQW20" s="9"/>
      <c r="CQX20" s="10"/>
      <c r="CQY20" s="11"/>
      <c r="CQZ20" s="12"/>
      <c r="CRA20" s="12"/>
      <c r="CRB20" s="12"/>
      <c r="CRC20" s="13"/>
      <c r="CRD20" s="9"/>
      <c r="CRE20" s="9"/>
      <c r="CRF20" s="9"/>
      <c r="CRG20" s="9"/>
      <c r="CRH20" s="10"/>
      <c r="CRI20" s="11"/>
      <c r="CRJ20" s="12"/>
      <c r="CRK20" s="12"/>
      <c r="CRL20" s="12"/>
      <c r="CRM20" s="13"/>
      <c r="CRN20" s="9"/>
      <c r="CRO20" s="9"/>
      <c r="CRP20" s="9"/>
      <c r="CRQ20" s="9"/>
      <c r="CRR20" s="10"/>
      <c r="CRS20" s="11"/>
      <c r="CRT20" s="12"/>
      <c r="CRU20" s="12"/>
      <c r="CRV20" s="12"/>
      <c r="CRW20" s="13"/>
      <c r="CRX20" s="9"/>
      <c r="CRY20" s="9"/>
      <c r="CRZ20" s="9"/>
      <c r="CSA20" s="9"/>
      <c r="CSB20" s="10"/>
      <c r="CSC20" s="11"/>
      <c r="CSD20" s="12"/>
      <c r="CSE20" s="12"/>
      <c r="CSF20" s="12"/>
      <c r="CSG20" s="13"/>
      <c r="CSH20" s="9"/>
      <c r="CSI20" s="9"/>
      <c r="CSJ20" s="9"/>
      <c r="CSK20" s="9"/>
      <c r="CSL20" s="10"/>
      <c r="CSM20" s="11"/>
      <c r="CSN20" s="12"/>
      <c r="CSO20" s="12"/>
      <c r="CSP20" s="12"/>
      <c r="CSQ20" s="13"/>
      <c r="CSR20" s="9"/>
      <c r="CSS20" s="9"/>
      <c r="CST20" s="9"/>
      <c r="CSU20" s="9"/>
      <c r="CSV20" s="10"/>
      <c r="CSW20" s="11"/>
      <c r="CSX20" s="12"/>
      <c r="CSY20" s="12"/>
      <c r="CSZ20" s="12"/>
      <c r="CTA20" s="13"/>
      <c r="CTB20" s="9"/>
      <c r="CTC20" s="9"/>
      <c r="CTD20" s="9"/>
      <c r="CTE20" s="9"/>
      <c r="CTF20" s="10"/>
      <c r="CTG20" s="11"/>
      <c r="CTH20" s="12"/>
      <c r="CTI20" s="12"/>
      <c r="CTJ20" s="12"/>
      <c r="CTK20" s="13"/>
      <c r="CTL20" s="9"/>
      <c r="CTM20" s="9"/>
      <c r="CTN20" s="9"/>
      <c r="CTO20" s="9"/>
      <c r="CTP20" s="10"/>
      <c r="CTQ20" s="11"/>
      <c r="CTR20" s="12"/>
      <c r="CTS20" s="12"/>
      <c r="CTT20" s="12"/>
      <c r="CTU20" s="13"/>
      <c r="CTV20" s="9"/>
      <c r="CTW20" s="9"/>
      <c r="CTX20" s="9"/>
      <c r="CTY20" s="9"/>
      <c r="CTZ20" s="10"/>
      <c r="CUA20" s="11"/>
      <c r="CUB20" s="12"/>
      <c r="CUC20" s="12"/>
      <c r="CUD20" s="12"/>
      <c r="CUE20" s="13"/>
      <c r="CUF20" s="9"/>
      <c r="CUG20" s="9"/>
      <c r="CUH20" s="9"/>
      <c r="CUI20" s="9"/>
      <c r="CUJ20" s="10"/>
      <c r="CUK20" s="11"/>
      <c r="CUL20" s="12"/>
      <c r="CUM20" s="12"/>
      <c r="CUN20" s="12"/>
      <c r="CUO20" s="13"/>
      <c r="CUP20" s="9"/>
      <c r="CUQ20" s="9"/>
      <c r="CUR20" s="9"/>
      <c r="CUS20" s="9"/>
      <c r="CUT20" s="10"/>
      <c r="CUU20" s="11"/>
      <c r="CUV20" s="12"/>
      <c r="CUW20" s="12"/>
      <c r="CUX20" s="12"/>
      <c r="CUY20" s="13"/>
      <c r="CUZ20" s="9"/>
      <c r="CVA20" s="9"/>
      <c r="CVB20" s="9"/>
      <c r="CVC20" s="9"/>
      <c r="CVD20" s="10"/>
      <c r="CVE20" s="11"/>
      <c r="CVF20" s="12"/>
      <c r="CVG20" s="12"/>
      <c r="CVH20" s="12"/>
      <c r="CVI20" s="13"/>
      <c r="CVJ20" s="9"/>
      <c r="CVK20" s="9"/>
      <c r="CVL20" s="9"/>
      <c r="CVM20" s="9"/>
      <c r="CVN20" s="10"/>
      <c r="CVO20" s="11"/>
      <c r="CVP20" s="12"/>
      <c r="CVQ20" s="12"/>
      <c r="CVR20" s="12"/>
      <c r="CVS20" s="13"/>
      <c r="CVT20" s="9"/>
      <c r="CVU20" s="9"/>
      <c r="CVV20" s="9"/>
      <c r="CVW20" s="9"/>
      <c r="CVX20" s="10"/>
      <c r="CVY20" s="11"/>
      <c r="CVZ20" s="12"/>
      <c r="CWA20" s="12"/>
      <c r="CWB20" s="12"/>
      <c r="CWC20" s="13"/>
      <c r="CWD20" s="9"/>
      <c r="CWE20" s="9"/>
      <c r="CWF20" s="9"/>
      <c r="CWG20" s="9"/>
      <c r="CWH20" s="10"/>
      <c r="CWI20" s="11"/>
      <c r="CWJ20" s="12"/>
      <c r="CWK20" s="12"/>
      <c r="CWL20" s="12"/>
      <c r="CWM20" s="13"/>
      <c r="CWN20" s="9"/>
      <c r="CWO20" s="9"/>
      <c r="CWP20" s="9"/>
      <c r="CWQ20" s="9"/>
      <c r="CWR20" s="10"/>
      <c r="CWS20" s="11"/>
      <c r="CWT20" s="12"/>
      <c r="CWU20" s="12"/>
      <c r="CWV20" s="12"/>
      <c r="CWW20" s="13"/>
      <c r="CWX20" s="9"/>
      <c r="CWY20" s="9"/>
      <c r="CWZ20" s="9"/>
      <c r="CXA20" s="9"/>
      <c r="CXB20" s="10"/>
      <c r="CXC20" s="11"/>
      <c r="CXD20" s="12"/>
      <c r="CXE20" s="12"/>
      <c r="CXF20" s="12"/>
      <c r="CXG20" s="13"/>
      <c r="CXH20" s="9"/>
      <c r="CXI20" s="9"/>
      <c r="CXJ20" s="9"/>
      <c r="CXK20" s="9"/>
      <c r="CXL20" s="10"/>
      <c r="CXM20" s="11"/>
      <c r="CXN20" s="12"/>
      <c r="CXO20" s="12"/>
      <c r="CXP20" s="12"/>
      <c r="CXQ20" s="13"/>
      <c r="CXR20" s="9"/>
      <c r="CXS20" s="9"/>
      <c r="CXT20" s="9"/>
      <c r="CXU20" s="9"/>
      <c r="CXV20" s="10"/>
      <c r="CXW20" s="11"/>
      <c r="CXX20" s="12"/>
      <c r="CXY20" s="12"/>
      <c r="CXZ20" s="12"/>
      <c r="CYA20" s="13"/>
      <c r="CYB20" s="9"/>
      <c r="CYC20" s="9"/>
      <c r="CYD20" s="9"/>
      <c r="CYE20" s="9"/>
      <c r="CYF20" s="10"/>
      <c r="CYG20" s="11"/>
      <c r="CYH20" s="12"/>
      <c r="CYI20" s="12"/>
      <c r="CYJ20" s="12"/>
      <c r="CYK20" s="13"/>
      <c r="CYL20" s="9"/>
      <c r="CYM20" s="9"/>
      <c r="CYN20" s="9"/>
      <c r="CYO20" s="9"/>
      <c r="CYP20" s="10"/>
      <c r="CYQ20" s="11"/>
      <c r="CYR20" s="12"/>
      <c r="CYS20" s="12"/>
      <c r="CYT20" s="12"/>
      <c r="CYU20" s="13"/>
      <c r="CYV20" s="9"/>
      <c r="CYW20" s="9"/>
      <c r="CYX20" s="9"/>
      <c r="CYY20" s="9"/>
      <c r="CYZ20" s="10"/>
      <c r="CZA20" s="11"/>
      <c r="CZB20" s="12"/>
      <c r="CZC20" s="12"/>
      <c r="CZD20" s="12"/>
      <c r="CZE20" s="13"/>
      <c r="CZF20" s="9"/>
      <c r="CZG20" s="9"/>
      <c r="CZH20" s="9"/>
      <c r="CZI20" s="9"/>
      <c r="CZJ20" s="10"/>
      <c r="CZK20" s="11"/>
      <c r="CZL20" s="12"/>
      <c r="CZM20" s="12"/>
      <c r="CZN20" s="12"/>
      <c r="CZO20" s="13"/>
      <c r="CZP20" s="9"/>
      <c r="CZQ20" s="9"/>
      <c r="CZR20" s="9"/>
      <c r="CZS20" s="9"/>
      <c r="CZT20" s="10"/>
      <c r="CZU20" s="11"/>
      <c r="CZV20" s="12"/>
      <c r="CZW20" s="12"/>
      <c r="CZX20" s="12"/>
      <c r="CZY20" s="13"/>
      <c r="CZZ20" s="9"/>
      <c r="DAA20" s="9"/>
      <c r="DAB20" s="9"/>
      <c r="DAC20" s="9"/>
      <c r="DAD20" s="10"/>
      <c r="DAE20" s="11"/>
      <c r="DAF20" s="12"/>
      <c r="DAG20" s="12"/>
      <c r="DAH20" s="12"/>
      <c r="DAI20" s="13"/>
      <c r="DAJ20" s="9"/>
      <c r="DAK20" s="9"/>
      <c r="DAL20" s="9"/>
      <c r="DAM20" s="9"/>
      <c r="DAN20" s="10"/>
      <c r="DAO20" s="11"/>
      <c r="DAP20" s="12"/>
      <c r="DAQ20" s="12"/>
      <c r="DAR20" s="12"/>
      <c r="DAS20" s="13"/>
      <c r="DAT20" s="9"/>
      <c r="DAU20" s="9"/>
      <c r="DAV20" s="9"/>
      <c r="DAW20" s="9"/>
      <c r="DAX20" s="10"/>
      <c r="DAY20" s="11"/>
      <c r="DAZ20" s="12"/>
      <c r="DBA20" s="12"/>
      <c r="DBB20" s="12"/>
      <c r="DBC20" s="13"/>
      <c r="DBD20" s="9"/>
      <c r="DBE20" s="9"/>
      <c r="DBF20" s="9"/>
      <c r="DBG20" s="9"/>
      <c r="DBH20" s="10"/>
      <c r="DBI20" s="11"/>
      <c r="DBJ20" s="12"/>
      <c r="DBK20" s="12"/>
      <c r="DBL20" s="12"/>
      <c r="DBM20" s="13"/>
      <c r="DBN20" s="9"/>
      <c r="DBO20" s="9"/>
      <c r="DBP20" s="9"/>
      <c r="DBQ20" s="9"/>
      <c r="DBR20" s="10"/>
      <c r="DBS20" s="11"/>
      <c r="DBT20" s="12"/>
      <c r="DBU20" s="12"/>
      <c r="DBV20" s="12"/>
      <c r="DBW20" s="13"/>
      <c r="DBX20" s="9"/>
      <c r="DBY20" s="9"/>
      <c r="DBZ20" s="9"/>
      <c r="DCA20" s="9"/>
      <c r="DCB20" s="10"/>
      <c r="DCC20" s="11"/>
      <c r="DCD20" s="12"/>
      <c r="DCE20" s="12"/>
      <c r="DCF20" s="12"/>
      <c r="DCG20" s="13"/>
      <c r="DCH20" s="9"/>
      <c r="DCI20" s="9"/>
      <c r="DCJ20" s="9"/>
      <c r="DCK20" s="9"/>
      <c r="DCL20" s="10"/>
      <c r="DCM20" s="11"/>
      <c r="DCN20" s="12"/>
      <c r="DCO20" s="12"/>
      <c r="DCP20" s="12"/>
      <c r="DCQ20" s="13"/>
      <c r="DCR20" s="9"/>
      <c r="DCS20" s="9"/>
      <c r="DCT20" s="9"/>
      <c r="DCU20" s="9"/>
      <c r="DCV20" s="10"/>
      <c r="DCW20" s="11"/>
      <c r="DCX20" s="12"/>
      <c r="DCY20" s="12"/>
      <c r="DCZ20" s="12"/>
      <c r="DDA20" s="13"/>
      <c r="DDB20" s="9"/>
      <c r="DDC20" s="9"/>
      <c r="DDD20" s="9"/>
      <c r="DDE20" s="9"/>
      <c r="DDF20" s="10"/>
      <c r="DDG20" s="11"/>
      <c r="DDH20" s="12"/>
      <c r="DDI20" s="12"/>
      <c r="DDJ20" s="12"/>
      <c r="DDK20" s="13"/>
      <c r="DDL20" s="9"/>
      <c r="DDM20" s="9"/>
      <c r="DDN20" s="9"/>
      <c r="DDO20" s="9"/>
      <c r="DDP20" s="10"/>
      <c r="DDQ20" s="11"/>
      <c r="DDR20" s="12"/>
      <c r="DDS20" s="12"/>
      <c r="DDT20" s="12"/>
      <c r="DDU20" s="13"/>
      <c r="DDV20" s="9"/>
      <c r="DDW20" s="9"/>
      <c r="DDX20" s="9"/>
      <c r="DDY20" s="9"/>
      <c r="DDZ20" s="10"/>
      <c r="DEA20" s="11"/>
      <c r="DEB20" s="12"/>
      <c r="DEC20" s="12"/>
      <c r="DED20" s="12"/>
      <c r="DEE20" s="13"/>
      <c r="DEF20" s="9"/>
      <c r="DEG20" s="9"/>
      <c r="DEH20" s="9"/>
      <c r="DEI20" s="9"/>
      <c r="DEJ20" s="10"/>
      <c r="DEK20" s="11"/>
      <c r="DEL20" s="12"/>
      <c r="DEM20" s="12"/>
      <c r="DEN20" s="12"/>
      <c r="DEO20" s="13"/>
      <c r="DEP20" s="9"/>
      <c r="DEQ20" s="9"/>
      <c r="DER20" s="9"/>
      <c r="DES20" s="9"/>
      <c r="DET20" s="10"/>
      <c r="DEU20" s="11"/>
      <c r="DEV20" s="12"/>
      <c r="DEW20" s="12"/>
      <c r="DEX20" s="12"/>
      <c r="DEY20" s="13"/>
      <c r="DEZ20" s="9"/>
      <c r="DFA20" s="9"/>
      <c r="DFB20" s="9"/>
      <c r="DFC20" s="9"/>
      <c r="DFD20" s="10"/>
      <c r="DFE20" s="11"/>
      <c r="DFF20" s="12"/>
      <c r="DFG20" s="12"/>
      <c r="DFH20" s="12"/>
      <c r="DFI20" s="13"/>
      <c r="DFJ20" s="9"/>
      <c r="DFK20" s="9"/>
      <c r="DFL20" s="9"/>
      <c r="DFM20" s="9"/>
      <c r="DFN20" s="10"/>
      <c r="DFO20" s="11"/>
      <c r="DFP20" s="12"/>
      <c r="DFQ20" s="12"/>
      <c r="DFR20" s="12"/>
      <c r="DFS20" s="13"/>
      <c r="DFT20" s="9"/>
      <c r="DFU20" s="9"/>
      <c r="DFV20" s="9"/>
      <c r="DFW20" s="9"/>
      <c r="DFX20" s="10"/>
      <c r="DFY20" s="11"/>
      <c r="DFZ20" s="12"/>
      <c r="DGA20" s="12"/>
      <c r="DGB20" s="12"/>
      <c r="DGC20" s="13"/>
      <c r="DGD20" s="9"/>
      <c r="DGE20" s="9"/>
      <c r="DGF20" s="9"/>
      <c r="DGG20" s="9"/>
      <c r="DGH20" s="10"/>
      <c r="DGI20" s="11"/>
      <c r="DGJ20" s="12"/>
      <c r="DGK20" s="12"/>
      <c r="DGL20" s="12"/>
      <c r="DGM20" s="13"/>
      <c r="DGN20" s="9"/>
      <c r="DGO20" s="9"/>
      <c r="DGP20" s="9"/>
      <c r="DGQ20" s="9"/>
      <c r="DGR20" s="10"/>
      <c r="DGS20" s="11"/>
      <c r="DGT20" s="12"/>
      <c r="DGU20" s="12"/>
      <c r="DGV20" s="12"/>
      <c r="DGW20" s="13"/>
      <c r="DGX20" s="9"/>
      <c r="DGY20" s="9"/>
      <c r="DGZ20" s="9"/>
      <c r="DHA20" s="9"/>
      <c r="DHB20" s="10"/>
      <c r="DHC20" s="11"/>
      <c r="DHD20" s="12"/>
      <c r="DHE20" s="12"/>
      <c r="DHF20" s="12"/>
      <c r="DHG20" s="13"/>
      <c r="DHH20" s="9"/>
      <c r="DHI20" s="9"/>
      <c r="DHJ20" s="9"/>
      <c r="DHK20" s="9"/>
      <c r="DHL20" s="10"/>
      <c r="DHM20" s="11"/>
      <c r="DHN20" s="12"/>
      <c r="DHO20" s="12"/>
      <c r="DHP20" s="12"/>
      <c r="DHQ20" s="13"/>
      <c r="DHR20" s="9"/>
      <c r="DHS20" s="9"/>
      <c r="DHT20" s="9"/>
      <c r="DHU20" s="9"/>
      <c r="DHV20" s="10"/>
      <c r="DHW20" s="11"/>
      <c r="DHX20" s="12"/>
      <c r="DHY20" s="12"/>
      <c r="DHZ20" s="12"/>
      <c r="DIA20" s="13"/>
      <c r="DIB20" s="9"/>
      <c r="DIC20" s="9"/>
      <c r="DID20" s="9"/>
      <c r="DIE20" s="9"/>
      <c r="DIF20" s="10"/>
      <c r="DIG20" s="11"/>
      <c r="DIH20" s="12"/>
      <c r="DII20" s="12"/>
      <c r="DIJ20" s="12"/>
      <c r="DIK20" s="13"/>
      <c r="DIL20" s="9"/>
      <c r="DIM20" s="9"/>
      <c r="DIN20" s="9"/>
      <c r="DIO20" s="9"/>
      <c r="DIP20" s="10"/>
      <c r="DIQ20" s="11"/>
      <c r="DIR20" s="12"/>
      <c r="DIS20" s="12"/>
      <c r="DIT20" s="12"/>
      <c r="DIU20" s="13"/>
      <c r="DIV20" s="9"/>
      <c r="DIW20" s="9"/>
      <c r="DIX20" s="9"/>
      <c r="DIY20" s="9"/>
      <c r="DIZ20" s="10"/>
      <c r="DJA20" s="11"/>
      <c r="DJB20" s="12"/>
      <c r="DJC20" s="12"/>
      <c r="DJD20" s="12"/>
      <c r="DJE20" s="13"/>
      <c r="DJF20" s="9"/>
      <c r="DJG20" s="9"/>
      <c r="DJH20" s="9"/>
      <c r="DJI20" s="9"/>
      <c r="DJJ20" s="10"/>
      <c r="DJK20" s="11"/>
      <c r="DJL20" s="12"/>
      <c r="DJM20" s="12"/>
      <c r="DJN20" s="12"/>
      <c r="DJO20" s="13"/>
      <c r="DJP20" s="9"/>
      <c r="DJQ20" s="9"/>
      <c r="DJR20" s="9"/>
      <c r="DJS20" s="9"/>
      <c r="DJT20" s="10"/>
      <c r="DJU20" s="11"/>
      <c r="DJV20" s="12"/>
      <c r="DJW20" s="12"/>
      <c r="DJX20" s="12"/>
      <c r="DJY20" s="13"/>
      <c r="DJZ20" s="9"/>
      <c r="DKA20" s="9"/>
      <c r="DKB20" s="9"/>
      <c r="DKC20" s="9"/>
      <c r="DKD20" s="10"/>
      <c r="DKE20" s="11"/>
      <c r="DKF20" s="12"/>
      <c r="DKG20" s="12"/>
      <c r="DKH20" s="12"/>
      <c r="DKI20" s="13"/>
      <c r="DKJ20" s="9"/>
      <c r="DKK20" s="9"/>
      <c r="DKL20" s="9"/>
      <c r="DKM20" s="9"/>
      <c r="DKN20" s="10"/>
      <c r="DKO20" s="11"/>
      <c r="DKP20" s="12"/>
      <c r="DKQ20" s="12"/>
      <c r="DKR20" s="12"/>
      <c r="DKS20" s="13"/>
      <c r="DKT20" s="9"/>
      <c r="DKU20" s="9"/>
      <c r="DKV20" s="9"/>
      <c r="DKW20" s="9"/>
      <c r="DKX20" s="10"/>
      <c r="DKY20" s="11"/>
      <c r="DKZ20" s="12"/>
      <c r="DLA20" s="12"/>
      <c r="DLB20" s="12"/>
      <c r="DLC20" s="13"/>
      <c r="DLD20" s="9"/>
      <c r="DLE20" s="9"/>
      <c r="DLF20" s="9"/>
      <c r="DLG20" s="9"/>
      <c r="DLH20" s="10"/>
      <c r="DLI20" s="11"/>
      <c r="DLJ20" s="12"/>
      <c r="DLK20" s="12"/>
      <c r="DLL20" s="12"/>
      <c r="DLM20" s="13"/>
      <c r="DLN20" s="9"/>
      <c r="DLO20" s="9"/>
      <c r="DLP20" s="9"/>
      <c r="DLQ20" s="9"/>
      <c r="DLR20" s="10"/>
      <c r="DLS20" s="11"/>
      <c r="DLT20" s="12"/>
      <c r="DLU20" s="12"/>
      <c r="DLV20" s="12"/>
      <c r="DLW20" s="13"/>
      <c r="DLX20" s="9"/>
      <c r="DLY20" s="9"/>
      <c r="DLZ20" s="9"/>
      <c r="DMA20" s="9"/>
      <c r="DMB20" s="10"/>
      <c r="DMC20" s="11"/>
      <c r="DMD20" s="12"/>
      <c r="DME20" s="12"/>
      <c r="DMF20" s="12"/>
      <c r="DMG20" s="13"/>
      <c r="DMH20" s="9"/>
      <c r="DMI20" s="9"/>
      <c r="DMJ20" s="9"/>
      <c r="DMK20" s="9"/>
      <c r="DML20" s="10"/>
      <c r="DMM20" s="11"/>
      <c r="DMN20" s="12"/>
      <c r="DMO20" s="12"/>
      <c r="DMP20" s="12"/>
      <c r="DMQ20" s="13"/>
      <c r="DMR20" s="9"/>
      <c r="DMS20" s="9"/>
      <c r="DMT20" s="9"/>
      <c r="DMU20" s="9"/>
      <c r="DMV20" s="10"/>
      <c r="DMW20" s="11"/>
      <c r="DMX20" s="12"/>
      <c r="DMY20" s="12"/>
      <c r="DMZ20" s="12"/>
      <c r="DNA20" s="13"/>
      <c r="DNB20" s="9"/>
      <c r="DNC20" s="9"/>
      <c r="DND20" s="9"/>
      <c r="DNE20" s="9"/>
      <c r="DNF20" s="10"/>
      <c r="DNG20" s="11"/>
      <c r="DNH20" s="12"/>
      <c r="DNI20" s="12"/>
      <c r="DNJ20" s="12"/>
      <c r="DNK20" s="13"/>
      <c r="DNL20" s="9"/>
      <c r="DNM20" s="9"/>
      <c r="DNN20" s="9"/>
      <c r="DNO20" s="9"/>
      <c r="DNP20" s="10"/>
      <c r="DNQ20" s="11"/>
      <c r="DNR20" s="12"/>
      <c r="DNS20" s="12"/>
      <c r="DNT20" s="12"/>
      <c r="DNU20" s="13"/>
      <c r="DNV20" s="9"/>
      <c r="DNW20" s="9"/>
      <c r="DNX20" s="9"/>
      <c r="DNY20" s="9"/>
      <c r="DNZ20" s="10"/>
      <c r="DOA20" s="11"/>
      <c r="DOB20" s="12"/>
      <c r="DOC20" s="12"/>
      <c r="DOD20" s="12"/>
      <c r="DOE20" s="13"/>
      <c r="DOF20" s="9"/>
      <c r="DOG20" s="9"/>
      <c r="DOH20" s="9"/>
      <c r="DOI20" s="9"/>
      <c r="DOJ20" s="10"/>
      <c r="DOK20" s="11"/>
      <c r="DOL20" s="12"/>
      <c r="DOM20" s="12"/>
      <c r="DON20" s="12"/>
      <c r="DOO20" s="13"/>
      <c r="DOP20" s="9"/>
      <c r="DOQ20" s="9"/>
      <c r="DOR20" s="9"/>
      <c r="DOS20" s="9"/>
      <c r="DOT20" s="10"/>
      <c r="DOU20" s="11"/>
      <c r="DOV20" s="12"/>
      <c r="DOW20" s="12"/>
      <c r="DOX20" s="12"/>
      <c r="DOY20" s="13"/>
      <c r="DOZ20" s="9"/>
      <c r="DPA20" s="9"/>
      <c r="DPB20" s="9"/>
      <c r="DPC20" s="9"/>
      <c r="DPD20" s="10"/>
      <c r="DPE20" s="11"/>
      <c r="DPF20" s="12"/>
      <c r="DPG20" s="12"/>
      <c r="DPH20" s="12"/>
      <c r="DPI20" s="13"/>
      <c r="DPJ20" s="9"/>
      <c r="DPK20" s="9"/>
      <c r="DPL20" s="9"/>
      <c r="DPM20" s="9"/>
      <c r="DPN20" s="10"/>
      <c r="DPO20" s="11"/>
      <c r="DPP20" s="12"/>
      <c r="DPQ20" s="12"/>
      <c r="DPR20" s="12"/>
      <c r="DPS20" s="13"/>
      <c r="DPT20" s="9"/>
      <c r="DPU20" s="9"/>
      <c r="DPV20" s="9"/>
      <c r="DPW20" s="9"/>
      <c r="DPX20" s="10"/>
      <c r="DPY20" s="11"/>
      <c r="DPZ20" s="12"/>
      <c r="DQA20" s="12"/>
      <c r="DQB20" s="12"/>
      <c r="DQC20" s="13"/>
      <c r="DQD20" s="9"/>
      <c r="DQE20" s="9"/>
      <c r="DQF20" s="9"/>
      <c r="DQG20" s="9"/>
      <c r="DQH20" s="10"/>
      <c r="DQI20" s="11"/>
      <c r="DQJ20" s="12"/>
      <c r="DQK20" s="12"/>
      <c r="DQL20" s="12"/>
      <c r="DQM20" s="13"/>
      <c r="DQN20" s="9"/>
      <c r="DQO20" s="9"/>
      <c r="DQP20" s="9"/>
      <c r="DQQ20" s="9"/>
      <c r="DQR20" s="10"/>
      <c r="DQS20" s="11"/>
      <c r="DQT20" s="12"/>
      <c r="DQU20" s="12"/>
      <c r="DQV20" s="12"/>
      <c r="DQW20" s="13"/>
      <c r="DQX20" s="9"/>
      <c r="DQY20" s="9"/>
      <c r="DQZ20" s="9"/>
      <c r="DRA20" s="9"/>
      <c r="DRB20" s="10"/>
      <c r="DRC20" s="11"/>
      <c r="DRD20" s="12"/>
      <c r="DRE20" s="12"/>
      <c r="DRF20" s="12"/>
      <c r="DRG20" s="13"/>
      <c r="DRH20" s="9"/>
      <c r="DRI20" s="9"/>
      <c r="DRJ20" s="9"/>
      <c r="DRK20" s="9"/>
      <c r="DRL20" s="10"/>
      <c r="DRM20" s="11"/>
      <c r="DRN20" s="12"/>
      <c r="DRO20" s="12"/>
      <c r="DRP20" s="12"/>
      <c r="DRQ20" s="13"/>
      <c r="DRR20" s="9"/>
      <c r="DRS20" s="9"/>
      <c r="DRT20" s="9"/>
      <c r="DRU20" s="9"/>
      <c r="DRV20" s="10"/>
      <c r="DRW20" s="11"/>
      <c r="DRX20" s="12"/>
      <c r="DRY20" s="12"/>
      <c r="DRZ20" s="12"/>
      <c r="DSA20" s="13"/>
      <c r="DSB20" s="9"/>
      <c r="DSC20" s="9"/>
      <c r="DSD20" s="9"/>
      <c r="DSE20" s="9"/>
      <c r="DSF20" s="10"/>
      <c r="DSG20" s="11"/>
      <c r="DSH20" s="12"/>
      <c r="DSI20" s="12"/>
      <c r="DSJ20" s="12"/>
      <c r="DSK20" s="13"/>
      <c r="DSL20" s="9"/>
      <c r="DSM20" s="9"/>
      <c r="DSN20" s="9"/>
      <c r="DSO20" s="9"/>
      <c r="DSP20" s="10"/>
      <c r="DSQ20" s="11"/>
      <c r="DSR20" s="12"/>
      <c r="DSS20" s="12"/>
      <c r="DST20" s="12"/>
      <c r="DSU20" s="13"/>
      <c r="DSV20" s="9"/>
      <c r="DSW20" s="9"/>
      <c r="DSX20" s="9"/>
      <c r="DSY20" s="9"/>
      <c r="DSZ20" s="10"/>
      <c r="DTA20" s="11"/>
      <c r="DTB20" s="12"/>
      <c r="DTC20" s="12"/>
      <c r="DTD20" s="12"/>
      <c r="DTE20" s="13"/>
      <c r="DTF20" s="9"/>
      <c r="DTG20" s="9"/>
      <c r="DTH20" s="9"/>
      <c r="DTI20" s="9"/>
      <c r="DTJ20" s="10"/>
      <c r="DTK20" s="11"/>
      <c r="DTL20" s="12"/>
      <c r="DTM20" s="12"/>
      <c r="DTN20" s="12"/>
      <c r="DTO20" s="13"/>
      <c r="DTP20" s="9"/>
      <c r="DTQ20" s="9"/>
      <c r="DTR20" s="9"/>
      <c r="DTS20" s="9"/>
      <c r="DTT20" s="10"/>
      <c r="DTU20" s="11"/>
      <c r="DTV20" s="12"/>
      <c r="DTW20" s="12"/>
      <c r="DTX20" s="12"/>
      <c r="DTY20" s="13"/>
      <c r="DTZ20" s="9"/>
      <c r="DUA20" s="9"/>
      <c r="DUB20" s="9"/>
      <c r="DUC20" s="9"/>
      <c r="DUD20" s="10"/>
      <c r="DUE20" s="11"/>
      <c r="DUF20" s="12"/>
      <c r="DUG20" s="12"/>
      <c r="DUH20" s="12"/>
      <c r="DUI20" s="13"/>
      <c r="DUJ20" s="9"/>
      <c r="DUK20" s="9"/>
      <c r="DUL20" s="9"/>
      <c r="DUM20" s="9"/>
      <c r="DUN20" s="10"/>
      <c r="DUO20" s="11"/>
      <c r="DUP20" s="12"/>
      <c r="DUQ20" s="12"/>
      <c r="DUR20" s="12"/>
      <c r="DUS20" s="13"/>
      <c r="DUT20" s="9"/>
      <c r="DUU20" s="9"/>
      <c r="DUV20" s="9"/>
      <c r="DUW20" s="9"/>
      <c r="DUX20" s="10"/>
      <c r="DUY20" s="11"/>
      <c r="DUZ20" s="12"/>
      <c r="DVA20" s="12"/>
      <c r="DVB20" s="12"/>
      <c r="DVC20" s="13"/>
      <c r="DVD20" s="9"/>
      <c r="DVE20" s="9"/>
      <c r="DVF20" s="9"/>
      <c r="DVG20" s="9"/>
      <c r="DVH20" s="10"/>
      <c r="DVI20" s="11"/>
      <c r="DVJ20" s="12"/>
      <c r="DVK20" s="12"/>
      <c r="DVL20" s="12"/>
      <c r="DVM20" s="13"/>
      <c r="DVN20" s="9"/>
      <c r="DVO20" s="9"/>
      <c r="DVP20" s="9"/>
      <c r="DVQ20" s="9"/>
      <c r="DVR20" s="10"/>
      <c r="DVS20" s="11"/>
      <c r="DVT20" s="12"/>
      <c r="DVU20" s="12"/>
      <c r="DVV20" s="12"/>
      <c r="DVW20" s="13"/>
      <c r="DVX20" s="9"/>
      <c r="DVY20" s="9"/>
      <c r="DVZ20" s="9"/>
      <c r="DWA20" s="9"/>
      <c r="DWB20" s="10"/>
      <c r="DWC20" s="11"/>
      <c r="DWD20" s="12"/>
      <c r="DWE20" s="12"/>
      <c r="DWF20" s="12"/>
      <c r="DWG20" s="13"/>
      <c r="DWH20" s="9"/>
      <c r="DWI20" s="9"/>
      <c r="DWJ20" s="9"/>
      <c r="DWK20" s="9"/>
      <c r="DWL20" s="10"/>
      <c r="DWM20" s="11"/>
      <c r="DWN20" s="12"/>
      <c r="DWO20" s="12"/>
      <c r="DWP20" s="12"/>
      <c r="DWQ20" s="13"/>
      <c r="DWR20" s="9"/>
      <c r="DWS20" s="9"/>
      <c r="DWT20" s="9"/>
      <c r="DWU20" s="9"/>
      <c r="DWV20" s="10"/>
      <c r="DWW20" s="11"/>
      <c r="DWX20" s="12"/>
      <c r="DWY20" s="12"/>
      <c r="DWZ20" s="12"/>
      <c r="DXA20" s="13"/>
      <c r="DXB20" s="9"/>
      <c r="DXC20" s="9"/>
      <c r="DXD20" s="9"/>
      <c r="DXE20" s="9"/>
      <c r="DXF20" s="10"/>
      <c r="DXG20" s="11"/>
      <c r="DXH20" s="12"/>
      <c r="DXI20" s="12"/>
      <c r="DXJ20" s="12"/>
      <c r="DXK20" s="13"/>
      <c r="DXL20" s="9"/>
      <c r="DXM20" s="9"/>
      <c r="DXN20" s="9"/>
      <c r="DXO20" s="9"/>
      <c r="DXP20" s="10"/>
      <c r="DXQ20" s="11"/>
      <c r="DXR20" s="12"/>
      <c r="DXS20" s="12"/>
      <c r="DXT20" s="12"/>
      <c r="DXU20" s="13"/>
      <c r="DXV20" s="9"/>
      <c r="DXW20" s="9"/>
      <c r="DXX20" s="9"/>
      <c r="DXY20" s="9"/>
      <c r="DXZ20" s="10"/>
      <c r="DYA20" s="11"/>
      <c r="DYB20" s="12"/>
      <c r="DYC20" s="12"/>
      <c r="DYD20" s="12"/>
      <c r="DYE20" s="13"/>
      <c r="DYF20" s="9"/>
      <c r="DYG20" s="9"/>
      <c r="DYH20" s="9"/>
      <c r="DYI20" s="9"/>
      <c r="DYJ20" s="10"/>
      <c r="DYK20" s="11"/>
      <c r="DYL20" s="12"/>
      <c r="DYM20" s="12"/>
      <c r="DYN20" s="12"/>
      <c r="DYO20" s="13"/>
      <c r="DYP20" s="9"/>
      <c r="DYQ20" s="9"/>
      <c r="DYR20" s="9"/>
      <c r="DYS20" s="9"/>
      <c r="DYT20" s="10"/>
      <c r="DYU20" s="11"/>
      <c r="DYV20" s="12"/>
      <c r="DYW20" s="12"/>
      <c r="DYX20" s="12"/>
      <c r="DYY20" s="13"/>
      <c r="DYZ20" s="9"/>
      <c r="DZA20" s="9"/>
      <c r="DZB20" s="9"/>
      <c r="DZC20" s="9"/>
      <c r="DZD20" s="10"/>
      <c r="DZE20" s="11"/>
      <c r="DZF20" s="12"/>
      <c r="DZG20" s="12"/>
      <c r="DZH20" s="12"/>
      <c r="DZI20" s="13"/>
      <c r="DZJ20" s="9"/>
      <c r="DZK20" s="9"/>
      <c r="DZL20" s="9"/>
      <c r="DZM20" s="9"/>
      <c r="DZN20" s="10"/>
      <c r="DZO20" s="11"/>
      <c r="DZP20" s="12"/>
      <c r="DZQ20" s="12"/>
      <c r="DZR20" s="12"/>
      <c r="DZS20" s="13"/>
      <c r="DZT20" s="9"/>
      <c r="DZU20" s="9"/>
      <c r="DZV20" s="9"/>
      <c r="DZW20" s="9"/>
      <c r="DZX20" s="10"/>
      <c r="DZY20" s="11"/>
      <c r="DZZ20" s="12"/>
      <c r="EAA20" s="12"/>
      <c r="EAB20" s="12"/>
      <c r="EAC20" s="13"/>
      <c r="EAD20" s="9"/>
      <c r="EAE20" s="9"/>
      <c r="EAF20" s="9"/>
      <c r="EAG20" s="9"/>
      <c r="EAH20" s="10"/>
      <c r="EAI20" s="11"/>
      <c r="EAJ20" s="12"/>
      <c r="EAK20" s="12"/>
      <c r="EAL20" s="12"/>
      <c r="EAM20" s="13"/>
      <c r="EAN20" s="9"/>
      <c r="EAO20" s="9"/>
      <c r="EAP20" s="9"/>
      <c r="EAQ20" s="9"/>
      <c r="EAR20" s="10"/>
      <c r="EAS20" s="11"/>
      <c r="EAT20" s="12"/>
      <c r="EAU20" s="12"/>
      <c r="EAV20" s="12"/>
      <c r="EAW20" s="13"/>
      <c r="EAX20" s="9"/>
      <c r="EAY20" s="9"/>
      <c r="EAZ20" s="9"/>
      <c r="EBA20" s="9"/>
      <c r="EBB20" s="10"/>
      <c r="EBC20" s="11"/>
      <c r="EBD20" s="12"/>
      <c r="EBE20" s="12"/>
      <c r="EBF20" s="12"/>
      <c r="EBG20" s="13"/>
      <c r="EBH20" s="9"/>
      <c r="EBI20" s="9"/>
      <c r="EBJ20" s="9"/>
      <c r="EBK20" s="9"/>
      <c r="EBL20" s="10"/>
      <c r="EBM20" s="11"/>
      <c r="EBN20" s="12"/>
      <c r="EBO20" s="12"/>
      <c r="EBP20" s="12"/>
      <c r="EBQ20" s="13"/>
      <c r="EBR20" s="9"/>
      <c r="EBS20" s="9"/>
      <c r="EBT20" s="9"/>
      <c r="EBU20" s="9"/>
      <c r="EBV20" s="10"/>
      <c r="EBW20" s="11"/>
      <c r="EBX20" s="12"/>
      <c r="EBY20" s="12"/>
      <c r="EBZ20" s="12"/>
      <c r="ECA20" s="13"/>
      <c r="ECB20" s="9"/>
      <c r="ECC20" s="9"/>
      <c r="ECD20" s="9"/>
      <c r="ECE20" s="9"/>
      <c r="ECF20" s="10"/>
      <c r="ECG20" s="11"/>
      <c r="ECH20" s="12"/>
      <c r="ECI20" s="12"/>
      <c r="ECJ20" s="12"/>
      <c r="ECK20" s="13"/>
      <c r="ECL20" s="9"/>
      <c r="ECM20" s="9"/>
      <c r="ECN20" s="9"/>
      <c r="ECO20" s="9"/>
      <c r="ECP20" s="10"/>
      <c r="ECQ20" s="11"/>
      <c r="ECR20" s="12"/>
      <c r="ECS20" s="12"/>
      <c r="ECT20" s="12"/>
      <c r="ECU20" s="13"/>
      <c r="ECV20" s="9"/>
      <c r="ECW20" s="9"/>
      <c r="ECX20" s="9"/>
      <c r="ECY20" s="9"/>
      <c r="ECZ20" s="10"/>
      <c r="EDA20" s="11"/>
      <c r="EDB20" s="12"/>
      <c r="EDC20" s="12"/>
      <c r="EDD20" s="12"/>
      <c r="EDE20" s="13"/>
      <c r="EDF20" s="9"/>
      <c r="EDG20" s="9"/>
      <c r="EDH20" s="9"/>
      <c r="EDI20" s="9"/>
      <c r="EDJ20" s="10"/>
      <c r="EDK20" s="11"/>
      <c r="EDL20" s="12"/>
      <c r="EDM20" s="12"/>
      <c r="EDN20" s="12"/>
      <c r="EDO20" s="13"/>
      <c r="EDP20" s="9"/>
      <c r="EDQ20" s="9"/>
      <c r="EDR20" s="9"/>
      <c r="EDS20" s="9"/>
      <c r="EDT20" s="10"/>
      <c r="EDU20" s="11"/>
      <c r="EDV20" s="12"/>
      <c r="EDW20" s="12"/>
      <c r="EDX20" s="12"/>
      <c r="EDY20" s="13"/>
      <c r="EDZ20" s="9"/>
      <c r="EEA20" s="9"/>
      <c r="EEB20" s="9"/>
      <c r="EEC20" s="9"/>
      <c r="EED20" s="10"/>
      <c r="EEE20" s="11"/>
      <c r="EEF20" s="12"/>
      <c r="EEG20" s="12"/>
      <c r="EEH20" s="12"/>
      <c r="EEI20" s="13"/>
      <c r="EEJ20" s="9"/>
      <c r="EEK20" s="9"/>
      <c r="EEL20" s="9"/>
      <c r="EEM20" s="9"/>
      <c r="EEN20" s="10"/>
      <c r="EEO20" s="11"/>
      <c r="EEP20" s="12"/>
      <c r="EEQ20" s="12"/>
      <c r="EER20" s="12"/>
      <c r="EES20" s="13"/>
      <c r="EET20" s="9"/>
      <c r="EEU20" s="9"/>
      <c r="EEV20" s="9"/>
      <c r="EEW20" s="9"/>
      <c r="EEX20" s="10"/>
      <c r="EEY20" s="11"/>
      <c r="EEZ20" s="12"/>
      <c r="EFA20" s="12"/>
      <c r="EFB20" s="12"/>
      <c r="EFC20" s="13"/>
      <c r="EFD20" s="9"/>
      <c r="EFE20" s="9"/>
      <c r="EFF20" s="9"/>
      <c r="EFG20" s="9"/>
      <c r="EFH20" s="10"/>
      <c r="EFI20" s="11"/>
      <c r="EFJ20" s="12"/>
      <c r="EFK20" s="12"/>
      <c r="EFL20" s="12"/>
      <c r="EFM20" s="13"/>
      <c r="EFN20" s="9"/>
      <c r="EFO20" s="9"/>
      <c r="EFP20" s="9"/>
      <c r="EFQ20" s="9"/>
      <c r="EFR20" s="10"/>
      <c r="EFS20" s="11"/>
      <c r="EFT20" s="12"/>
      <c r="EFU20" s="12"/>
      <c r="EFV20" s="12"/>
      <c r="EFW20" s="13"/>
      <c r="EFX20" s="9"/>
      <c r="EFY20" s="9"/>
      <c r="EFZ20" s="9"/>
      <c r="EGA20" s="9"/>
      <c r="EGB20" s="10"/>
      <c r="EGC20" s="11"/>
      <c r="EGD20" s="12"/>
      <c r="EGE20" s="12"/>
      <c r="EGF20" s="12"/>
      <c r="EGG20" s="13"/>
      <c r="EGH20" s="9"/>
      <c r="EGI20" s="9"/>
      <c r="EGJ20" s="9"/>
      <c r="EGK20" s="9"/>
      <c r="EGL20" s="10"/>
      <c r="EGM20" s="11"/>
      <c r="EGN20" s="12"/>
      <c r="EGO20" s="12"/>
      <c r="EGP20" s="12"/>
      <c r="EGQ20" s="13"/>
      <c r="EGR20" s="9"/>
      <c r="EGS20" s="9"/>
      <c r="EGT20" s="9"/>
      <c r="EGU20" s="9"/>
      <c r="EGV20" s="10"/>
      <c r="EGW20" s="11"/>
      <c r="EGX20" s="12"/>
      <c r="EGY20" s="12"/>
      <c r="EGZ20" s="12"/>
      <c r="EHA20" s="13"/>
      <c r="EHB20" s="9"/>
      <c r="EHC20" s="9"/>
      <c r="EHD20" s="9"/>
      <c r="EHE20" s="9"/>
      <c r="EHF20" s="10"/>
      <c r="EHG20" s="11"/>
      <c r="EHH20" s="12"/>
      <c r="EHI20" s="12"/>
      <c r="EHJ20" s="12"/>
      <c r="EHK20" s="13"/>
      <c r="EHL20" s="9"/>
      <c r="EHM20" s="9"/>
      <c r="EHN20" s="9"/>
      <c r="EHO20" s="9"/>
      <c r="EHP20" s="10"/>
      <c r="EHQ20" s="11"/>
      <c r="EHR20" s="12"/>
      <c r="EHS20" s="12"/>
      <c r="EHT20" s="12"/>
      <c r="EHU20" s="13"/>
      <c r="EHV20" s="9"/>
      <c r="EHW20" s="9"/>
      <c r="EHX20" s="9"/>
      <c r="EHY20" s="9"/>
      <c r="EHZ20" s="10"/>
      <c r="EIA20" s="11"/>
      <c r="EIB20" s="12"/>
      <c r="EIC20" s="12"/>
      <c r="EID20" s="12"/>
      <c r="EIE20" s="13"/>
      <c r="EIF20" s="9"/>
      <c r="EIG20" s="9"/>
      <c r="EIH20" s="9"/>
      <c r="EII20" s="9"/>
      <c r="EIJ20" s="10"/>
      <c r="EIK20" s="11"/>
      <c r="EIL20" s="12"/>
      <c r="EIM20" s="12"/>
      <c r="EIN20" s="12"/>
      <c r="EIO20" s="13"/>
      <c r="EIP20" s="9"/>
      <c r="EIQ20" s="9"/>
      <c r="EIR20" s="9"/>
      <c r="EIS20" s="9"/>
      <c r="EIT20" s="10"/>
      <c r="EIU20" s="11"/>
      <c r="EIV20" s="12"/>
      <c r="EIW20" s="12"/>
      <c r="EIX20" s="12"/>
      <c r="EIY20" s="13"/>
      <c r="EIZ20" s="9"/>
      <c r="EJA20" s="9"/>
      <c r="EJB20" s="9"/>
      <c r="EJC20" s="9"/>
      <c r="EJD20" s="10"/>
      <c r="EJE20" s="11"/>
      <c r="EJF20" s="12"/>
      <c r="EJG20" s="12"/>
      <c r="EJH20" s="12"/>
      <c r="EJI20" s="13"/>
      <c r="EJJ20" s="9"/>
      <c r="EJK20" s="9"/>
      <c r="EJL20" s="9"/>
      <c r="EJM20" s="9"/>
      <c r="EJN20" s="10"/>
      <c r="EJO20" s="11"/>
      <c r="EJP20" s="12"/>
      <c r="EJQ20" s="12"/>
      <c r="EJR20" s="12"/>
      <c r="EJS20" s="13"/>
      <c r="EJT20" s="9"/>
      <c r="EJU20" s="9"/>
      <c r="EJV20" s="9"/>
      <c r="EJW20" s="9"/>
      <c r="EJX20" s="10"/>
      <c r="EJY20" s="11"/>
      <c r="EJZ20" s="12"/>
      <c r="EKA20" s="12"/>
      <c r="EKB20" s="12"/>
      <c r="EKC20" s="13"/>
      <c r="EKD20" s="9"/>
      <c r="EKE20" s="9"/>
      <c r="EKF20" s="9"/>
      <c r="EKG20" s="9"/>
      <c r="EKH20" s="10"/>
      <c r="EKI20" s="11"/>
      <c r="EKJ20" s="12"/>
      <c r="EKK20" s="12"/>
      <c r="EKL20" s="12"/>
      <c r="EKM20" s="13"/>
      <c r="EKN20" s="9"/>
      <c r="EKO20" s="9"/>
      <c r="EKP20" s="9"/>
      <c r="EKQ20" s="9"/>
      <c r="EKR20" s="10"/>
      <c r="EKS20" s="11"/>
      <c r="EKT20" s="12"/>
      <c r="EKU20" s="12"/>
      <c r="EKV20" s="12"/>
      <c r="EKW20" s="13"/>
      <c r="EKX20" s="9"/>
      <c r="EKY20" s="9"/>
      <c r="EKZ20" s="9"/>
      <c r="ELA20" s="9"/>
      <c r="ELB20" s="10"/>
      <c r="ELC20" s="11"/>
      <c r="ELD20" s="12"/>
      <c r="ELE20" s="12"/>
      <c r="ELF20" s="12"/>
      <c r="ELG20" s="13"/>
      <c r="ELH20" s="9"/>
      <c r="ELI20" s="9"/>
      <c r="ELJ20" s="9"/>
      <c r="ELK20" s="9"/>
      <c r="ELL20" s="10"/>
      <c r="ELM20" s="11"/>
      <c r="ELN20" s="12"/>
      <c r="ELO20" s="12"/>
      <c r="ELP20" s="12"/>
      <c r="ELQ20" s="13"/>
      <c r="ELR20" s="9"/>
      <c r="ELS20" s="9"/>
      <c r="ELT20" s="9"/>
      <c r="ELU20" s="9"/>
      <c r="ELV20" s="10"/>
      <c r="ELW20" s="11"/>
      <c r="ELX20" s="12"/>
      <c r="ELY20" s="12"/>
      <c r="ELZ20" s="12"/>
      <c r="EMA20" s="13"/>
      <c r="EMB20" s="9"/>
      <c r="EMC20" s="9"/>
      <c r="EMD20" s="9"/>
      <c r="EME20" s="9"/>
      <c r="EMF20" s="10"/>
      <c r="EMG20" s="11"/>
      <c r="EMH20" s="12"/>
      <c r="EMI20" s="12"/>
      <c r="EMJ20" s="12"/>
      <c r="EMK20" s="13"/>
      <c r="EML20" s="9"/>
      <c r="EMM20" s="9"/>
      <c r="EMN20" s="9"/>
      <c r="EMO20" s="9"/>
      <c r="EMP20" s="10"/>
      <c r="EMQ20" s="11"/>
      <c r="EMR20" s="12"/>
      <c r="EMS20" s="12"/>
      <c r="EMT20" s="12"/>
      <c r="EMU20" s="13"/>
      <c r="EMV20" s="9"/>
      <c r="EMW20" s="9"/>
      <c r="EMX20" s="9"/>
      <c r="EMY20" s="9"/>
      <c r="EMZ20" s="10"/>
      <c r="ENA20" s="11"/>
      <c r="ENB20" s="12"/>
      <c r="ENC20" s="12"/>
      <c r="END20" s="12"/>
      <c r="ENE20" s="13"/>
      <c r="ENF20" s="9"/>
      <c r="ENG20" s="9"/>
      <c r="ENH20" s="9"/>
      <c r="ENI20" s="9"/>
      <c r="ENJ20" s="10"/>
      <c r="ENK20" s="11"/>
      <c r="ENL20" s="12"/>
      <c r="ENM20" s="12"/>
      <c r="ENN20" s="12"/>
      <c r="ENO20" s="13"/>
      <c r="ENP20" s="9"/>
      <c r="ENQ20" s="9"/>
      <c r="ENR20" s="9"/>
      <c r="ENS20" s="9"/>
      <c r="ENT20" s="10"/>
      <c r="ENU20" s="11"/>
      <c r="ENV20" s="12"/>
      <c r="ENW20" s="12"/>
      <c r="ENX20" s="12"/>
      <c r="ENY20" s="13"/>
      <c r="ENZ20" s="9"/>
      <c r="EOA20" s="9"/>
      <c r="EOB20" s="9"/>
      <c r="EOC20" s="9"/>
      <c r="EOD20" s="10"/>
      <c r="EOE20" s="11"/>
      <c r="EOF20" s="12"/>
      <c r="EOG20" s="12"/>
      <c r="EOH20" s="12"/>
      <c r="EOI20" s="13"/>
      <c r="EOJ20" s="9"/>
      <c r="EOK20" s="9"/>
      <c r="EOL20" s="9"/>
      <c r="EOM20" s="9"/>
      <c r="EON20" s="10"/>
      <c r="EOO20" s="11"/>
      <c r="EOP20" s="12"/>
      <c r="EOQ20" s="12"/>
      <c r="EOR20" s="12"/>
      <c r="EOS20" s="13"/>
      <c r="EOT20" s="9"/>
      <c r="EOU20" s="9"/>
      <c r="EOV20" s="9"/>
      <c r="EOW20" s="9"/>
      <c r="EOX20" s="10"/>
      <c r="EOY20" s="11"/>
      <c r="EOZ20" s="12"/>
      <c r="EPA20" s="12"/>
      <c r="EPB20" s="12"/>
      <c r="EPC20" s="13"/>
      <c r="EPD20" s="9"/>
      <c r="EPE20" s="9"/>
      <c r="EPF20" s="9"/>
      <c r="EPG20" s="9"/>
      <c r="EPH20" s="10"/>
      <c r="EPI20" s="11"/>
      <c r="EPJ20" s="12"/>
      <c r="EPK20" s="12"/>
      <c r="EPL20" s="12"/>
      <c r="EPM20" s="13"/>
      <c r="EPN20" s="9"/>
      <c r="EPO20" s="9"/>
      <c r="EPP20" s="9"/>
      <c r="EPQ20" s="9"/>
      <c r="EPR20" s="10"/>
      <c r="EPS20" s="11"/>
      <c r="EPT20" s="12"/>
      <c r="EPU20" s="12"/>
      <c r="EPV20" s="12"/>
      <c r="EPW20" s="13"/>
      <c r="EPX20" s="9"/>
      <c r="EPY20" s="9"/>
      <c r="EPZ20" s="9"/>
      <c r="EQA20" s="9"/>
      <c r="EQB20" s="10"/>
      <c r="EQC20" s="11"/>
      <c r="EQD20" s="12"/>
      <c r="EQE20" s="12"/>
      <c r="EQF20" s="12"/>
      <c r="EQG20" s="13"/>
      <c r="EQH20" s="9"/>
      <c r="EQI20" s="9"/>
      <c r="EQJ20" s="9"/>
      <c r="EQK20" s="9"/>
      <c r="EQL20" s="10"/>
      <c r="EQM20" s="11"/>
      <c r="EQN20" s="12"/>
      <c r="EQO20" s="12"/>
      <c r="EQP20" s="12"/>
      <c r="EQQ20" s="13"/>
      <c r="EQR20" s="9"/>
      <c r="EQS20" s="9"/>
      <c r="EQT20" s="9"/>
      <c r="EQU20" s="9"/>
      <c r="EQV20" s="10"/>
      <c r="EQW20" s="11"/>
      <c r="EQX20" s="12"/>
      <c r="EQY20" s="12"/>
      <c r="EQZ20" s="12"/>
      <c r="ERA20" s="13"/>
      <c r="ERB20" s="9"/>
      <c r="ERC20" s="9"/>
      <c r="ERD20" s="9"/>
      <c r="ERE20" s="9"/>
      <c r="ERF20" s="10"/>
      <c r="ERG20" s="11"/>
      <c r="ERH20" s="12"/>
      <c r="ERI20" s="12"/>
      <c r="ERJ20" s="12"/>
      <c r="ERK20" s="13"/>
      <c r="ERL20" s="9"/>
      <c r="ERM20" s="9"/>
      <c r="ERN20" s="9"/>
      <c r="ERO20" s="9"/>
      <c r="ERP20" s="10"/>
      <c r="ERQ20" s="11"/>
      <c r="ERR20" s="12"/>
      <c r="ERS20" s="12"/>
      <c r="ERT20" s="12"/>
      <c r="ERU20" s="13"/>
      <c r="ERV20" s="9"/>
      <c r="ERW20" s="9"/>
      <c r="ERX20" s="9"/>
      <c r="ERY20" s="9"/>
      <c r="ERZ20" s="10"/>
      <c r="ESA20" s="11"/>
      <c r="ESB20" s="12"/>
      <c r="ESC20" s="12"/>
      <c r="ESD20" s="12"/>
      <c r="ESE20" s="13"/>
      <c r="ESF20" s="9"/>
      <c r="ESG20" s="9"/>
      <c r="ESH20" s="9"/>
      <c r="ESI20" s="9"/>
      <c r="ESJ20" s="10"/>
      <c r="ESK20" s="11"/>
      <c r="ESL20" s="12"/>
      <c r="ESM20" s="12"/>
      <c r="ESN20" s="12"/>
      <c r="ESO20" s="13"/>
      <c r="ESP20" s="9"/>
      <c r="ESQ20" s="9"/>
      <c r="ESR20" s="9"/>
      <c r="ESS20" s="9"/>
      <c r="EST20" s="10"/>
      <c r="ESU20" s="11"/>
      <c r="ESV20" s="12"/>
      <c r="ESW20" s="12"/>
      <c r="ESX20" s="12"/>
      <c r="ESY20" s="13"/>
      <c r="ESZ20" s="9"/>
      <c r="ETA20" s="9"/>
      <c r="ETB20" s="9"/>
      <c r="ETC20" s="9"/>
      <c r="ETD20" s="10"/>
      <c r="ETE20" s="11"/>
      <c r="ETF20" s="12"/>
      <c r="ETG20" s="12"/>
      <c r="ETH20" s="12"/>
      <c r="ETI20" s="13"/>
      <c r="ETJ20" s="9"/>
      <c r="ETK20" s="9"/>
      <c r="ETL20" s="9"/>
      <c r="ETM20" s="9"/>
      <c r="ETN20" s="10"/>
      <c r="ETO20" s="11"/>
      <c r="ETP20" s="12"/>
      <c r="ETQ20" s="12"/>
      <c r="ETR20" s="12"/>
      <c r="ETS20" s="13"/>
      <c r="ETT20" s="9"/>
      <c r="ETU20" s="9"/>
      <c r="ETV20" s="9"/>
      <c r="ETW20" s="9"/>
      <c r="ETX20" s="10"/>
      <c r="ETY20" s="11"/>
      <c r="ETZ20" s="12"/>
      <c r="EUA20" s="12"/>
      <c r="EUB20" s="12"/>
      <c r="EUC20" s="13"/>
      <c r="EUD20" s="9"/>
      <c r="EUE20" s="9"/>
      <c r="EUF20" s="9"/>
      <c r="EUG20" s="9"/>
      <c r="EUH20" s="10"/>
      <c r="EUI20" s="11"/>
      <c r="EUJ20" s="12"/>
      <c r="EUK20" s="12"/>
      <c r="EUL20" s="12"/>
      <c r="EUM20" s="13"/>
      <c r="EUN20" s="9"/>
      <c r="EUO20" s="9"/>
      <c r="EUP20" s="9"/>
      <c r="EUQ20" s="9"/>
      <c r="EUR20" s="10"/>
      <c r="EUS20" s="11"/>
      <c r="EUT20" s="12"/>
      <c r="EUU20" s="12"/>
      <c r="EUV20" s="12"/>
      <c r="EUW20" s="13"/>
      <c r="EUX20" s="9"/>
      <c r="EUY20" s="9"/>
      <c r="EUZ20" s="9"/>
      <c r="EVA20" s="9"/>
      <c r="EVB20" s="10"/>
      <c r="EVC20" s="11"/>
      <c r="EVD20" s="12"/>
      <c r="EVE20" s="12"/>
      <c r="EVF20" s="12"/>
      <c r="EVG20" s="13"/>
      <c r="EVH20" s="9"/>
      <c r="EVI20" s="9"/>
      <c r="EVJ20" s="9"/>
      <c r="EVK20" s="9"/>
      <c r="EVL20" s="10"/>
      <c r="EVM20" s="11"/>
      <c r="EVN20" s="12"/>
      <c r="EVO20" s="12"/>
      <c r="EVP20" s="12"/>
      <c r="EVQ20" s="13"/>
      <c r="EVR20" s="9"/>
      <c r="EVS20" s="9"/>
      <c r="EVT20" s="9"/>
      <c r="EVU20" s="9"/>
      <c r="EVV20" s="10"/>
      <c r="EVW20" s="11"/>
      <c r="EVX20" s="12"/>
      <c r="EVY20" s="12"/>
      <c r="EVZ20" s="12"/>
      <c r="EWA20" s="13"/>
      <c r="EWB20" s="9"/>
      <c r="EWC20" s="9"/>
      <c r="EWD20" s="9"/>
      <c r="EWE20" s="9"/>
      <c r="EWF20" s="10"/>
      <c r="EWG20" s="11"/>
      <c r="EWH20" s="12"/>
      <c r="EWI20" s="12"/>
      <c r="EWJ20" s="12"/>
      <c r="EWK20" s="13"/>
      <c r="EWL20" s="9"/>
      <c r="EWM20" s="9"/>
      <c r="EWN20" s="9"/>
      <c r="EWO20" s="9"/>
      <c r="EWP20" s="10"/>
      <c r="EWQ20" s="11"/>
      <c r="EWR20" s="12"/>
      <c r="EWS20" s="12"/>
      <c r="EWT20" s="12"/>
      <c r="EWU20" s="13"/>
      <c r="EWV20" s="9"/>
      <c r="EWW20" s="9"/>
      <c r="EWX20" s="9"/>
      <c r="EWY20" s="9"/>
      <c r="EWZ20" s="10"/>
      <c r="EXA20" s="11"/>
      <c r="EXB20" s="12"/>
      <c r="EXC20" s="12"/>
      <c r="EXD20" s="12"/>
      <c r="EXE20" s="13"/>
      <c r="EXF20" s="9"/>
      <c r="EXG20" s="9"/>
      <c r="EXH20" s="9"/>
      <c r="EXI20" s="9"/>
      <c r="EXJ20" s="10"/>
      <c r="EXK20" s="11"/>
      <c r="EXL20" s="12"/>
      <c r="EXM20" s="12"/>
      <c r="EXN20" s="12"/>
      <c r="EXO20" s="13"/>
      <c r="EXP20" s="9"/>
      <c r="EXQ20" s="9"/>
      <c r="EXR20" s="9"/>
      <c r="EXS20" s="9"/>
      <c r="EXT20" s="10"/>
      <c r="EXU20" s="11"/>
      <c r="EXV20" s="12"/>
      <c r="EXW20" s="12"/>
      <c r="EXX20" s="12"/>
      <c r="EXY20" s="13"/>
      <c r="EXZ20" s="9"/>
      <c r="EYA20" s="9"/>
      <c r="EYB20" s="9"/>
      <c r="EYC20" s="9"/>
      <c r="EYD20" s="10"/>
      <c r="EYE20" s="11"/>
      <c r="EYF20" s="12"/>
      <c r="EYG20" s="12"/>
      <c r="EYH20" s="12"/>
      <c r="EYI20" s="13"/>
      <c r="EYJ20" s="9"/>
      <c r="EYK20" s="9"/>
      <c r="EYL20" s="9"/>
      <c r="EYM20" s="9"/>
      <c r="EYN20" s="10"/>
      <c r="EYO20" s="11"/>
      <c r="EYP20" s="12"/>
      <c r="EYQ20" s="12"/>
      <c r="EYR20" s="12"/>
      <c r="EYS20" s="13"/>
      <c r="EYT20" s="9"/>
      <c r="EYU20" s="9"/>
      <c r="EYV20" s="9"/>
      <c r="EYW20" s="9"/>
      <c r="EYX20" s="10"/>
      <c r="EYY20" s="11"/>
      <c r="EYZ20" s="12"/>
      <c r="EZA20" s="12"/>
      <c r="EZB20" s="12"/>
      <c r="EZC20" s="13"/>
      <c r="EZD20" s="9"/>
      <c r="EZE20" s="9"/>
      <c r="EZF20" s="9"/>
      <c r="EZG20" s="9"/>
      <c r="EZH20" s="10"/>
      <c r="EZI20" s="11"/>
      <c r="EZJ20" s="12"/>
      <c r="EZK20" s="12"/>
      <c r="EZL20" s="12"/>
      <c r="EZM20" s="13"/>
      <c r="EZN20" s="9"/>
      <c r="EZO20" s="9"/>
      <c r="EZP20" s="9"/>
      <c r="EZQ20" s="9"/>
      <c r="EZR20" s="10"/>
      <c r="EZS20" s="11"/>
      <c r="EZT20" s="12"/>
      <c r="EZU20" s="12"/>
      <c r="EZV20" s="12"/>
      <c r="EZW20" s="13"/>
      <c r="EZX20" s="9"/>
      <c r="EZY20" s="9"/>
      <c r="EZZ20" s="9"/>
      <c r="FAA20" s="9"/>
      <c r="FAB20" s="10"/>
      <c r="FAC20" s="11"/>
      <c r="FAD20" s="12"/>
      <c r="FAE20" s="12"/>
      <c r="FAF20" s="12"/>
      <c r="FAG20" s="13"/>
      <c r="FAH20" s="9"/>
      <c r="FAI20" s="9"/>
      <c r="FAJ20" s="9"/>
      <c r="FAK20" s="9"/>
      <c r="FAL20" s="10"/>
      <c r="FAM20" s="11"/>
      <c r="FAN20" s="12"/>
      <c r="FAO20" s="12"/>
      <c r="FAP20" s="12"/>
      <c r="FAQ20" s="13"/>
      <c r="FAR20" s="9"/>
      <c r="FAS20" s="9"/>
      <c r="FAT20" s="9"/>
      <c r="FAU20" s="9"/>
      <c r="FAV20" s="10"/>
      <c r="FAW20" s="11"/>
      <c r="FAX20" s="12"/>
      <c r="FAY20" s="12"/>
      <c r="FAZ20" s="12"/>
      <c r="FBA20" s="13"/>
      <c r="FBB20" s="9"/>
      <c r="FBC20" s="9"/>
      <c r="FBD20" s="9"/>
      <c r="FBE20" s="9"/>
      <c r="FBF20" s="10"/>
      <c r="FBG20" s="11"/>
      <c r="FBH20" s="12"/>
      <c r="FBI20" s="12"/>
      <c r="FBJ20" s="12"/>
      <c r="FBK20" s="13"/>
      <c r="FBL20" s="9"/>
      <c r="FBM20" s="9"/>
      <c r="FBN20" s="9"/>
      <c r="FBO20" s="9"/>
      <c r="FBP20" s="10"/>
      <c r="FBQ20" s="11"/>
      <c r="FBR20" s="12"/>
      <c r="FBS20" s="12"/>
      <c r="FBT20" s="12"/>
      <c r="FBU20" s="13"/>
      <c r="FBV20" s="9"/>
      <c r="FBW20" s="9"/>
      <c r="FBX20" s="9"/>
      <c r="FBY20" s="9"/>
      <c r="FBZ20" s="10"/>
      <c r="FCA20" s="11"/>
      <c r="FCB20" s="12"/>
      <c r="FCC20" s="12"/>
      <c r="FCD20" s="12"/>
      <c r="FCE20" s="13"/>
      <c r="FCF20" s="9"/>
      <c r="FCG20" s="9"/>
      <c r="FCH20" s="9"/>
      <c r="FCI20" s="9"/>
      <c r="FCJ20" s="10"/>
      <c r="FCK20" s="11"/>
      <c r="FCL20" s="12"/>
      <c r="FCM20" s="12"/>
      <c r="FCN20" s="12"/>
      <c r="FCO20" s="13"/>
      <c r="FCP20" s="9"/>
      <c r="FCQ20" s="9"/>
      <c r="FCR20" s="9"/>
      <c r="FCS20" s="9"/>
      <c r="FCT20" s="10"/>
      <c r="FCU20" s="11"/>
      <c r="FCV20" s="12"/>
      <c r="FCW20" s="12"/>
      <c r="FCX20" s="12"/>
      <c r="FCY20" s="13"/>
      <c r="FCZ20" s="9"/>
      <c r="FDA20" s="9"/>
      <c r="FDB20" s="9"/>
      <c r="FDC20" s="9"/>
      <c r="FDD20" s="10"/>
      <c r="FDE20" s="11"/>
      <c r="FDF20" s="12"/>
      <c r="FDG20" s="12"/>
      <c r="FDH20" s="12"/>
      <c r="FDI20" s="13"/>
      <c r="FDJ20" s="9"/>
      <c r="FDK20" s="9"/>
      <c r="FDL20" s="9"/>
      <c r="FDM20" s="9"/>
      <c r="FDN20" s="10"/>
      <c r="FDO20" s="11"/>
      <c r="FDP20" s="12"/>
      <c r="FDQ20" s="12"/>
      <c r="FDR20" s="12"/>
      <c r="FDS20" s="13"/>
      <c r="FDT20" s="9"/>
      <c r="FDU20" s="9"/>
      <c r="FDV20" s="9"/>
      <c r="FDW20" s="9"/>
      <c r="FDX20" s="10"/>
      <c r="FDY20" s="11"/>
      <c r="FDZ20" s="12"/>
      <c r="FEA20" s="12"/>
      <c r="FEB20" s="12"/>
      <c r="FEC20" s="13"/>
      <c r="FED20" s="9"/>
      <c r="FEE20" s="9"/>
      <c r="FEF20" s="9"/>
      <c r="FEG20" s="9"/>
      <c r="FEH20" s="10"/>
      <c r="FEI20" s="11"/>
      <c r="FEJ20" s="12"/>
      <c r="FEK20" s="12"/>
      <c r="FEL20" s="12"/>
      <c r="FEM20" s="13"/>
      <c r="FEN20" s="9"/>
      <c r="FEO20" s="9"/>
      <c r="FEP20" s="9"/>
      <c r="FEQ20" s="9"/>
      <c r="FER20" s="10"/>
      <c r="FES20" s="11"/>
      <c r="FET20" s="12"/>
      <c r="FEU20" s="12"/>
      <c r="FEV20" s="12"/>
      <c r="FEW20" s="13"/>
      <c r="FEX20" s="9"/>
      <c r="FEY20" s="9"/>
      <c r="FEZ20" s="9"/>
      <c r="FFA20" s="9"/>
      <c r="FFB20" s="10"/>
      <c r="FFC20" s="11"/>
      <c r="FFD20" s="12"/>
      <c r="FFE20" s="12"/>
      <c r="FFF20" s="12"/>
      <c r="FFG20" s="13"/>
      <c r="FFH20" s="9"/>
      <c r="FFI20" s="9"/>
      <c r="FFJ20" s="9"/>
      <c r="FFK20" s="9"/>
      <c r="FFL20" s="10"/>
      <c r="FFM20" s="11"/>
      <c r="FFN20" s="12"/>
      <c r="FFO20" s="12"/>
      <c r="FFP20" s="12"/>
      <c r="FFQ20" s="13"/>
      <c r="FFR20" s="9"/>
      <c r="FFS20" s="9"/>
      <c r="FFT20" s="9"/>
      <c r="FFU20" s="9"/>
      <c r="FFV20" s="10"/>
      <c r="FFW20" s="11"/>
      <c r="FFX20" s="12"/>
      <c r="FFY20" s="12"/>
      <c r="FFZ20" s="12"/>
      <c r="FGA20" s="13"/>
      <c r="FGB20" s="9"/>
      <c r="FGC20" s="9"/>
      <c r="FGD20" s="9"/>
      <c r="FGE20" s="9"/>
      <c r="FGF20" s="10"/>
      <c r="FGG20" s="11"/>
      <c r="FGH20" s="12"/>
      <c r="FGI20" s="12"/>
      <c r="FGJ20" s="12"/>
      <c r="FGK20" s="13"/>
      <c r="FGL20" s="9"/>
      <c r="FGM20" s="9"/>
      <c r="FGN20" s="9"/>
      <c r="FGO20" s="9"/>
      <c r="FGP20" s="10"/>
      <c r="FGQ20" s="11"/>
      <c r="FGR20" s="12"/>
      <c r="FGS20" s="12"/>
      <c r="FGT20" s="12"/>
      <c r="FGU20" s="13"/>
      <c r="FGV20" s="9"/>
      <c r="FGW20" s="9"/>
      <c r="FGX20" s="9"/>
      <c r="FGY20" s="9"/>
      <c r="FGZ20" s="10"/>
      <c r="FHA20" s="11"/>
      <c r="FHB20" s="12"/>
      <c r="FHC20" s="12"/>
      <c r="FHD20" s="12"/>
      <c r="FHE20" s="13"/>
      <c r="FHF20" s="9"/>
      <c r="FHG20" s="9"/>
      <c r="FHH20" s="9"/>
      <c r="FHI20" s="9"/>
      <c r="FHJ20" s="10"/>
      <c r="FHK20" s="11"/>
      <c r="FHL20" s="12"/>
      <c r="FHM20" s="12"/>
      <c r="FHN20" s="12"/>
      <c r="FHO20" s="13"/>
      <c r="FHP20" s="9"/>
      <c r="FHQ20" s="9"/>
      <c r="FHR20" s="9"/>
      <c r="FHS20" s="9"/>
      <c r="FHT20" s="10"/>
      <c r="FHU20" s="11"/>
      <c r="FHV20" s="12"/>
      <c r="FHW20" s="12"/>
      <c r="FHX20" s="12"/>
      <c r="FHY20" s="13"/>
      <c r="FHZ20" s="9"/>
      <c r="FIA20" s="9"/>
      <c r="FIB20" s="9"/>
      <c r="FIC20" s="9"/>
      <c r="FID20" s="10"/>
      <c r="FIE20" s="11"/>
      <c r="FIF20" s="12"/>
      <c r="FIG20" s="12"/>
      <c r="FIH20" s="12"/>
      <c r="FII20" s="13"/>
      <c r="FIJ20" s="9"/>
      <c r="FIK20" s="9"/>
      <c r="FIL20" s="9"/>
      <c r="FIM20" s="9"/>
      <c r="FIN20" s="10"/>
      <c r="FIO20" s="11"/>
      <c r="FIP20" s="12"/>
      <c r="FIQ20" s="12"/>
      <c r="FIR20" s="12"/>
      <c r="FIS20" s="13"/>
      <c r="FIT20" s="9"/>
      <c r="FIU20" s="9"/>
      <c r="FIV20" s="9"/>
      <c r="FIW20" s="9"/>
      <c r="FIX20" s="10"/>
      <c r="FIY20" s="11"/>
      <c r="FIZ20" s="12"/>
      <c r="FJA20" s="12"/>
      <c r="FJB20" s="12"/>
      <c r="FJC20" s="13"/>
      <c r="FJD20" s="9"/>
      <c r="FJE20" s="9"/>
      <c r="FJF20" s="9"/>
      <c r="FJG20" s="9"/>
      <c r="FJH20" s="10"/>
      <c r="FJI20" s="11"/>
      <c r="FJJ20" s="12"/>
      <c r="FJK20" s="12"/>
      <c r="FJL20" s="12"/>
      <c r="FJM20" s="13"/>
      <c r="FJN20" s="9"/>
      <c r="FJO20" s="9"/>
      <c r="FJP20" s="9"/>
      <c r="FJQ20" s="9"/>
      <c r="FJR20" s="10"/>
      <c r="FJS20" s="11"/>
      <c r="FJT20" s="12"/>
      <c r="FJU20" s="12"/>
      <c r="FJV20" s="12"/>
      <c r="FJW20" s="13"/>
      <c r="FJX20" s="9"/>
      <c r="FJY20" s="9"/>
      <c r="FJZ20" s="9"/>
      <c r="FKA20" s="9"/>
      <c r="FKB20" s="10"/>
      <c r="FKC20" s="11"/>
      <c r="FKD20" s="12"/>
      <c r="FKE20" s="12"/>
      <c r="FKF20" s="12"/>
      <c r="FKG20" s="13"/>
      <c r="FKH20" s="9"/>
      <c r="FKI20" s="9"/>
      <c r="FKJ20" s="9"/>
      <c r="FKK20" s="9"/>
      <c r="FKL20" s="10"/>
      <c r="FKM20" s="11"/>
      <c r="FKN20" s="12"/>
      <c r="FKO20" s="12"/>
      <c r="FKP20" s="12"/>
      <c r="FKQ20" s="13"/>
      <c r="FKR20" s="9"/>
      <c r="FKS20" s="9"/>
      <c r="FKT20" s="9"/>
      <c r="FKU20" s="9"/>
      <c r="FKV20" s="10"/>
      <c r="FKW20" s="11"/>
      <c r="FKX20" s="12"/>
      <c r="FKY20" s="12"/>
      <c r="FKZ20" s="12"/>
      <c r="FLA20" s="13"/>
      <c r="FLB20" s="9"/>
      <c r="FLC20" s="9"/>
      <c r="FLD20" s="9"/>
      <c r="FLE20" s="9"/>
      <c r="FLF20" s="10"/>
      <c r="FLG20" s="11"/>
      <c r="FLH20" s="12"/>
      <c r="FLI20" s="12"/>
      <c r="FLJ20" s="12"/>
      <c r="FLK20" s="13"/>
      <c r="FLL20" s="9"/>
      <c r="FLM20" s="9"/>
      <c r="FLN20" s="9"/>
      <c r="FLO20" s="9"/>
      <c r="FLP20" s="10"/>
      <c r="FLQ20" s="11"/>
      <c r="FLR20" s="12"/>
      <c r="FLS20" s="12"/>
      <c r="FLT20" s="12"/>
      <c r="FLU20" s="13"/>
      <c r="FLV20" s="9"/>
      <c r="FLW20" s="9"/>
      <c r="FLX20" s="9"/>
      <c r="FLY20" s="9"/>
      <c r="FLZ20" s="10"/>
      <c r="FMA20" s="11"/>
      <c r="FMB20" s="12"/>
      <c r="FMC20" s="12"/>
      <c r="FMD20" s="12"/>
      <c r="FME20" s="13"/>
      <c r="FMF20" s="9"/>
      <c r="FMG20" s="9"/>
      <c r="FMH20" s="9"/>
      <c r="FMI20" s="9"/>
      <c r="FMJ20" s="10"/>
      <c r="FMK20" s="11"/>
      <c r="FML20" s="12"/>
      <c r="FMM20" s="12"/>
      <c r="FMN20" s="12"/>
      <c r="FMO20" s="13"/>
      <c r="FMP20" s="9"/>
      <c r="FMQ20" s="9"/>
      <c r="FMR20" s="9"/>
      <c r="FMS20" s="9"/>
      <c r="FMT20" s="10"/>
      <c r="FMU20" s="11"/>
      <c r="FMV20" s="12"/>
      <c r="FMW20" s="12"/>
      <c r="FMX20" s="12"/>
      <c r="FMY20" s="13"/>
      <c r="FMZ20" s="9"/>
      <c r="FNA20" s="9"/>
      <c r="FNB20" s="9"/>
      <c r="FNC20" s="9"/>
      <c r="FND20" s="10"/>
      <c r="FNE20" s="11"/>
      <c r="FNF20" s="12"/>
      <c r="FNG20" s="12"/>
      <c r="FNH20" s="12"/>
      <c r="FNI20" s="13"/>
      <c r="FNJ20" s="9"/>
      <c r="FNK20" s="9"/>
      <c r="FNL20" s="9"/>
      <c r="FNM20" s="9"/>
      <c r="FNN20" s="10"/>
      <c r="FNO20" s="11"/>
      <c r="FNP20" s="12"/>
      <c r="FNQ20" s="12"/>
      <c r="FNR20" s="12"/>
      <c r="FNS20" s="13"/>
      <c r="FNT20" s="9"/>
      <c r="FNU20" s="9"/>
      <c r="FNV20" s="9"/>
      <c r="FNW20" s="9"/>
      <c r="FNX20" s="10"/>
      <c r="FNY20" s="11"/>
      <c r="FNZ20" s="12"/>
      <c r="FOA20" s="12"/>
      <c r="FOB20" s="12"/>
      <c r="FOC20" s="13"/>
      <c r="FOD20" s="9"/>
      <c r="FOE20" s="9"/>
      <c r="FOF20" s="9"/>
      <c r="FOG20" s="9"/>
      <c r="FOH20" s="10"/>
      <c r="FOI20" s="11"/>
      <c r="FOJ20" s="12"/>
      <c r="FOK20" s="12"/>
      <c r="FOL20" s="12"/>
      <c r="FOM20" s="13"/>
      <c r="FON20" s="9"/>
      <c r="FOO20" s="9"/>
      <c r="FOP20" s="9"/>
      <c r="FOQ20" s="9"/>
      <c r="FOR20" s="10"/>
      <c r="FOS20" s="11"/>
      <c r="FOT20" s="12"/>
      <c r="FOU20" s="12"/>
      <c r="FOV20" s="12"/>
      <c r="FOW20" s="13"/>
      <c r="FOX20" s="9"/>
      <c r="FOY20" s="9"/>
      <c r="FOZ20" s="9"/>
      <c r="FPA20" s="9"/>
      <c r="FPB20" s="10"/>
      <c r="FPC20" s="11"/>
      <c r="FPD20" s="12"/>
      <c r="FPE20" s="12"/>
      <c r="FPF20" s="12"/>
      <c r="FPG20" s="13"/>
      <c r="FPH20" s="9"/>
      <c r="FPI20" s="9"/>
      <c r="FPJ20" s="9"/>
      <c r="FPK20" s="9"/>
      <c r="FPL20" s="10"/>
      <c r="FPM20" s="11"/>
      <c r="FPN20" s="12"/>
      <c r="FPO20" s="12"/>
      <c r="FPP20" s="12"/>
      <c r="FPQ20" s="13"/>
      <c r="FPR20" s="9"/>
      <c r="FPS20" s="9"/>
      <c r="FPT20" s="9"/>
      <c r="FPU20" s="9"/>
      <c r="FPV20" s="10"/>
      <c r="FPW20" s="11"/>
      <c r="FPX20" s="12"/>
      <c r="FPY20" s="12"/>
      <c r="FPZ20" s="12"/>
      <c r="FQA20" s="13"/>
      <c r="FQB20" s="9"/>
      <c r="FQC20" s="9"/>
      <c r="FQD20" s="9"/>
      <c r="FQE20" s="9"/>
      <c r="FQF20" s="10"/>
      <c r="FQG20" s="11"/>
      <c r="FQH20" s="12"/>
      <c r="FQI20" s="12"/>
      <c r="FQJ20" s="12"/>
      <c r="FQK20" s="13"/>
      <c r="FQL20" s="9"/>
      <c r="FQM20" s="9"/>
      <c r="FQN20" s="9"/>
      <c r="FQO20" s="9"/>
      <c r="FQP20" s="10"/>
      <c r="FQQ20" s="11"/>
      <c r="FQR20" s="12"/>
      <c r="FQS20" s="12"/>
      <c r="FQT20" s="12"/>
      <c r="FQU20" s="13"/>
      <c r="FQV20" s="9"/>
      <c r="FQW20" s="9"/>
      <c r="FQX20" s="9"/>
      <c r="FQY20" s="9"/>
      <c r="FQZ20" s="10"/>
      <c r="FRA20" s="11"/>
      <c r="FRB20" s="12"/>
      <c r="FRC20" s="12"/>
      <c r="FRD20" s="12"/>
      <c r="FRE20" s="13"/>
      <c r="FRF20" s="9"/>
      <c r="FRG20" s="9"/>
      <c r="FRH20" s="9"/>
      <c r="FRI20" s="9"/>
      <c r="FRJ20" s="10"/>
      <c r="FRK20" s="11"/>
      <c r="FRL20" s="12"/>
      <c r="FRM20" s="12"/>
      <c r="FRN20" s="12"/>
      <c r="FRO20" s="13"/>
      <c r="FRP20" s="9"/>
      <c r="FRQ20" s="9"/>
      <c r="FRR20" s="9"/>
      <c r="FRS20" s="9"/>
      <c r="FRT20" s="10"/>
      <c r="FRU20" s="11"/>
      <c r="FRV20" s="12"/>
      <c r="FRW20" s="12"/>
      <c r="FRX20" s="12"/>
      <c r="FRY20" s="13"/>
      <c r="FRZ20" s="9"/>
      <c r="FSA20" s="9"/>
      <c r="FSB20" s="9"/>
      <c r="FSC20" s="9"/>
      <c r="FSD20" s="10"/>
      <c r="FSE20" s="11"/>
      <c r="FSF20" s="12"/>
      <c r="FSG20" s="12"/>
      <c r="FSH20" s="12"/>
      <c r="FSI20" s="13"/>
      <c r="FSJ20" s="9"/>
      <c r="FSK20" s="9"/>
      <c r="FSL20" s="9"/>
      <c r="FSM20" s="9"/>
      <c r="FSN20" s="10"/>
      <c r="FSO20" s="11"/>
      <c r="FSP20" s="12"/>
      <c r="FSQ20" s="12"/>
      <c r="FSR20" s="12"/>
      <c r="FSS20" s="13"/>
      <c r="FST20" s="9"/>
      <c r="FSU20" s="9"/>
      <c r="FSV20" s="9"/>
      <c r="FSW20" s="9"/>
      <c r="FSX20" s="10"/>
      <c r="FSY20" s="11"/>
      <c r="FSZ20" s="12"/>
      <c r="FTA20" s="12"/>
      <c r="FTB20" s="12"/>
      <c r="FTC20" s="13"/>
      <c r="FTD20" s="9"/>
      <c r="FTE20" s="9"/>
      <c r="FTF20" s="9"/>
      <c r="FTG20" s="9"/>
      <c r="FTH20" s="10"/>
      <c r="FTI20" s="11"/>
      <c r="FTJ20" s="12"/>
      <c r="FTK20" s="12"/>
      <c r="FTL20" s="12"/>
      <c r="FTM20" s="13"/>
      <c r="FTN20" s="9"/>
      <c r="FTO20" s="9"/>
      <c r="FTP20" s="9"/>
      <c r="FTQ20" s="9"/>
      <c r="FTR20" s="10"/>
      <c r="FTS20" s="11"/>
      <c r="FTT20" s="12"/>
      <c r="FTU20" s="12"/>
      <c r="FTV20" s="12"/>
      <c r="FTW20" s="13"/>
      <c r="FTX20" s="9"/>
      <c r="FTY20" s="9"/>
      <c r="FTZ20" s="9"/>
      <c r="FUA20" s="9"/>
      <c r="FUB20" s="10"/>
      <c r="FUC20" s="11"/>
      <c r="FUD20" s="12"/>
      <c r="FUE20" s="12"/>
      <c r="FUF20" s="12"/>
      <c r="FUG20" s="13"/>
      <c r="FUH20" s="9"/>
      <c r="FUI20" s="9"/>
      <c r="FUJ20" s="9"/>
      <c r="FUK20" s="9"/>
      <c r="FUL20" s="10"/>
      <c r="FUM20" s="11"/>
      <c r="FUN20" s="12"/>
      <c r="FUO20" s="12"/>
      <c r="FUP20" s="12"/>
      <c r="FUQ20" s="13"/>
      <c r="FUR20" s="9"/>
      <c r="FUS20" s="9"/>
      <c r="FUT20" s="9"/>
      <c r="FUU20" s="9"/>
      <c r="FUV20" s="10"/>
      <c r="FUW20" s="11"/>
      <c r="FUX20" s="12"/>
      <c r="FUY20" s="12"/>
      <c r="FUZ20" s="12"/>
      <c r="FVA20" s="13"/>
      <c r="FVB20" s="9"/>
      <c r="FVC20" s="9"/>
      <c r="FVD20" s="9"/>
      <c r="FVE20" s="9"/>
      <c r="FVF20" s="10"/>
      <c r="FVG20" s="11"/>
      <c r="FVH20" s="12"/>
      <c r="FVI20" s="12"/>
      <c r="FVJ20" s="12"/>
      <c r="FVK20" s="13"/>
      <c r="FVL20" s="9"/>
      <c r="FVM20" s="9"/>
      <c r="FVN20" s="9"/>
      <c r="FVO20" s="9"/>
      <c r="FVP20" s="10"/>
      <c r="FVQ20" s="11"/>
      <c r="FVR20" s="12"/>
      <c r="FVS20" s="12"/>
      <c r="FVT20" s="12"/>
      <c r="FVU20" s="13"/>
      <c r="FVV20" s="9"/>
      <c r="FVW20" s="9"/>
      <c r="FVX20" s="9"/>
      <c r="FVY20" s="9"/>
      <c r="FVZ20" s="10"/>
      <c r="FWA20" s="11"/>
      <c r="FWB20" s="12"/>
      <c r="FWC20" s="12"/>
      <c r="FWD20" s="12"/>
      <c r="FWE20" s="13"/>
      <c r="FWF20" s="9"/>
      <c r="FWG20" s="9"/>
      <c r="FWH20" s="9"/>
      <c r="FWI20" s="9"/>
      <c r="FWJ20" s="10"/>
      <c r="FWK20" s="11"/>
      <c r="FWL20" s="12"/>
      <c r="FWM20" s="12"/>
      <c r="FWN20" s="12"/>
      <c r="FWO20" s="13"/>
      <c r="FWP20" s="9"/>
      <c r="FWQ20" s="9"/>
      <c r="FWR20" s="9"/>
      <c r="FWS20" s="9"/>
      <c r="FWT20" s="10"/>
      <c r="FWU20" s="11"/>
      <c r="FWV20" s="12"/>
      <c r="FWW20" s="12"/>
      <c r="FWX20" s="12"/>
      <c r="FWY20" s="13"/>
      <c r="FWZ20" s="9"/>
      <c r="FXA20" s="9"/>
      <c r="FXB20" s="9"/>
      <c r="FXC20" s="9"/>
      <c r="FXD20" s="10"/>
      <c r="FXE20" s="11"/>
      <c r="FXF20" s="12"/>
      <c r="FXG20" s="12"/>
      <c r="FXH20" s="12"/>
      <c r="FXI20" s="13"/>
      <c r="FXJ20" s="9"/>
      <c r="FXK20" s="9"/>
      <c r="FXL20" s="9"/>
      <c r="FXM20" s="9"/>
      <c r="FXN20" s="10"/>
      <c r="FXO20" s="11"/>
      <c r="FXP20" s="12"/>
      <c r="FXQ20" s="12"/>
      <c r="FXR20" s="12"/>
      <c r="FXS20" s="13"/>
      <c r="FXT20" s="9"/>
      <c r="FXU20" s="9"/>
      <c r="FXV20" s="9"/>
      <c r="FXW20" s="9"/>
      <c r="FXX20" s="10"/>
      <c r="FXY20" s="11"/>
      <c r="FXZ20" s="12"/>
      <c r="FYA20" s="12"/>
      <c r="FYB20" s="12"/>
      <c r="FYC20" s="13"/>
      <c r="FYD20" s="9"/>
      <c r="FYE20" s="9"/>
      <c r="FYF20" s="9"/>
      <c r="FYG20" s="9"/>
      <c r="FYH20" s="10"/>
      <c r="FYI20" s="11"/>
      <c r="FYJ20" s="12"/>
      <c r="FYK20" s="12"/>
      <c r="FYL20" s="12"/>
      <c r="FYM20" s="13"/>
      <c r="FYN20" s="9"/>
      <c r="FYO20" s="9"/>
      <c r="FYP20" s="9"/>
      <c r="FYQ20" s="9"/>
      <c r="FYR20" s="10"/>
      <c r="FYS20" s="11"/>
      <c r="FYT20" s="12"/>
      <c r="FYU20" s="12"/>
      <c r="FYV20" s="12"/>
      <c r="FYW20" s="13"/>
      <c r="FYX20" s="9"/>
      <c r="FYY20" s="9"/>
      <c r="FYZ20" s="9"/>
      <c r="FZA20" s="9"/>
      <c r="FZB20" s="10"/>
      <c r="FZC20" s="11"/>
      <c r="FZD20" s="12"/>
      <c r="FZE20" s="12"/>
      <c r="FZF20" s="12"/>
      <c r="FZG20" s="13"/>
      <c r="FZH20" s="9"/>
      <c r="FZI20" s="9"/>
      <c r="FZJ20" s="9"/>
      <c r="FZK20" s="9"/>
      <c r="FZL20" s="10"/>
      <c r="FZM20" s="11"/>
      <c r="FZN20" s="12"/>
      <c r="FZO20" s="12"/>
      <c r="FZP20" s="12"/>
      <c r="FZQ20" s="13"/>
      <c r="FZR20" s="9"/>
      <c r="FZS20" s="9"/>
      <c r="FZT20" s="9"/>
      <c r="FZU20" s="9"/>
      <c r="FZV20" s="10"/>
      <c r="FZW20" s="11"/>
      <c r="FZX20" s="12"/>
      <c r="FZY20" s="12"/>
      <c r="FZZ20" s="12"/>
      <c r="GAA20" s="13"/>
      <c r="GAB20" s="9"/>
      <c r="GAC20" s="9"/>
      <c r="GAD20" s="9"/>
      <c r="GAE20" s="9"/>
      <c r="GAF20" s="10"/>
      <c r="GAG20" s="11"/>
      <c r="GAH20" s="12"/>
      <c r="GAI20" s="12"/>
      <c r="GAJ20" s="12"/>
      <c r="GAK20" s="13"/>
      <c r="GAL20" s="9"/>
      <c r="GAM20" s="9"/>
      <c r="GAN20" s="9"/>
      <c r="GAO20" s="9"/>
      <c r="GAP20" s="10"/>
      <c r="GAQ20" s="11"/>
      <c r="GAR20" s="12"/>
      <c r="GAS20" s="12"/>
      <c r="GAT20" s="12"/>
      <c r="GAU20" s="13"/>
      <c r="GAV20" s="9"/>
      <c r="GAW20" s="9"/>
      <c r="GAX20" s="9"/>
      <c r="GAY20" s="9"/>
      <c r="GAZ20" s="10"/>
      <c r="GBA20" s="11"/>
      <c r="GBB20" s="12"/>
      <c r="GBC20" s="12"/>
      <c r="GBD20" s="12"/>
      <c r="GBE20" s="13"/>
      <c r="GBF20" s="9"/>
      <c r="GBG20" s="9"/>
      <c r="GBH20" s="9"/>
      <c r="GBI20" s="9"/>
      <c r="GBJ20" s="10"/>
      <c r="GBK20" s="11"/>
      <c r="GBL20" s="12"/>
      <c r="GBM20" s="12"/>
      <c r="GBN20" s="12"/>
      <c r="GBO20" s="13"/>
      <c r="GBP20" s="9"/>
      <c r="GBQ20" s="9"/>
      <c r="GBR20" s="9"/>
      <c r="GBS20" s="9"/>
      <c r="GBT20" s="10"/>
      <c r="GBU20" s="11"/>
      <c r="GBV20" s="12"/>
      <c r="GBW20" s="12"/>
      <c r="GBX20" s="12"/>
      <c r="GBY20" s="13"/>
      <c r="GBZ20" s="9"/>
      <c r="GCA20" s="9"/>
      <c r="GCB20" s="9"/>
      <c r="GCC20" s="9"/>
      <c r="GCD20" s="10"/>
      <c r="GCE20" s="11"/>
      <c r="GCF20" s="12"/>
      <c r="GCG20" s="12"/>
      <c r="GCH20" s="12"/>
      <c r="GCI20" s="13"/>
      <c r="GCJ20" s="9"/>
      <c r="GCK20" s="9"/>
      <c r="GCL20" s="9"/>
      <c r="GCM20" s="9"/>
      <c r="GCN20" s="10"/>
      <c r="GCO20" s="11"/>
      <c r="GCP20" s="12"/>
      <c r="GCQ20" s="12"/>
      <c r="GCR20" s="12"/>
      <c r="GCS20" s="13"/>
      <c r="GCT20" s="9"/>
      <c r="GCU20" s="9"/>
      <c r="GCV20" s="9"/>
      <c r="GCW20" s="9"/>
      <c r="GCX20" s="10"/>
      <c r="GCY20" s="11"/>
      <c r="GCZ20" s="12"/>
      <c r="GDA20" s="12"/>
      <c r="GDB20" s="12"/>
      <c r="GDC20" s="13"/>
      <c r="GDD20" s="9"/>
      <c r="GDE20" s="9"/>
      <c r="GDF20" s="9"/>
      <c r="GDG20" s="9"/>
      <c r="GDH20" s="10"/>
      <c r="GDI20" s="11"/>
      <c r="GDJ20" s="12"/>
      <c r="GDK20" s="12"/>
      <c r="GDL20" s="12"/>
      <c r="GDM20" s="13"/>
      <c r="GDN20" s="9"/>
      <c r="GDO20" s="9"/>
      <c r="GDP20" s="9"/>
      <c r="GDQ20" s="9"/>
      <c r="GDR20" s="10"/>
      <c r="GDS20" s="11"/>
      <c r="GDT20" s="12"/>
      <c r="GDU20" s="12"/>
      <c r="GDV20" s="12"/>
      <c r="GDW20" s="13"/>
      <c r="GDX20" s="9"/>
      <c r="GDY20" s="9"/>
      <c r="GDZ20" s="9"/>
      <c r="GEA20" s="9"/>
      <c r="GEB20" s="10"/>
      <c r="GEC20" s="11"/>
      <c r="GED20" s="12"/>
      <c r="GEE20" s="12"/>
      <c r="GEF20" s="12"/>
      <c r="GEG20" s="13"/>
      <c r="GEH20" s="9"/>
      <c r="GEI20" s="9"/>
      <c r="GEJ20" s="9"/>
      <c r="GEK20" s="9"/>
      <c r="GEL20" s="10"/>
      <c r="GEM20" s="11"/>
      <c r="GEN20" s="12"/>
      <c r="GEO20" s="12"/>
      <c r="GEP20" s="12"/>
      <c r="GEQ20" s="13"/>
      <c r="GER20" s="9"/>
      <c r="GES20" s="9"/>
      <c r="GET20" s="9"/>
      <c r="GEU20" s="9"/>
      <c r="GEV20" s="10"/>
      <c r="GEW20" s="11"/>
      <c r="GEX20" s="12"/>
      <c r="GEY20" s="12"/>
      <c r="GEZ20" s="12"/>
      <c r="GFA20" s="13"/>
      <c r="GFB20" s="9"/>
      <c r="GFC20" s="9"/>
      <c r="GFD20" s="9"/>
      <c r="GFE20" s="9"/>
      <c r="GFF20" s="10"/>
      <c r="GFG20" s="11"/>
      <c r="GFH20" s="12"/>
      <c r="GFI20" s="12"/>
      <c r="GFJ20" s="12"/>
      <c r="GFK20" s="13"/>
      <c r="GFL20" s="9"/>
      <c r="GFM20" s="9"/>
      <c r="GFN20" s="9"/>
      <c r="GFO20" s="9"/>
      <c r="GFP20" s="10"/>
      <c r="GFQ20" s="11"/>
      <c r="GFR20" s="12"/>
      <c r="GFS20" s="12"/>
      <c r="GFT20" s="12"/>
      <c r="GFU20" s="13"/>
      <c r="GFV20" s="9"/>
      <c r="GFW20" s="9"/>
      <c r="GFX20" s="9"/>
      <c r="GFY20" s="9"/>
      <c r="GFZ20" s="10"/>
      <c r="GGA20" s="11"/>
      <c r="GGB20" s="12"/>
      <c r="GGC20" s="12"/>
      <c r="GGD20" s="12"/>
      <c r="GGE20" s="13"/>
      <c r="GGF20" s="9"/>
      <c r="GGG20" s="9"/>
      <c r="GGH20" s="9"/>
      <c r="GGI20" s="9"/>
      <c r="GGJ20" s="10"/>
      <c r="GGK20" s="11"/>
      <c r="GGL20" s="12"/>
      <c r="GGM20" s="12"/>
      <c r="GGN20" s="12"/>
      <c r="GGO20" s="13"/>
      <c r="GGP20" s="9"/>
      <c r="GGQ20" s="9"/>
      <c r="GGR20" s="9"/>
      <c r="GGS20" s="9"/>
      <c r="GGT20" s="10"/>
      <c r="GGU20" s="11"/>
      <c r="GGV20" s="12"/>
      <c r="GGW20" s="12"/>
      <c r="GGX20" s="12"/>
      <c r="GGY20" s="13"/>
      <c r="GGZ20" s="9"/>
      <c r="GHA20" s="9"/>
      <c r="GHB20" s="9"/>
      <c r="GHC20" s="9"/>
      <c r="GHD20" s="10"/>
      <c r="GHE20" s="11"/>
      <c r="GHF20" s="12"/>
      <c r="GHG20" s="12"/>
      <c r="GHH20" s="12"/>
      <c r="GHI20" s="13"/>
      <c r="GHJ20" s="9"/>
      <c r="GHK20" s="9"/>
      <c r="GHL20" s="9"/>
      <c r="GHM20" s="9"/>
      <c r="GHN20" s="10"/>
      <c r="GHO20" s="11"/>
      <c r="GHP20" s="12"/>
      <c r="GHQ20" s="12"/>
      <c r="GHR20" s="12"/>
      <c r="GHS20" s="13"/>
      <c r="GHT20" s="9"/>
      <c r="GHU20" s="9"/>
      <c r="GHV20" s="9"/>
      <c r="GHW20" s="9"/>
      <c r="GHX20" s="10"/>
      <c r="GHY20" s="11"/>
      <c r="GHZ20" s="12"/>
      <c r="GIA20" s="12"/>
      <c r="GIB20" s="12"/>
      <c r="GIC20" s="13"/>
      <c r="GID20" s="9"/>
      <c r="GIE20" s="9"/>
      <c r="GIF20" s="9"/>
      <c r="GIG20" s="9"/>
      <c r="GIH20" s="10"/>
      <c r="GII20" s="11"/>
      <c r="GIJ20" s="12"/>
      <c r="GIK20" s="12"/>
      <c r="GIL20" s="12"/>
      <c r="GIM20" s="13"/>
      <c r="GIN20" s="9"/>
      <c r="GIO20" s="9"/>
      <c r="GIP20" s="9"/>
      <c r="GIQ20" s="9"/>
      <c r="GIR20" s="10"/>
      <c r="GIS20" s="11"/>
      <c r="GIT20" s="12"/>
      <c r="GIU20" s="12"/>
      <c r="GIV20" s="12"/>
      <c r="GIW20" s="13"/>
      <c r="GIX20" s="9"/>
      <c r="GIY20" s="9"/>
      <c r="GIZ20" s="9"/>
      <c r="GJA20" s="9"/>
      <c r="GJB20" s="10"/>
      <c r="GJC20" s="11"/>
      <c r="GJD20" s="12"/>
      <c r="GJE20" s="12"/>
      <c r="GJF20" s="12"/>
      <c r="GJG20" s="13"/>
      <c r="GJH20" s="9"/>
      <c r="GJI20" s="9"/>
      <c r="GJJ20" s="9"/>
      <c r="GJK20" s="9"/>
      <c r="GJL20" s="10"/>
      <c r="GJM20" s="11"/>
      <c r="GJN20" s="12"/>
      <c r="GJO20" s="12"/>
      <c r="GJP20" s="12"/>
      <c r="GJQ20" s="13"/>
      <c r="GJR20" s="9"/>
      <c r="GJS20" s="9"/>
      <c r="GJT20" s="9"/>
      <c r="GJU20" s="9"/>
      <c r="GJV20" s="10"/>
      <c r="GJW20" s="11"/>
      <c r="GJX20" s="12"/>
      <c r="GJY20" s="12"/>
      <c r="GJZ20" s="12"/>
      <c r="GKA20" s="13"/>
      <c r="GKB20" s="9"/>
      <c r="GKC20" s="9"/>
      <c r="GKD20" s="9"/>
      <c r="GKE20" s="9"/>
      <c r="GKF20" s="10"/>
      <c r="GKG20" s="11"/>
      <c r="GKH20" s="12"/>
      <c r="GKI20" s="12"/>
      <c r="GKJ20" s="12"/>
      <c r="GKK20" s="13"/>
      <c r="GKL20" s="9"/>
      <c r="GKM20" s="9"/>
      <c r="GKN20" s="9"/>
      <c r="GKO20" s="9"/>
      <c r="GKP20" s="10"/>
      <c r="GKQ20" s="11"/>
      <c r="GKR20" s="12"/>
      <c r="GKS20" s="12"/>
      <c r="GKT20" s="12"/>
      <c r="GKU20" s="13"/>
      <c r="GKV20" s="9"/>
      <c r="GKW20" s="9"/>
      <c r="GKX20" s="9"/>
      <c r="GKY20" s="9"/>
      <c r="GKZ20" s="10"/>
      <c r="GLA20" s="11"/>
      <c r="GLB20" s="12"/>
      <c r="GLC20" s="12"/>
      <c r="GLD20" s="12"/>
      <c r="GLE20" s="13"/>
      <c r="GLF20" s="9"/>
      <c r="GLG20" s="9"/>
      <c r="GLH20" s="9"/>
      <c r="GLI20" s="9"/>
      <c r="GLJ20" s="10"/>
      <c r="GLK20" s="11"/>
      <c r="GLL20" s="12"/>
      <c r="GLM20" s="12"/>
      <c r="GLN20" s="12"/>
      <c r="GLO20" s="13"/>
      <c r="GLP20" s="9"/>
      <c r="GLQ20" s="9"/>
      <c r="GLR20" s="9"/>
      <c r="GLS20" s="9"/>
      <c r="GLT20" s="10"/>
      <c r="GLU20" s="11"/>
      <c r="GLV20" s="12"/>
      <c r="GLW20" s="12"/>
      <c r="GLX20" s="12"/>
      <c r="GLY20" s="13"/>
      <c r="GLZ20" s="9"/>
      <c r="GMA20" s="9"/>
      <c r="GMB20" s="9"/>
      <c r="GMC20" s="9"/>
      <c r="GMD20" s="10"/>
      <c r="GME20" s="11"/>
      <c r="GMF20" s="12"/>
      <c r="GMG20" s="12"/>
      <c r="GMH20" s="12"/>
      <c r="GMI20" s="13"/>
      <c r="GMJ20" s="9"/>
      <c r="GMK20" s="9"/>
      <c r="GML20" s="9"/>
      <c r="GMM20" s="9"/>
      <c r="GMN20" s="10"/>
      <c r="GMO20" s="11"/>
      <c r="GMP20" s="12"/>
      <c r="GMQ20" s="12"/>
      <c r="GMR20" s="12"/>
      <c r="GMS20" s="13"/>
      <c r="GMT20" s="9"/>
      <c r="GMU20" s="9"/>
      <c r="GMV20" s="9"/>
      <c r="GMW20" s="9"/>
      <c r="GMX20" s="10"/>
      <c r="GMY20" s="11"/>
      <c r="GMZ20" s="12"/>
      <c r="GNA20" s="12"/>
      <c r="GNB20" s="12"/>
      <c r="GNC20" s="13"/>
      <c r="GND20" s="9"/>
      <c r="GNE20" s="9"/>
      <c r="GNF20" s="9"/>
      <c r="GNG20" s="9"/>
      <c r="GNH20" s="10"/>
      <c r="GNI20" s="11"/>
      <c r="GNJ20" s="12"/>
      <c r="GNK20" s="12"/>
      <c r="GNL20" s="12"/>
      <c r="GNM20" s="13"/>
      <c r="GNN20" s="9"/>
      <c r="GNO20" s="9"/>
      <c r="GNP20" s="9"/>
      <c r="GNQ20" s="9"/>
      <c r="GNR20" s="10"/>
      <c r="GNS20" s="11"/>
      <c r="GNT20" s="12"/>
      <c r="GNU20" s="12"/>
      <c r="GNV20" s="12"/>
      <c r="GNW20" s="13"/>
      <c r="GNX20" s="9"/>
      <c r="GNY20" s="9"/>
      <c r="GNZ20" s="9"/>
      <c r="GOA20" s="9"/>
      <c r="GOB20" s="10"/>
      <c r="GOC20" s="11"/>
      <c r="GOD20" s="12"/>
      <c r="GOE20" s="12"/>
      <c r="GOF20" s="12"/>
      <c r="GOG20" s="13"/>
      <c r="GOH20" s="9"/>
      <c r="GOI20" s="9"/>
      <c r="GOJ20" s="9"/>
      <c r="GOK20" s="9"/>
      <c r="GOL20" s="10"/>
      <c r="GOM20" s="11"/>
      <c r="GON20" s="12"/>
      <c r="GOO20" s="12"/>
      <c r="GOP20" s="12"/>
      <c r="GOQ20" s="13"/>
      <c r="GOR20" s="9"/>
      <c r="GOS20" s="9"/>
      <c r="GOT20" s="9"/>
      <c r="GOU20" s="9"/>
      <c r="GOV20" s="10"/>
      <c r="GOW20" s="11"/>
      <c r="GOX20" s="12"/>
      <c r="GOY20" s="12"/>
      <c r="GOZ20" s="12"/>
      <c r="GPA20" s="13"/>
      <c r="GPB20" s="9"/>
      <c r="GPC20" s="9"/>
      <c r="GPD20" s="9"/>
      <c r="GPE20" s="9"/>
      <c r="GPF20" s="10"/>
      <c r="GPG20" s="11"/>
      <c r="GPH20" s="12"/>
      <c r="GPI20" s="12"/>
      <c r="GPJ20" s="12"/>
      <c r="GPK20" s="13"/>
      <c r="GPL20" s="9"/>
      <c r="GPM20" s="9"/>
      <c r="GPN20" s="9"/>
      <c r="GPO20" s="9"/>
      <c r="GPP20" s="10"/>
      <c r="GPQ20" s="11"/>
      <c r="GPR20" s="12"/>
      <c r="GPS20" s="12"/>
      <c r="GPT20" s="12"/>
      <c r="GPU20" s="13"/>
      <c r="GPV20" s="9"/>
      <c r="GPW20" s="9"/>
      <c r="GPX20" s="9"/>
      <c r="GPY20" s="9"/>
      <c r="GPZ20" s="10"/>
      <c r="GQA20" s="11"/>
      <c r="GQB20" s="12"/>
      <c r="GQC20" s="12"/>
      <c r="GQD20" s="12"/>
      <c r="GQE20" s="13"/>
      <c r="GQF20" s="9"/>
      <c r="GQG20" s="9"/>
      <c r="GQH20" s="9"/>
      <c r="GQI20" s="9"/>
      <c r="GQJ20" s="10"/>
      <c r="GQK20" s="11"/>
      <c r="GQL20" s="12"/>
      <c r="GQM20" s="12"/>
      <c r="GQN20" s="12"/>
      <c r="GQO20" s="13"/>
      <c r="GQP20" s="9"/>
      <c r="GQQ20" s="9"/>
      <c r="GQR20" s="9"/>
      <c r="GQS20" s="9"/>
      <c r="GQT20" s="10"/>
      <c r="GQU20" s="11"/>
      <c r="GQV20" s="12"/>
      <c r="GQW20" s="12"/>
      <c r="GQX20" s="12"/>
      <c r="GQY20" s="13"/>
      <c r="GQZ20" s="9"/>
      <c r="GRA20" s="9"/>
      <c r="GRB20" s="9"/>
      <c r="GRC20" s="9"/>
      <c r="GRD20" s="10"/>
      <c r="GRE20" s="11"/>
      <c r="GRF20" s="12"/>
      <c r="GRG20" s="12"/>
      <c r="GRH20" s="12"/>
      <c r="GRI20" s="13"/>
      <c r="GRJ20" s="9"/>
      <c r="GRK20" s="9"/>
      <c r="GRL20" s="9"/>
      <c r="GRM20" s="9"/>
      <c r="GRN20" s="10"/>
      <c r="GRO20" s="11"/>
      <c r="GRP20" s="12"/>
      <c r="GRQ20" s="12"/>
      <c r="GRR20" s="12"/>
      <c r="GRS20" s="13"/>
      <c r="GRT20" s="9"/>
      <c r="GRU20" s="9"/>
      <c r="GRV20" s="9"/>
      <c r="GRW20" s="9"/>
      <c r="GRX20" s="10"/>
      <c r="GRY20" s="11"/>
      <c r="GRZ20" s="12"/>
      <c r="GSA20" s="12"/>
      <c r="GSB20" s="12"/>
      <c r="GSC20" s="13"/>
      <c r="GSD20" s="9"/>
      <c r="GSE20" s="9"/>
      <c r="GSF20" s="9"/>
      <c r="GSG20" s="9"/>
      <c r="GSH20" s="10"/>
      <c r="GSI20" s="11"/>
      <c r="GSJ20" s="12"/>
      <c r="GSK20" s="12"/>
      <c r="GSL20" s="12"/>
      <c r="GSM20" s="13"/>
      <c r="GSN20" s="9"/>
      <c r="GSO20" s="9"/>
      <c r="GSP20" s="9"/>
      <c r="GSQ20" s="9"/>
      <c r="GSR20" s="10"/>
      <c r="GSS20" s="11"/>
      <c r="GST20" s="12"/>
      <c r="GSU20" s="12"/>
      <c r="GSV20" s="12"/>
      <c r="GSW20" s="13"/>
      <c r="GSX20" s="9"/>
      <c r="GSY20" s="9"/>
      <c r="GSZ20" s="9"/>
      <c r="GTA20" s="9"/>
      <c r="GTB20" s="10"/>
      <c r="GTC20" s="11"/>
      <c r="GTD20" s="12"/>
      <c r="GTE20" s="12"/>
      <c r="GTF20" s="12"/>
      <c r="GTG20" s="13"/>
      <c r="GTH20" s="9"/>
      <c r="GTI20" s="9"/>
      <c r="GTJ20" s="9"/>
      <c r="GTK20" s="9"/>
      <c r="GTL20" s="10"/>
      <c r="GTM20" s="11"/>
      <c r="GTN20" s="12"/>
      <c r="GTO20" s="12"/>
      <c r="GTP20" s="12"/>
      <c r="GTQ20" s="13"/>
      <c r="GTR20" s="9"/>
      <c r="GTS20" s="9"/>
      <c r="GTT20" s="9"/>
      <c r="GTU20" s="9"/>
      <c r="GTV20" s="10"/>
      <c r="GTW20" s="11"/>
      <c r="GTX20" s="12"/>
      <c r="GTY20" s="12"/>
      <c r="GTZ20" s="12"/>
      <c r="GUA20" s="13"/>
      <c r="GUB20" s="9"/>
      <c r="GUC20" s="9"/>
      <c r="GUD20" s="9"/>
      <c r="GUE20" s="9"/>
      <c r="GUF20" s="10"/>
      <c r="GUG20" s="11"/>
      <c r="GUH20" s="12"/>
      <c r="GUI20" s="12"/>
      <c r="GUJ20" s="12"/>
      <c r="GUK20" s="13"/>
      <c r="GUL20" s="9"/>
      <c r="GUM20" s="9"/>
      <c r="GUN20" s="9"/>
      <c r="GUO20" s="9"/>
      <c r="GUP20" s="10"/>
      <c r="GUQ20" s="11"/>
      <c r="GUR20" s="12"/>
      <c r="GUS20" s="12"/>
      <c r="GUT20" s="12"/>
      <c r="GUU20" s="13"/>
      <c r="GUV20" s="9"/>
      <c r="GUW20" s="9"/>
      <c r="GUX20" s="9"/>
      <c r="GUY20" s="9"/>
      <c r="GUZ20" s="10"/>
      <c r="GVA20" s="11"/>
      <c r="GVB20" s="12"/>
      <c r="GVC20" s="12"/>
      <c r="GVD20" s="12"/>
      <c r="GVE20" s="13"/>
      <c r="GVF20" s="9"/>
      <c r="GVG20" s="9"/>
      <c r="GVH20" s="9"/>
      <c r="GVI20" s="9"/>
      <c r="GVJ20" s="10"/>
      <c r="GVK20" s="11"/>
      <c r="GVL20" s="12"/>
      <c r="GVM20" s="12"/>
      <c r="GVN20" s="12"/>
      <c r="GVO20" s="13"/>
      <c r="GVP20" s="9"/>
      <c r="GVQ20" s="9"/>
      <c r="GVR20" s="9"/>
      <c r="GVS20" s="9"/>
      <c r="GVT20" s="10"/>
      <c r="GVU20" s="11"/>
      <c r="GVV20" s="12"/>
      <c r="GVW20" s="12"/>
      <c r="GVX20" s="12"/>
      <c r="GVY20" s="13"/>
      <c r="GVZ20" s="9"/>
      <c r="GWA20" s="9"/>
      <c r="GWB20" s="9"/>
      <c r="GWC20" s="9"/>
      <c r="GWD20" s="10"/>
      <c r="GWE20" s="11"/>
      <c r="GWF20" s="12"/>
      <c r="GWG20" s="12"/>
      <c r="GWH20" s="12"/>
      <c r="GWI20" s="13"/>
      <c r="GWJ20" s="9"/>
      <c r="GWK20" s="9"/>
      <c r="GWL20" s="9"/>
      <c r="GWM20" s="9"/>
      <c r="GWN20" s="10"/>
      <c r="GWO20" s="11"/>
      <c r="GWP20" s="12"/>
      <c r="GWQ20" s="12"/>
      <c r="GWR20" s="12"/>
      <c r="GWS20" s="13"/>
      <c r="GWT20" s="9"/>
      <c r="GWU20" s="9"/>
      <c r="GWV20" s="9"/>
      <c r="GWW20" s="9"/>
      <c r="GWX20" s="10"/>
      <c r="GWY20" s="11"/>
      <c r="GWZ20" s="12"/>
      <c r="GXA20" s="12"/>
      <c r="GXB20" s="12"/>
      <c r="GXC20" s="13"/>
      <c r="GXD20" s="9"/>
      <c r="GXE20" s="9"/>
      <c r="GXF20" s="9"/>
      <c r="GXG20" s="9"/>
      <c r="GXH20" s="10"/>
      <c r="GXI20" s="11"/>
      <c r="GXJ20" s="12"/>
      <c r="GXK20" s="12"/>
      <c r="GXL20" s="12"/>
      <c r="GXM20" s="13"/>
      <c r="GXN20" s="9"/>
      <c r="GXO20" s="9"/>
      <c r="GXP20" s="9"/>
      <c r="GXQ20" s="9"/>
      <c r="GXR20" s="10"/>
      <c r="GXS20" s="11"/>
      <c r="GXT20" s="12"/>
      <c r="GXU20" s="12"/>
      <c r="GXV20" s="12"/>
      <c r="GXW20" s="13"/>
      <c r="GXX20" s="9"/>
      <c r="GXY20" s="9"/>
      <c r="GXZ20" s="9"/>
      <c r="GYA20" s="9"/>
      <c r="GYB20" s="10"/>
      <c r="GYC20" s="11"/>
      <c r="GYD20" s="12"/>
      <c r="GYE20" s="12"/>
      <c r="GYF20" s="12"/>
      <c r="GYG20" s="13"/>
      <c r="GYH20" s="9"/>
      <c r="GYI20" s="9"/>
      <c r="GYJ20" s="9"/>
      <c r="GYK20" s="9"/>
      <c r="GYL20" s="10"/>
      <c r="GYM20" s="11"/>
      <c r="GYN20" s="12"/>
      <c r="GYO20" s="12"/>
      <c r="GYP20" s="12"/>
      <c r="GYQ20" s="13"/>
      <c r="GYR20" s="9"/>
      <c r="GYS20" s="9"/>
      <c r="GYT20" s="9"/>
      <c r="GYU20" s="9"/>
      <c r="GYV20" s="10"/>
      <c r="GYW20" s="11"/>
      <c r="GYX20" s="12"/>
      <c r="GYY20" s="12"/>
      <c r="GYZ20" s="12"/>
      <c r="GZA20" s="13"/>
      <c r="GZB20" s="9"/>
      <c r="GZC20" s="9"/>
      <c r="GZD20" s="9"/>
      <c r="GZE20" s="9"/>
      <c r="GZF20" s="10"/>
      <c r="GZG20" s="11"/>
      <c r="GZH20" s="12"/>
      <c r="GZI20" s="12"/>
      <c r="GZJ20" s="12"/>
      <c r="GZK20" s="13"/>
      <c r="GZL20" s="9"/>
      <c r="GZM20" s="9"/>
      <c r="GZN20" s="9"/>
      <c r="GZO20" s="9"/>
      <c r="GZP20" s="10"/>
      <c r="GZQ20" s="11"/>
      <c r="GZR20" s="12"/>
      <c r="GZS20" s="12"/>
      <c r="GZT20" s="12"/>
      <c r="GZU20" s="13"/>
      <c r="GZV20" s="9"/>
      <c r="GZW20" s="9"/>
      <c r="GZX20" s="9"/>
      <c r="GZY20" s="9"/>
      <c r="GZZ20" s="10"/>
      <c r="HAA20" s="11"/>
      <c r="HAB20" s="12"/>
      <c r="HAC20" s="12"/>
      <c r="HAD20" s="12"/>
      <c r="HAE20" s="13"/>
      <c r="HAF20" s="9"/>
      <c r="HAG20" s="9"/>
      <c r="HAH20" s="9"/>
      <c r="HAI20" s="9"/>
      <c r="HAJ20" s="10"/>
      <c r="HAK20" s="11"/>
      <c r="HAL20" s="12"/>
      <c r="HAM20" s="12"/>
      <c r="HAN20" s="12"/>
      <c r="HAO20" s="13"/>
      <c r="HAP20" s="9"/>
      <c r="HAQ20" s="9"/>
      <c r="HAR20" s="9"/>
      <c r="HAS20" s="9"/>
      <c r="HAT20" s="10"/>
      <c r="HAU20" s="11"/>
      <c r="HAV20" s="12"/>
      <c r="HAW20" s="12"/>
      <c r="HAX20" s="12"/>
      <c r="HAY20" s="13"/>
      <c r="HAZ20" s="9"/>
      <c r="HBA20" s="9"/>
      <c r="HBB20" s="9"/>
      <c r="HBC20" s="9"/>
      <c r="HBD20" s="10"/>
      <c r="HBE20" s="11"/>
      <c r="HBF20" s="12"/>
      <c r="HBG20" s="12"/>
      <c r="HBH20" s="12"/>
      <c r="HBI20" s="13"/>
      <c r="HBJ20" s="9"/>
      <c r="HBK20" s="9"/>
      <c r="HBL20" s="9"/>
      <c r="HBM20" s="9"/>
      <c r="HBN20" s="10"/>
      <c r="HBO20" s="11"/>
      <c r="HBP20" s="12"/>
      <c r="HBQ20" s="12"/>
      <c r="HBR20" s="12"/>
      <c r="HBS20" s="13"/>
      <c r="HBT20" s="9"/>
      <c r="HBU20" s="9"/>
      <c r="HBV20" s="9"/>
      <c r="HBW20" s="9"/>
      <c r="HBX20" s="10"/>
      <c r="HBY20" s="11"/>
      <c r="HBZ20" s="12"/>
      <c r="HCA20" s="12"/>
      <c r="HCB20" s="12"/>
      <c r="HCC20" s="13"/>
      <c r="HCD20" s="9"/>
      <c r="HCE20" s="9"/>
      <c r="HCF20" s="9"/>
      <c r="HCG20" s="9"/>
      <c r="HCH20" s="10"/>
      <c r="HCI20" s="11"/>
      <c r="HCJ20" s="12"/>
      <c r="HCK20" s="12"/>
      <c r="HCL20" s="12"/>
      <c r="HCM20" s="13"/>
      <c r="HCN20" s="9"/>
      <c r="HCO20" s="9"/>
      <c r="HCP20" s="9"/>
      <c r="HCQ20" s="9"/>
      <c r="HCR20" s="10"/>
      <c r="HCS20" s="11"/>
      <c r="HCT20" s="12"/>
      <c r="HCU20" s="12"/>
      <c r="HCV20" s="12"/>
      <c r="HCW20" s="13"/>
      <c r="HCX20" s="9"/>
      <c r="HCY20" s="9"/>
      <c r="HCZ20" s="9"/>
      <c r="HDA20" s="9"/>
      <c r="HDB20" s="10"/>
      <c r="HDC20" s="11"/>
      <c r="HDD20" s="12"/>
      <c r="HDE20" s="12"/>
      <c r="HDF20" s="12"/>
      <c r="HDG20" s="13"/>
      <c r="HDH20" s="9"/>
      <c r="HDI20" s="9"/>
      <c r="HDJ20" s="9"/>
      <c r="HDK20" s="9"/>
      <c r="HDL20" s="10"/>
      <c r="HDM20" s="11"/>
      <c r="HDN20" s="12"/>
      <c r="HDO20" s="12"/>
      <c r="HDP20" s="12"/>
      <c r="HDQ20" s="13"/>
      <c r="HDR20" s="9"/>
      <c r="HDS20" s="9"/>
      <c r="HDT20" s="9"/>
      <c r="HDU20" s="9"/>
      <c r="HDV20" s="10"/>
      <c r="HDW20" s="11"/>
      <c r="HDX20" s="12"/>
      <c r="HDY20" s="12"/>
      <c r="HDZ20" s="12"/>
      <c r="HEA20" s="13"/>
      <c r="HEB20" s="9"/>
      <c r="HEC20" s="9"/>
      <c r="HED20" s="9"/>
      <c r="HEE20" s="9"/>
      <c r="HEF20" s="10"/>
      <c r="HEG20" s="11"/>
      <c r="HEH20" s="12"/>
      <c r="HEI20" s="12"/>
      <c r="HEJ20" s="12"/>
      <c r="HEK20" s="13"/>
      <c r="HEL20" s="9"/>
      <c r="HEM20" s="9"/>
      <c r="HEN20" s="9"/>
      <c r="HEO20" s="9"/>
      <c r="HEP20" s="10"/>
      <c r="HEQ20" s="11"/>
      <c r="HER20" s="12"/>
      <c r="HES20" s="12"/>
      <c r="HET20" s="12"/>
      <c r="HEU20" s="13"/>
      <c r="HEV20" s="9"/>
      <c r="HEW20" s="9"/>
      <c r="HEX20" s="9"/>
      <c r="HEY20" s="9"/>
      <c r="HEZ20" s="10"/>
      <c r="HFA20" s="11"/>
      <c r="HFB20" s="12"/>
      <c r="HFC20" s="12"/>
      <c r="HFD20" s="12"/>
      <c r="HFE20" s="13"/>
      <c r="HFF20" s="9"/>
      <c r="HFG20" s="9"/>
      <c r="HFH20" s="9"/>
      <c r="HFI20" s="9"/>
      <c r="HFJ20" s="10"/>
      <c r="HFK20" s="11"/>
      <c r="HFL20" s="12"/>
      <c r="HFM20" s="12"/>
      <c r="HFN20" s="12"/>
      <c r="HFO20" s="13"/>
      <c r="HFP20" s="9"/>
      <c r="HFQ20" s="9"/>
      <c r="HFR20" s="9"/>
      <c r="HFS20" s="9"/>
      <c r="HFT20" s="10"/>
      <c r="HFU20" s="11"/>
      <c r="HFV20" s="12"/>
      <c r="HFW20" s="12"/>
      <c r="HFX20" s="12"/>
      <c r="HFY20" s="13"/>
      <c r="HFZ20" s="9"/>
      <c r="HGA20" s="9"/>
      <c r="HGB20" s="9"/>
      <c r="HGC20" s="9"/>
      <c r="HGD20" s="10"/>
      <c r="HGE20" s="11"/>
      <c r="HGF20" s="12"/>
      <c r="HGG20" s="12"/>
      <c r="HGH20" s="12"/>
      <c r="HGI20" s="13"/>
      <c r="HGJ20" s="9"/>
      <c r="HGK20" s="9"/>
      <c r="HGL20" s="9"/>
      <c r="HGM20" s="9"/>
      <c r="HGN20" s="10"/>
      <c r="HGO20" s="11"/>
      <c r="HGP20" s="12"/>
      <c r="HGQ20" s="12"/>
      <c r="HGR20" s="12"/>
      <c r="HGS20" s="13"/>
      <c r="HGT20" s="9"/>
      <c r="HGU20" s="9"/>
      <c r="HGV20" s="9"/>
      <c r="HGW20" s="9"/>
      <c r="HGX20" s="10"/>
      <c r="HGY20" s="11"/>
      <c r="HGZ20" s="12"/>
      <c r="HHA20" s="12"/>
      <c r="HHB20" s="12"/>
      <c r="HHC20" s="13"/>
      <c r="HHD20" s="9"/>
      <c r="HHE20" s="9"/>
      <c r="HHF20" s="9"/>
      <c r="HHG20" s="9"/>
      <c r="HHH20" s="10"/>
      <c r="HHI20" s="11"/>
      <c r="HHJ20" s="12"/>
      <c r="HHK20" s="12"/>
      <c r="HHL20" s="12"/>
      <c r="HHM20" s="13"/>
      <c r="HHN20" s="9"/>
      <c r="HHO20" s="9"/>
      <c r="HHP20" s="9"/>
      <c r="HHQ20" s="9"/>
      <c r="HHR20" s="10"/>
      <c r="HHS20" s="11"/>
      <c r="HHT20" s="12"/>
      <c r="HHU20" s="12"/>
      <c r="HHV20" s="12"/>
      <c r="HHW20" s="13"/>
      <c r="HHX20" s="9"/>
      <c r="HHY20" s="9"/>
      <c r="HHZ20" s="9"/>
      <c r="HIA20" s="9"/>
      <c r="HIB20" s="10"/>
      <c r="HIC20" s="11"/>
      <c r="HID20" s="12"/>
      <c r="HIE20" s="12"/>
      <c r="HIF20" s="12"/>
      <c r="HIG20" s="13"/>
      <c r="HIH20" s="9"/>
      <c r="HII20" s="9"/>
      <c r="HIJ20" s="9"/>
      <c r="HIK20" s="9"/>
      <c r="HIL20" s="10"/>
      <c r="HIM20" s="11"/>
      <c r="HIN20" s="12"/>
      <c r="HIO20" s="12"/>
      <c r="HIP20" s="12"/>
      <c r="HIQ20" s="13"/>
      <c r="HIR20" s="9"/>
      <c r="HIS20" s="9"/>
      <c r="HIT20" s="9"/>
      <c r="HIU20" s="9"/>
      <c r="HIV20" s="10"/>
      <c r="HIW20" s="11"/>
      <c r="HIX20" s="12"/>
      <c r="HIY20" s="12"/>
      <c r="HIZ20" s="12"/>
      <c r="HJA20" s="13"/>
      <c r="HJB20" s="9"/>
      <c r="HJC20" s="9"/>
      <c r="HJD20" s="9"/>
      <c r="HJE20" s="9"/>
      <c r="HJF20" s="10"/>
      <c r="HJG20" s="11"/>
      <c r="HJH20" s="12"/>
      <c r="HJI20" s="12"/>
      <c r="HJJ20" s="12"/>
      <c r="HJK20" s="13"/>
      <c r="HJL20" s="9"/>
      <c r="HJM20" s="9"/>
      <c r="HJN20" s="9"/>
      <c r="HJO20" s="9"/>
      <c r="HJP20" s="10"/>
      <c r="HJQ20" s="11"/>
      <c r="HJR20" s="12"/>
      <c r="HJS20" s="12"/>
      <c r="HJT20" s="12"/>
      <c r="HJU20" s="13"/>
      <c r="HJV20" s="9"/>
      <c r="HJW20" s="9"/>
      <c r="HJX20" s="9"/>
      <c r="HJY20" s="9"/>
      <c r="HJZ20" s="10"/>
      <c r="HKA20" s="11"/>
      <c r="HKB20" s="12"/>
      <c r="HKC20" s="12"/>
      <c r="HKD20" s="12"/>
      <c r="HKE20" s="13"/>
      <c r="HKF20" s="9"/>
      <c r="HKG20" s="9"/>
      <c r="HKH20" s="9"/>
      <c r="HKI20" s="9"/>
      <c r="HKJ20" s="10"/>
      <c r="HKK20" s="11"/>
      <c r="HKL20" s="12"/>
      <c r="HKM20" s="12"/>
      <c r="HKN20" s="12"/>
      <c r="HKO20" s="13"/>
      <c r="HKP20" s="9"/>
      <c r="HKQ20" s="9"/>
      <c r="HKR20" s="9"/>
      <c r="HKS20" s="9"/>
      <c r="HKT20" s="10"/>
      <c r="HKU20" s="11"/>
      <c r="HKV20" s="12"/>
      <c r="HKW20" s="12"/>
      <c r="HKX20" s="12"/>
      <c r="HKY20" s="13"/>
      <c r="HKZ20" s="9"/>
      <c r="HLA20" s="9"/>
      <c r="HLB20" s="9"/>
      <c r="HLC20" s="9"/>
      <c r="HLD20" s="10"/>
      <c r="HLE20" s="11"/>
      <c r="HLF20" s="12"/>
      <c r="HLG20" s="12"/>
      <c r="HLH20" s="12"/>
      <c r="HLI20" s="13"/>
      <c r="HLJ20" s="9"/>
      <c r="HLK20" s="9"/>
      <c r="HLL20" s="9"/>
      <c r="HLM20" s="9"/>
      <c r="HLN20" s="10"/>
      <c r="HLO20" s="11"/>
      <c r="HLP20" s="12"/>
      <c r="HLQ20" s="12"/>
      <c r="HLR20" s="12"/>
      <c r="HLS20" s="13"/>
      <c r="HLT20" s="9"/>
      <c r="HLU20" s="9"/>
      <c r="HLV20" s="9"/>
      <c r="HLW20" s="9"/>
      <c r="HLX20" s="10"/>
      <c r="HLY20" s="11"/>
      <c r="HLZ20" s="12"/>
      <c r="HMA20" s="12"/>
      <c r="HMB20" s="12"/>
      <c r="HMC20" s="13"/>
      <c r="HMD20" s="9"/>
      <c r="HME20" s="9"/>
      <c r="HMF20" s="9"/>
      <c r="HMG20" s="9"/>
      <c r="HMH20" s="10"/>
      <c r="HMI20" s="11"/>
      <c r="HMJ20" s="12"/>
      <c r="HMK20" s="12"/>
      <c r="HML20" s="12"/>
      <c r="HMM20" s="13"/>
      <c r="HMN20" s="9"/>
      <c r="HMO20" s="9"/>
      <c r="HMP20" s="9"/>
      <c r="HMQ20" s="9"/>
      <c r="HMR20" s="10"/>
      <c r="HMS20" s="11"/>
      <c r="HMT20" s="12"/>
      <c r="HMU20" s="12"/>
      <c r="HMV20" s="12"/>
      <c r="HMW20" s="13"/>
      <c r="HMX20" s="9"/>
      <c r="HMY20" s="9"/>
      <c r="HMZ20" s="9"/>
      <c r="HNA20" s="9"/>
      <c r="HNB20" s="10"/>
      <c r="HNC20" s="11"/>
      <c r="HND20" s="12"/>
      <c r="HNE20" s="12"/>
      <c r="HNF20" s="12"/>
      <c r="HNG20" s="13"/>
      <c r="HNH20" s="9"/>
      <c r="HNI20" s="9"/>
      <c r="HNJ20" s="9"/>
      <c r="HNK20" s="9"/>
      <c r="HNL20" s="10"/>
      <c r="HNM20" s="11"/>
      <c r="HNN20" s="12"/>
      <c r="HNO20" s="12"/>
      <c r="HNP20" s="12"/>
      <c r="HNQ20" s="13"/>
      <c r="HNR20" s="9"/>
      <c r="HNS20" s="9"/>
      <c r="HNT20" s="9"/>
      <c r="HNU20" s="9"/>
      <c r="HNV20" s="10"/>
      <c r="HNW20" s="11"/>
      <c r="HNX20" s="12"/>
      <c r="HNY20" s="12"/>
      <c r="HNZ20" s="12"/>
      <c r="HOA20" s="13"/>
      <c r="HOB20" s="9"/>
      <c r="HOC20" s="9"/>
      <c r="HOD20" s="9"/>
      <c r="HOE20" s="9"/>
      <c r="HOF20" s="10"/>
      <c r="HOG20" s="11"/>
      <c r="HOH20" s="12"/>
      <c r="HOI20" s="12"/>
      <c r="HOJ20" s="12"/>
      <c r="HOK20" s="13"/>
      <c r="HOL20" s="9"/>
      <c r="HOM20" s="9"/>
      <c r="HON20" s="9"/>
      <c r="HOO20" s="9"/>
      <c r="HOP20" s="10"/>
      <c r="HOQ20" s="11"/>
      <c r="HOR20" s="12"/>
      <c r="HOS20" s="12"/>
      <c r="HOT20" s="12"/>
      <c r="HOU20" s="13"/>
      <c r="HOV20" s="9"/>
      <c r="HOW20" s="9"/>
      <c r="HOX20" s="9"/>
      <c r="HOY20" s="9"/>
      <c r="HOZ20" s="10"/>
      <c r="HPA20" s="11"/>
      <c r="HPB20" s="12"/>
      <c r="HPC20" s="12"/>
      <c r="HPD20" s="12"/>
      <c r="HPE20" s="13"/>
      <c r="HPF20" s="9"/>
      <c r="HPG20" s="9"/>
      <c r="HPH20" s="9"/>
      <c r="HPI20" s="9"/>
      <c r="HPJ20" s="10"/>
      <c r="HPK20" s="11"/>
      <c r="HPL20" s="12"/>
      <c r="HPM20" s="12"/>
      <c r="HPN20" s="12"/>
      <c r="HPO20" s="13"/>
      <c r="HPP20" s="9"/>
      <c r="HPQ20" s="9"/>
      <c r="HPR20" s="9"/>
      <c r="HPS20" s="9"/>
      <c r="HPT20" s="10"/>
      <c r="HPU20" s="11"/>
      <c r="HPV20" s="12"/>
      <c r="HPW20" s="12"/>
      <c r="HPX20" s="12"/>
      <c r="HPY20" s="13"/>
      <c r="HPZ20" s="9"/>
      <c r="HQA20" s="9"/>
      <c r="HQB20" s="9"/>
      <c r="HQC20" s="9"/>
      <c r="HQD20" s="10"/>
      <c r="HQE20" s="11"/>
      <c r="HQF20" s="12"/>
      <c r="HQG20" s="12"/>
      <c r="HQH20" s="12"/>
      <c r="HQI20" s="13"/>
      <c r="HQJ20" s="9"/>
      <c r="HQK20" s="9"/>
      <c r="HQL20" s="9"/>
      <c r="HQM20" s="9"/>
      <c r="HQN20" s="10"/>
      <c r="HQO20" s="11"/>
      <c r="HQP20" s="12"/>
      <c r="HQQ20" s="12"/>
      <c r="HQR20" s="12"/>
      <c r="HQS20" s="13"/>
      <c r="HQT20" s="9"/>
      <c r="HQU20" s="9"/>
      <c r="HQV20" s="9"/>
      <c r="HQW20" s="9"/>
      <c r="HQX20" s="10"/>
      <c r="HQY20" s="11"/>
      <c r="HQZ20" s="12"/>
      <c r="HRA20" s="12"/>
      <c r="HRB20" s="12"/>
      <c r="HRC20" s="13"/>
      <c r="HRD20" s="9"/>
      <c r="HRE20" s="9"/>
      <c r="HRF20" s="9"/>
      <c r="HRG20" s="9"/>
      <c r="HRH20" s="10"/>
      <c r="HRI20" s="11"/>
      <c r="HRJ20" s="12"/>
      <c r="HRK20" s="12"/>
      <c r="HRL20" s="12"/>
      <c r="HRM20" s="13"/>
      <c r="HRN20" s="9"/>
      <c r="HRO20" s="9"/>
      <c r="HRP20" s="9"/>
      <c r="HRQ20" s="9"/>
      <c r="HRR20" s="10"/>
      <c r="HRS20" s="11"/>
      <c r="HRT20" s="12"/>
      <c r="HRU20" s="12"/>
      <c r="HRV20" s="12"/>
      <c r="HRW20" s="13"/>
      <c r="HRX20" s="9"/>
      <c r="HRY20" s="9"/>
      <c r="HRZ20" s="9"/>
      <c r="HSA20" s="9"/>
      <c r="HSB20" s="10"/>
      <c r="HSC20" s="11"/>
      <c r="HSD20" s="12"/>
      <c r="HSE20" s="12"/>
      <c r="HSF20" s="12"/>
      <c r="HSG20" s="13"/>
      <c r="HSH20" s="9"/>
      <c r="HSI20" s="9"/>
      <c r="HSJ20" s="9"/>
      <c r="HSK20" s="9"/>
      <c r="HSL20" s="10"/>
      <c r="HSM20" s="11"/>
      <c r="HSN20" s="12"/>
      <c r="HSO20" s="12"/>
      <c r="HSP20" s="12"/>
      <c r="HSQ20" s="13"/>
      <c r="HSR20" s="9"/>
      <c r="HSS20" s="9"/>
      <c r="HST20" s="9"/>
      <c r="HSU20" s="9"/>
      <c r="HSV20" s="10"/>
      <c r="HSW20" s="11"/>
      <c r="HSX20" s="12"/>
      <c r="HSY20" s="12"/>
      <c r="HSZ20" s="12"/>
      <c r="HTA20" s="13"/>
      <c r="HTB20" s="9"/>
      <c r="HTC20" s="9"/>
      <c r="HTD20" s="9"/>
      <c r="HTE20" s="9"/>
      <c r="HTF20" s="10"/>
      <c r="HTG20" s="11"/>
      <c r="HTH20" s="12"/>
      <c r="HTI20" s="12"/>
      <c r="HTJ20" s="12"/>
      <c r="HTK20" s="13"/>
      <c r="HTL20" s="9"/>
      <c r="HTM20" s="9"/>
      <c r="HTN20" s="9"/>
      <c r="HTO20" s="9"/>
      <c r="HTP20" s="10"/>
      <c r="HTQ20" s="11"/>
      <c r="HTR20" s="12"/>
      <c r="HTS20" s="12"/>
      <c r="HTT20" s="12"/>
      <c r="HTU20" s="13"/>
      <c r="HTV20" s="9"/>
      <c r="HTW20" s="9"/>
      <c r="HTX20" s="9"/>
      <c r="HTY20" s="9"/>
      <c r="HTZ20" s="10"/>
      <c r="HUA20" s="11"/>
      <c r="HUB20" s="12"/>
      <c r="HUC20" s="12"/>
      <c r="HUD20" s="12"/>
      <c r="HUE20" s="13"/>
      <c r="HUF20" s="9"/>
      <c r="HUG20" s="9"/>
      <c r="HUH20" s="9"/>
      <c r="HUI20" s="9"/>
      <c r="HUJ20" s="10"/>
      <c r="HUK20" s="11"/>
      <c r="HUL20" s="12"/>
      <c r="HUM20" s="12"/>
      <c r="HUN20" s="12"/>
      <c r="HUO20" s="13"/>
      <c r="HUP20" s="9"/>
      <c r="HUQ20" s="9"/>
      <c r="HUR20" s="9"/>
      <c r="HUS20" s="9"/>
      <c r="HUT20" s="10"/>
      <c r="HUU20" s="11"/>
      <c r="HUV20" s="12"/>
      <c r="HUW20" s="12"/>
      <c r="HUX20" s="12"/>
      <c r="HUY20" s="13"/>
      <c r="HUZ20" s="9"/>
      <c r="HVA20" s="9"/>
      <c r="HVB20" s="9"/>
      <c r="HVC20" s="9"/>
      <c r="HVD20" s="10"/>
      <c r="HVE20" s="11"/>
      <c r="HVF20" s="12"/>
      <c r="HVG20" s="12"/>
      <c r="HVH20" s="12"/>
      <c r="HVI20" s="13"/>
      <c r="HVJ20" s="9"/>
      <c r="HVK20" s="9"/>
      <c r="HVL20" s="9"/>
      <c r="HVM20" s="9"/>
      <c r="HVN20" s="10"/>
      <c r="HVO20" s="11"/>
      <c r="HVP20" s="12"/>
      <c r="HVQ20" s="12"/>
      <c r="HVR20" s="12"/>
      <c r="HVS20" s="13"/>
      <c r="HVT20" s="9"/>
      <c r="HVU20" s="9"/>
      <c r="HVV20" s="9"/>
      <c r="HVW20" s="9"/>
      <c r="HVX20" s="10"/>
      <c r="HVY20" s="11"/>
      <c r="HVZ20" s="12"/>
      <c r="HWA20" s="12"/>
      <c r="HWB20" s="12"/>
      <c r="HWC20" s="13"/>
      <c r="HWD20" s="9"/>
      <c r="HWE20" s="9"/>
      <c r="HWF20" s="9"/>
      <c r="HWG20" s="9"/>
      <c r="HWH20" s="10"/>
      <c r="HWI20" s="11"/>
      <c r="HWJ20" s="12"/>
      <c r="HWK20" s="12"/>
      <c r="HWL20" s="12"/>
      <c r="HWM20" s="13"/>
      <c r="HWN20" s="9"/>
      <c r="HWO20" s="9"/>
      <c r="HWP20" s="9"/>
      <c r="HWQ20" s="9"/>
      <c r="HWR20" s="10"/>
      <c r="HWS20" s="11"/>
      <c r="HWT20" s="12"/>
      <c r="HWU20" s="12"/>
      <c r="HWV20" s="12"/>
      <c r="HWW20" s="13"/>
      <c r="HWX20" s="9"/>
      <c r="HWY20" s="9"/>
      <c r="HWZ20" s="9"/>
      <c r="HXA20" s="9"/>
      <c r="HXB20" s="10"/>
      <c r="HXC20" s="11"/>
      <c r="HXD20" s="12"/>
      <c r="HXE20" s="12"/>
      <c r="HXF20" s="12"/>
      <c r="HXG20" s="13"/>
      <c r="HXH20" s="9"/>
      <c r="HXI20" s="9"/>
      <c r="HXJ20" s="9"/>
      <c r="HXK20" s="9"/>
      <c r="HXL20" s="10"/>
      <c r="HXM20" s="11"/>
      <c r="HXN20" s="12"/>
      <c r="HXO20" s="12"/>
      <c r="HXP20" s="12"/>
      <c r="HXQ20" s="13"/>
      <c r="HXR20" s="9"/>
      <c r="HXS20" s="9"/>
      <c r="HXT20" s="9"/>
      <c r="HXU20" s="9"/>
      <c r="HXV20" s="10"/>
      <c r="HXW20" s="11"/>
      <c r="HXX20" s="12"/>
      <c r="HXY20" s="12"/>
      <c r="HXZ20" s="12"/>
      <c r="HYA20" s="13"/>
      <c r="HYB20" s="9"/>
      <c r="HYC20" s="9"/>
      <c r="HYD20" s="9"/>
      <c r="HYE20" s="9"/>
      <c r="HYF20" s="10"/>
      <c r="HYG20" s="11"/>
      <c r="HYH20" s="12"/>
      <c r="HYI20" s="12"/>
      <c r="HYJ20" s="12"/>
      <c r="HYK20" s="13"/>
      <c r="HYL20" s="9"/>
      <c r="HYM20" s="9"/>
      <c r="HYN20" s="9"/>
      <c r="HYO20" s="9"/>
      <c r="HYP20" s="10"/>
      <c r="HYQ20" s="11"/>
      <c r="HYR20" s="12"/>
      <c r="HYS20" s="12"/>
      <c r="HYT20" s="12"/>
      <c r="HYU20" s="13"/>
      <c r="HYV20" s="9"/>
      <c r="HYW20" s="9"/>
      <c r="HYX20" s="9"/>
      <c r="HYY20" s="9"/>
      <c r="HYZ20" s="10"/>
      <c r="HZA20" s="11"/>
      <c r="HZB20" s="12"/>
      <c r="HZC20" s="12"/>
      <c r="HZD20" s="12"/>
      <c r="HZE20" s="13"/>
      <c r="HZF20" s="9"/>
      <c r="HZG20" s="9"/>
      <c r="HZH20" s="9"/>
      <c r="HZI20" s="9"/>
      <c r="HZJ20" s="10"/>
      <c r="HZK20" s="11"/>
      <c r="HZL20" s="12"/>
      <c r="HZM20" s="12"/>
      <c r="HZN20" s="12"/>
      <c r="HZO20" s="13"/>
      <c r="HZP20" s="9"/>
      <c r="HZQ20" s="9"/>
      <c r="HZR20" s="9"/>
      <c r="HZS20" s="9"/>
      <c r="HZT20" s="10"/>
      <c r="HZU20" s="11"/>
      <c r="HZV20" s="12"/>
      <c r="HZW20" s="12"/>
      <c r="HZX20" s="12"/>
      <c r="HZY20" s="13"/>
      <c r="HZZ20" s="9"/>
      <c r="IAA20" s="9"/>
      <c r="IAB20" s="9"/>
      <c r="IAC20" s="9"/>
      <c r="IAD20" s="10"/>
      <c r="IAE20" s="11"/>
      <c r="IAF20" s="12"/>
      <c r="IAG20" s="12"/>
      <c r="IAH20" s="12"/>
      <c r="IAI20" s="13"/>
      <c r="IAJ20" s="9"/>
      <c r="IAK20" s="9"/>
      <c r="IAL20" s="9"/>
      <c r="IAM20" s="9"/>
      <c r="IAN20" s="10"/>
      <c r="IAO20" s="11"/>
      <c r="IAP20" s="12"/>
      <c r="IAQ20" s="12"/>
      <c r="IAR20" s="12"/>
      <c r="IAS20" s="13"/>
      <c r="IAT20" s="9"/>
      <c r="IAU20" s="9"/>
      <c r="IAV20" s="9"/>
      <c r="IAW20" s="9"/>
      <c r="IAX20" s="10"/>
      <c r="IAY20" s="11"/>
      <c r="IAZ20" s="12"/>
      <c r="IBA20" s="12"/>
      <c r="IBB20" s="12"/>
      <c r="IBC20" s="13"/>
      <c r="IBD20" s="9"/>
      <c r="IBE20" s="9"/>
      <c r="IBF20" s="9"/>
      <c r="IBG20" s="9"/>
      <c r="IBH20" s="10"/>
      <c r="IBI20" s="11"/>
      <c r="IBJ20" s="12"/>
      <c r="IBK20" s="12"/>
      <c r="IBL20" s="12"/>
      <c r="IBM20" s="13"/>
      <c r="IBN20" s="9"/>
      <c r="IBO20" s="9"/>
      <c r="IBP20" s="9"/>
      <c r="IBQ20" s="9"/>
      <c r="IBR20" s="10"/>
      <c r="IBS20" s="11"/>
      <c r="IBT20" s="12"/>
      <c r="IBU20" s="12"/>
      <c r="IBV20" s="12"/>
      <c r="IBW20" s="13"/>
      <c r="IBX20" s="9"/>
      <c r="IBY20" s="9"/>
      <c r="IBZ20" s="9"/>
      <c r="ICA20" s="9"/>
      <c r="ICB20" s="10"/>
      <c r="ICC20" s="11"/>
      <c r="ICD20" s="12"/>
      <c r="ICE20" s="12"/>
      <c r="ICF20" s="12"/>
      <c r="ICG20" s="13"/>
      <c r="ICH20" s="9"/>
      <c r="ICI20" s="9"/>
      <c r="ICJ20" s="9"/>
      <c r="ICK20" s="9"/>
      <c r="ICL20" s="10"/>
      <c r="ICM20" s="11"/>
      <c r="ICN20" s="12"/>
      <c r="ICO20" s="12"/>
      <c r="ICP20" s="12"/>
      <c r="ICQ20" s="13"/>
      <c r="ICR20" s="9"/>
      <c r="ICS20" s="9"/>
      <c r="ICT20" s="9"/>
      <c r="ICU20" s="9"/>
      <c r="ICV20" s="10"/>
      <c r="ICW20" s="11"/>
      <c r="ICX20" s="12"/>
      <c r="ICY20" s="12"/>
      <c r="ICZ20" s="12"/>
      <c r="IDA20" s="13"/>
      <c r="IDB20" s="9"/>
      <c r="IDC20" s="9"/>
      <c r="IDD20" s="9"/>
      <c r="IDE20" s="9"/>
      <c r="IDF20" s="10"/>
      <c r="IDG20" s="11"/>
      <c r="IDH20" s="12"/>
      <c r="IDI20" s="12"/>
      <c r="IDJ20" s="12"/>
      <c r="IDK20" s="13"/>
      <c r="IDL20" s="9"/>
      <c r="IDM20" s="9"/>
      <c r="IDN20" s="9"/>
      <c r="IDO20" s="9"/>
      <c r="IDP20" s="10"/>
      <c r="IDQ20" s="11"/>
      <c r="IDR20" s="12"/>
      <c r="IDS20" s="12"/>
      <c r="IDT20" s="12"/>
      <c r="IDU20" s="13"/>
      <c r="IDV20" s="9"/>
      <c r="IDW20" s="9"/>
      <c r="IDX20" s="9"/>
      <c r="IDY20" s="9"/>
      <c r="IDZ20" s="10"/>
      <c r="IEA20" s="11"/>
      <c r="IEB20" s="12"/>
      <c r="IEC20" s="12"/>
      <c r="IED20" s="12"/>
      <c r="IEE20" s="13"/>
      <c r="IEF20" s="9"/>
      <c r="IEG20" s="9"/>
      <c r="IEH20" s="9"/>
      <c r="IEI20" s="9"/>
      <c r="IEJ20" s="10"/>
      <c r="IEK20" s="11"/>
      <c r="IEL20" s="12"/>
      <c r="IEM20" s="12"/>
      <c r="IEN20" s="12"/>
      <c r="IEO20" s="13"/>
      <c r="IEP20" s="9"/>
      <c r="IEQ20" s="9"/>
      <c r="IER20" s="9"/>
      <c r="IES20" s="9"/>
      <c r="IET20" s="10"/>
      <c r="IEU20" s="11"/>
      <c r="IEV20" s="12"/>
      <c r="IEW20" s="12"/>
      <c r="IEX20" s="12"/>
      <c r="IEY20" s="13"/>
      <c r="IEZ20" s="9"/>
      <c r="IFA20" s="9"/>
      <c r="IFB20" s="9"/>
      <c r="IFC20" s="9"/>
      <c r="IFD20" s="10"/>
      <c r="IFE20" s="11"/>
      <c r="IFF20" s="12"/>
      <c r="IFG20" s="12"/>
      <c r="IFH20" s="12"/>
      <c r="IFI20" s="13"/>
      <c r="IFJ20" s="9"/>
      <c r="IFK20" s="9"/>
      <c r="IFL20" s="9"/>
      <c r="IFM20" s="9"/>
      <c r="IFN20" s="10"/>
      <c r="IFO20" s="11"/>
      <c r="IFP20" s="12"/>
      <c r="IFQ20" s="12"/>
      <c r="IFR20" s="12"/>
      <c r="IFS20" s="13"/>
      <c r="IFT20" s="9"/>
      <c r="IFU20" s="9"/>
      <c r="IFV20" s="9"/>
      <c r="IFW20" s="9"/>
      <c r="IFX20" s="10"/>
      <c r="IFY20" s="11"/>
      <c r="IFZ20" s="12"/>
      <c r="IGA20" s="12"/>
      <c r="IGB20" s="12"/>
      <c r="IGC20" s="13"/>
      <c r="IGD20" s="9"/>
      <c r="IGE20" s="9"/>
      <c r="IGF20" s="9"/>
      <c r="IGG20" s="9"/>
      <c r="IGH20" s="10"/>
      <c r="IGI20" s="11"/>
      <c r="IGJ20" s="12"/>
      <c r="IGK20" s="12"/>
      <c r="IGL20" s="12"/>
      <c r="IGM20" s="13"/>
      <c r="IGN20" s="9"/>
      <c r="IGO20" s="9"/>
      <c r="IGP20" s="9"/>
      <c r="IGQ20" s="9"/>
      <c r="IGR20" s="10"/>
      <c r="IGS20" s="11"/>
      <c r="IGT20" s="12"/>
      <c r="IGU20" s="12"/>
      <c r="IGV20" s="12"/>
      <c r="IGW20" s="13"/>
      <c r="IGX20" s="9"/>
      <c r="IGY20" s="9"/>
      <c r="IGZ20" s="9"/>
      <c r="IHA20" s="9"/>
      <c r="IHB20" s="10"/>
      <c r="IHC20" s="11"/>
      <c r="IHD20" s="12"/>
      <c r="IHE20" s="12"/>
      <c r="IHF20" s="12"/>
      <c r="IHG20" s="13"/>
      <c r="IHH20" s="9"/>
      <c r="IHI20" s="9"/>
      <c r="IHJ20" s="9"/>
      <c r="IHK20" s="9"/>
      <c r="IHL20" s="10"/>
      <c r="IHM20" s="11"/>
      <c r="IHN20" s="12"/>
      <c r="IHO20" s="12"/>
      <c r="IHP20" s="12"/>
      <c r="IHQ20" s="13"/>
      <c r="IHR20" s="9"/>
      <c r="IHS20" s="9"/>
      <c r="IHT20" s="9"/>
      <c r="IHU20" s="9"/>
      <c r="IHV20" s="10"/>
      <c r="IHW20" s="11"/>
      <c r="IHX20" s="12"/>
      <c r="IHY20" s="12"/>
      <c r="IHZ20" s="12"/>
      <c r="IIA20" s="13"/>
      <c r="IIB20" s="9"/>
      <c r="IIC20" s="9"/>
      <c r="IID20" s="9"/>
      <c r="IIE20" s="9"/>
      <c r="IIF20" s="10"/>
      <c r="IIG20" s="11"/>
      <c r="IIH20" s="12"/>
      <c r="III20" s="12"/>
      <c r="IIJ20" s="12"/>
      <c r="IIK20" s="13"/>
      <c r="IIL20" s="9"/>
      <c r="IIM20" s="9"/>
      <c r="IIN20" s="9"/>
      <c r="IIO20" s="9"/>
      <c r="IIP20" s="10"/>
      <c r="IIQ20" s="11"/>
      <c r="IIR20" s="12"/>
      <c r="IIS20" s="12"/>
      <c r="IIT20" s="12"/>
      <c r="IIU20" s="13"/>
      <c r="IIV20" s="9"/>
      <c r="IIW20" s="9"/>
      <c r="IIX20" s="9"/>
      <c r="IIY20" s="9"/>
      <c r="IIZ20" s="10"/>
      <c r="IJA20" s="11"/>
      <c r="IJB20" s="12"/>
      <c r="IJC20" s="12"/>
      <c r="IJD20" s="12"/>
      <c r="IJE20" s="13"/>
      <c r="IJF20" s="9"/>
      <c r="IJG20" s="9"/>
      <c r="IJH20" s="9"/>
      <c r="IJI20" s="9"/>
      <c r="IJJ20" s="10"/>
      <c r="IJK20" s="11"/>
      <c r="IJL20" s="12"/>
      <c r="IJM20" s="12"/>
      <c r="IJN20" s="12"/>
      <c r="IJO20" s="13"/>
      <c r="IJP20" s="9"/>
      <c r="IJQ20" s="9"/>
      <c r="IJR20" s="9"/>
      <c r="IJS20" s="9"/>
      <c r="IJT20" s="10"/>
      <c r="IJU20" s="11"/>
      <c r="IJV20" s="12"/>
      <c r="IJW20" s="12"/>
      <c r="IJX20" s="12"/>
      <c r="IJY20" s="13"/>
      <c r="IJZ20" s="9"/>
      <c r="IKA20" s="9"/>
      <c r="IKB20" s="9"/>
      <c r="IKC20" s="9"/>
      <c r="IKD20" s="10"/>
      <c r="IKE20" s="11"/>
      <c r="IKF20" s="12"/>
      <c r="IKG20" s="12"/>
      <c r="IKH20" s="12"/>
      <c r="IKI20" s="13"/>
      <c r="IKJ20" s="9"/>
      <c r="IKK20" s="9"/>
      <c r="IKL20" s="9"/>
      <c r="IKM20" s="9"/>
      <c r="IKN20" s="10"/>
      <c r="IKO20" s="11"/>
      <c r="IKP20" s="12"/>
      <c r="IKQ20" s="12"/>
      <c r="IKR20" s="12"/>
      <c r="IKS20" s="13"/>
      <c r="IKT20" s="9"/>
      <c r="IKU20" s="9"/>
      <c r="IKV20" s="9"/>
      <c r="IKW20" s="9"/>
      <c r="IKX20" s="10"/>
      <c r="IKY20" s="11"/>
      <c r="IKZ20" s="12"/>
      <c r="ILA20" s="12"/>
      <c r="ILB20" s="12"/>
      <c r="ILC20" s="13"/>
      <c r="ILD20" s="9"/>
      <c r="ILE20" s="9"/>
      <c r="ILF20" s="9"/>
      <c r="ILG20" s="9"/>
      <c r="ILH20" s="10"/>
      <c r="ILI20" s="11"/>
      <c r="ILJ20" s="12"/>
      <c r="ILK20" s="12"/>
      <c r="ILL20" s="12"/>
      <c r="ILM20" s="13"/>
      <c r="ILN20" s="9"/>
      <c r="ILO20" s="9"/>
      <c r="ILP20" s="9"/>
      <c r="ILQ20" s="9"/>
      <c r="ILR20" s="10"/>
      <c r="ILS20" s="11"/>
      <c r="ILT20" s="12"/>
      <c r="ILU20" s="12"/>
      <c r="ILV20" s="12"/>
      <c r="ILW20" s="13"/>
      <c r="ILX20" s="9"/>
      <c r="ILY20" s="9"/>
      <c r="ILZ20" s="9"/>
      <c r="IMA20" s="9"/>
      <c r="IMB20" s="10"/>
      <c r="IMC20" s="11"/>
      <c r="IMD20" s="12"/>
      <c r="IME20" s="12"/>
      <c r="IMF20" s="12"/>
      <c r="IMG20" s="13"/>
      <c r="IMH20" s="9"/>
      <c r="IMI20" s="9"/>
      <c r="IMJ20" s="9"/>
      <c r="IMK20" s="9"/>
      <c r="IML20" s="10"/>
      <c r="IMM20" s="11"/>
      <c r="IMN20" s="12"/>
      <c r="IMO20" s="12"/>
      <c r="IMP20" s="12"/>
      <c r="IMQ20" s="13"/>
      <c r="IMR20" s="9"/>
      <c r="IMS20" s="9"/>
      <c r="IMT20" s="9"/>
      <c r="IMU20" s="9"/>
      <c r="IMV20" s="10"/>
      <c r="IMW20" s="11"/>
      <c r="IMX20" s="12"/>
      <c r="IMY20" s="12"/>
      <c r="IMZ20" s="12"/>
      <c r="INA20" s="13"/>
      <c r="INB20" s="9"/>
      <c r="INC20" s="9"/>
      <c r="IND20" s="9"/>
      <c r="INE20" s="9"/>
      <c r="INF20" s="10"/>
      <c r="ING20" s="11"/>
      <c r="INH20" s="12"/>
      <c r="INI20" s="12"/>
      <c r="INJ20" s="12"/>
      <c r="INK20" s="13"/>
      <c r="INL20" s="9"/>
      <c r="INM20" s="9"/>
      <c r="INN20" s="9"/>
      <c r="INO20" s="9"/>
      <c r="INP20" s="10"/>
      <c r="INQ20" s="11"/>
      <c r="INR20" s="12"/>
      <c r="INS20" s="12"/>
      <c r="INT20" s="12"/>
      <c r="INU20" s="13"/>
      <c r="INV20" s="9"/>
      <c r="INW20" s="9"/>
      <c r="INX20" s="9"/>
      <c r="INY20" s="9"/>
      <c r="INZ20" s="10"/>
      <c r="IOA20" s="11"/>
      <c r="IOB20" s="12"/>
      <c r="IOC20" s="12"/>
      <c r="IOD20" s="12"/>
      <c r="IOE20" s="13"/>
      <c r="IOF20" s="9"/>
      <c r="IOG20" s="9"/>
      <c r="IOH20" s="9"/>
      <c r="IOI20" s="9"/>
      <c r="IOJ20" s="10"/>
      <c r="IOK20" s="11"/>
      <c r="IOL20" s="12"/>
      <c r="IOM20" s="12"/>
      <c r="ION20" s="12"/>
      <c r="IOO20" s="13"/>
      <c r="IOP20" s="9"/>
      <c r="IOQ20" s="9"/>
      <c r="IOR20" s="9"/>
      <c r="IOS20" s="9"/>
      <c r="IOT20" s="10"/>
      <c r="IOU20" s="11"/>
      <c r="IOV20" s="12"/>
      <c r="IOW20" s="12"/>
      <c r="IOX20" s="12"/>
      <c r="IOY20" s="13"/>
      <c r="IOZ20" s="9"/>
      <c r="IPA20" s="9"/>
      <c r="IPB20" s="9"/>
      <c r="IPC20" s="9"/>
      <c r="IPD20" s="10"/>
      <c r="IPE20" s="11"/>
      <c r="IPF20" s="12"/>
      <c r="IPG20" s="12"/>
      <c r="IPH20" s="12"/>
      <c r="IPI20" s="13"/>
      <c r="IPJ20" s="9"/>
      <c r="IPK20" s="9"/>
      <c r="IPL20" s="9"/>
      <c r="IPM20" s="9"/>
      <c r="IPN20" s="10"/>
      <c r="IPO20" s="11"/>
      <c r="IPP20" s="12"/>
      <c r="IPQ20" s="12"/>
      <c r="IPR20" s="12"/>
      <c r="IPS20" s="13"/>
      <c r="IPT20" s="9"/>
      <c r="IPU20" s="9"/>
      <c r="IPV20" s="9"/>
      <c r="IPW20" s="9"/>
      <c r="IPX20" s="10"/>
      <c r="IPY20" s="11"/>
      <c r="IPZ20" s="12"/>
      <c r="IQA20" s="12"/>
      <c r="IQB20" s="12"/>
      <c r="IQC20" s="13"/>
      <c r="IQD20" s="9"/>
      <c r="IQE20" s="9"/>
      <c r="IQF20" s="9"/>
      <c r="IQG20" s="9"/>
      <c r="IQH20" s="10"/>
      <c r="IQI20" s="11"/>
      <c r="IQJ20" s="12"/>
      <c r="IQK20" s="12"/>
      <c r="IQL20" s="12"/>
      <c r="IQM20" s="13"/>
      <c r="IQN20" s="9"/>
      <c r="IQO20" s="9"/>
      <c r="IQP20" s="9"/>
      <c r="IQQ20" s="9"/>
      <c r="IQR20" s="10"/>
      <c r="IQS20" s="11"/>
      <c r="IQT20" s="12"/>
      <c r="IQU20" s="12"/>
      <c r="IQV20" s="12"/>
      <c r="IQW20" s="13"/>
      <c r="IQX20" s="9"/>
      <c r="IQY20" s="9"/>
      <c r="IQZ20" s="9"/>
      <c r="IRA20" s="9"/>
      <c r="IRB20" s="10"/>
      <c r="IRC20" s="11"/>
      <c r="IRD20" s="12"/>
      <c r="IRE20" s="12"/>
      <c r="IRF20" s="12"/>
      <c r="IRG20" s="13"/>
      <c r="IRH20" s="9"/>
      <c r="IRI20" s="9"/>
      <c r="IRJ20" s="9"/>
      <c r="IRK20" s="9"/>
      <c r="IRL20" s="10"/>
      <c r="IRM20" s="11"/>
      <c r="IRN20" s="12"/>
      <c r="IRO20" s="12"/>
      <c r="IRP20" s="12"/>
      <c r="IRQ20" s="13"/>
      <c r="IRR20" s="9"/>
      <c r="IRS20" s="9"/>
      <c r="IRT20" s="9"/>
      <c r="IRU20" s="9"/>
      <c r="IRV20" s="10"/>
      <c r="IRW20" s="11"/>
      <c r="IRX20" s="12"/>
      <c r="IRY20" s="12"/>
      <c r="IRZ20" s="12"/>
      <c r="ISA20" s="13"/>
      <c r="ISB20" s="9"/>
      <c r="ISC20" s="9"/>
      <c r="ISD20" s="9"/>
      <c r="ISE20" s="9"/>
      <c r="ISF20" s="10"/>
      <c r="ISG20" s="11"/>
      <c r="ISH20" s="12"/>
      <c r="ISI20" s="12"/>
      <c r="ISJ20" s="12"/>
      <c r="ISK20" s="13"/>
      <c r="ISL20" s="9"/>
      <c r="ISM20" s="9"/>
      <c r="ISN20" s="9"/>
      <c r="ISO20" s="9"/>
      <c r="ISP20" s="10"/>
      <c r="ISQ20" s="11"/>
      <c r="ISR20" s="12"/>
      <c r="ISS20" s="12"/>
      <c r="IST20" s="12"/>
      <c r="ISU20" s="13"/>
      <c r="ISV20" s="9"/>
      <c r="ISW20" s="9"/>
      <c r="ISX20" s="9"/>
      <c r="ISY20" s="9"/>
      <c r="ISZ20" s="10"/>
      <c r="ITA20" s="11"/>
      <c r="ITB20" s="12"/>
      <c r="ITC20" s="12"/>
      <c r="ITD20" s="12"/>
      <c r="ITE20" s="13"/>
      <c r="ITF20" s="9"/>
      <c r="ITG20" s="9"/>
      <c r="ITH20" s="9"/>
      <c r="ITI20" s="9"/>
      <c r="ITJ20" s="10"/>
      <c r="ITK20" s="11"/>
      <c r="ITL20" s="12"/>
      <c r="ITM20" s="12"/>
      <c r="ITN20" s="12"/>
      <c r="ITO20" s="13"/>
      <c r="ITP20" s="9"/>
      <c r="ITQ20" s="9"/>
      <c r="ITR20" s="9"/>
      <c r="ITS20" s="9"/>
      <c r="ITT20" s="10"/>
      <c r="ITU20" s="11"/>
      <c r="ITV20" s="12"/>
      <c r="ITW20" s="12"/>
      <c r="ITX20" s="12"/>
      <c r="ITY20" s="13"/>
      <c r="ITZ20" s="9"/>
      <c r="IUA20" s="9"/>
      <c r="IUB20" s="9"/>
      <c r="IUC20" s="9"/>
      <c r="IUD20" s="10"/>
      <c r="IUE20" s="11"/>
      <c r="IUF20" s="12"/>
      <c r="IUG20" s="12"/>
      <c r="IUH20" s="12"/>
      <c r="IUI20" s="13"/>
      <c r="IUJ20" s="9"/>
      <c r="IUK20" s="9"/>
      <c r="IUL20" s="9"/>
      <c r="IUM20" s="9"/>
      <c r="IUN20" s="10"/>
      <c r="IUO20" s="11"/>
      <c r="IUP20" s="12"/>
      <c r="IUQ20" s="12"/>
      <c r="IUR20" s="12"/>
      <c r="IUS20" s="13"/>
      <c r="IUT20" s="9"/>
      <c r="IUU20" s="9"/>
      <c r="IUV20" s="9"/>
      <c r="IUW20" s="9"/>
      <c r="IUX20" s="10"/>
      <c r="IUY20" s="11"/>
      <c r="IUZ20" s="12"/>
      <c r="IVA20" s="12"/>
      <c r="IVB20" s="12"/>
      <c r="IVC20" s="13"/>
      <c r="IVD20" s="9"/>
      <c r="IVE20" s="9"/>
      <c r="IVF20" s="9"/>
      <c r="IVG20" s="9"/>
      <c r="IVH20" s="10"/>
      <c r="IVI20" s="11"/>
      <c r="IVJ20" s="12"/>
      <c r="IVK20" s="12"/>
      <c r="IVL20" s="12"/>
      <c r="IVM20" s="13"/>
      <c r="IVN20" s="9"/>
      <c r="IVO20" s="9"/>
      <c r="IVP20" s="9"/>
      <c r="IVQ20" s="9"/>
      <c r="IVR20" s="10"/>
      <c r="IVS20" s="11"/>
      <c r="IVT20" s="12"/>
      <c r="IVU20" s="12"/>
      <c r="IVV20" s="12"/>
      <c r="IVW20" s="13"/>
      <c r="IVX20" s="9"/>
      <c r="IVY20" s="9"/>
      <c r="IVZ20" s="9"/>
      <c r="IWA20" s="9"/>
      <c r="IWB20" s="10"/>
      <c r="IWC20" s="11"/>
      <c r="IWD20" s="12"/>
      <c r="IWE20" s="12"/>
      <c r="IWF20" s="12"/>
      <c r="IWG20" s="13"/>
      <c r="IWH20" s="9"/>
      <c r="IWI20" s="9"/>
      <c r="IWJ20" s="9"/>
      <c r="IWK20" s="9"/>
      <c r="IWL20" s="10"/>
      <c r="IWM20" s="11"/>
      <c r="IWN20" s="12"/>
      <c r="IWO20" s="12"/>
      <c r="IWP20" s="12"/>
      <c r="IWQ20" s="13"/>
      <c r="IWR20" s="9"/>
      <c r="IWS20" s="9"/>
      <c r="IWT20" s="9"/>
      <c r="IWU20" s="9"/>
      <c r="IWV20" s="10"/>
      <c r="IWW20" s="11"/>
      <c r="IWX20" s="12"/>
      <c r="IWY20" s="12"/>
      <c r="IWZ20" s="12"/>
      <c r="IXA20" s="13"/>
      <c r="IXB20" s="9"/>
      <c r="IXC20" s="9"/>
      <c r="IXD20" s="9"/>
      <c r="IXE20" s="9"/>
      <c r="IXF20" s="10"/>
      <c r="IXG20" s="11"/>
      <c r="IXH20" s="12"/>
      <c r="IXI20" s="12"/>
      <c r="IXJ20" s="12"/>
      <c r="IXK20" s="13"/>
      <c r="IXL20" s="9"/>
      <c r="IXM20" s="9"/>
      <c r="IXN20" s="9"/>
      <c r="IXO20" s="9"/>
      <c r="IXP20" s="10"/>
      <c r="IXQ20" s="11"/>
      <c r="IXR20" s="12"/>
      <c r="IXS20" s="12"/>
      <c r="IXT20" s="12"/>
      <c r="IXU20" s="13"/>
      <c r="IXV20" s="9"/>
      <c r="IXW20" s="9"/>
      <c r="IXX20" s="9"/>
      <c r="IXY20" s="9"/>
      <c r="IXZ20" s="10"/>
      <c r="IYA20" s="11"/>
      <c r="IYB20" s="12"/>
      <c r="IYC20" s="12"/>
      <c r="IYD20" s="12"/>
      <c r="IYE20" s="13"/>
      <c r="IYF20" s="9"/>
      <c r="IYG20" s="9"/>
      <c r="IYH20" s="9"/>
      <c r="IYI20" s="9"/>
      <c r="IYJ20" s="10"/>
      <c r="IYK20" s="11"/>
      <c r="IYL20" s="12"/>
      <c r="IYM20" s="12"/>
      <c r="IYN20" s="12"/>
      <c r="IYO20" s="13"/>
      <c r="IYP20" s="9"/>
      <c r="IYQ20" s="9"/>
      <c r="IYR20" s="9"/>
      <c r="IYS20" s="9"/>
      <c r="IYT20" s="10"/>
      <c r="IYU20" s="11"/>
      <c r="IYV20" s="12"/>
      <c r="IYW20" s="12"/>
      <c r="IYX20" s="12"/>
      <c r="IYY20" s="13"/>
      <c r="IYZ20" s="9"/>
      <c r="IZA20" s="9"/>
      <c r="IZB20" s="9"/>
      <c r="IZC20" s="9"/>
      <c r="IZD20" s="10"/>
      <c r="IZE20" s="11"/>
      <c r="IZF20" s="12"/>
      <c r="IZG20" s="12"/>
      <c r="IZH20" s="12"/>
      <c r="IZI20" s="13"/>
      <c r="IZJ20" s="9"/>
      <c r="IZK20" s="9"/>
      <c r="IZL20" s="9"/>
      <c r="IZM20" s="9"/>
      <c r="IZN20" s="10"/>
      <c r="IZO20" s="11"/>
      <c r="IZP20" s="12"/>
      <c r="IZQ20" s="12"/>
      <c r="IZR20" s="12"/>
      <c r="IZS20" s="13"/>
      <c r="IZT20" s="9"/>
      <c r="IZU20" s="9"/>
      <c r="IZV20" s="9"/>
      <c r="IZW20" s="9"/>
      <c r="IZX20" s="10"/>
      <c r="IZY20" s="11"/>
      <c r="IZZ20" s="12"/>
      <c r="JAA20" s="12"/>
      <c r="JAB20" s="12"/>
      <c r="JAC20" s="13"/>
      <c r="JAD20" s="9"/>
      <c r="JAE20" s="9"/>
      <c r="JAF20" s="9"/>
      <c r="JAG20" s="9"/>
      <c r="JAH20" s="10"/>
      <c r="JAI20" s="11"/>
      <c r="JAJ20" s="12"/>
      <c r="JAK20" s="12"/>
      <c r="JAL20" s="12"/>
      <c r="JAM20" s="13"/>
      <c r="JAN20" s="9"/>
      <c r="JAO20" s="9"/>
      <c r="JAP20" s="9"/>
      <c r="JAQ20" s="9"/>
      <c r="JAR20" s="10"/>
      <c r="JAS20" s="11"/>
      <c r="JAT20" s="12"/>
      <c r="JAU20" s="12"/>
      <c r="JAV20" s="12"/>
      <c r="JAW20" s="13"/>
      <c r="JAX20" s="9"/>
      <c r="JAY20" s="9"/>
      <c r="JAZ20" s="9"/>
      <c r="JBA20" s="9"/>
      <c r="JBB20" s="10"/>
      <c r="JBC20" s="11"/>
      <c r="JBD20" s="12"/>
      <c r="JBE20" s="12"/>
      <c r="JBF20" s="12"/>
      <c r="JBG20" s="13"/>
      <c r="JBH20" s="9"/>
      <c r="JBI20" s="9"/>
      <c r="JBJ20" s="9"/>
      <c r="JBK20" s="9"/>
      <c r="JBL20" s="10"/>
      <c r="JBM20" s="11"/>
      <c r="JBN20" s="12"/>
      <c r="JBO20" s="12"/>
      <c r="JBP20" s="12"/>
      <c r="JBQ20" s="13"/>
      <c r="JBR20" s="9"/>
      <c r="JBS20" s="9"/>
      <c r="JBT20" s="9"/>
      <c r="JBU20" s="9"/>
      <c r="JBV20" s="10"/>
      <c r="JBW20" s="11"/>
      <c r="JBX20" s="12"/>
      <c r="JBY20" s="12"/>
      <c r="JBZ20" s="12"/>
      <c r="JCA20" s="13"/>
      <c r="JCB20" s="9"/>
      <c r="JCC20" s="9"/>
      <c r="JCD20" s="9"/>
      <c r="JCE20" s="9"/>
      <c r="JCF20" s="10"/>
      <c r="JCG20" s="11"/>
      <c r="JCH20" s="12"/>
      <c r="JCI20" s="12"/>
      <c r="JCJ20" s="12"/>
      <c r="JCK20" s="13"/>
      <c r="JCL20" s="9"/>
      <c r="JCM20" s="9"/>
      <c r="JCN20" s="9"/>
      <c r="JCO20" s="9"/>
      <c r="JCP20" s="10"/>
      <c r="JCQ20" s="11"/>
      <c r="JCR20" s="12"/>
      <c r="JCS20" s="12"/>
      <c r="JCT20" s="12"/>
      <c r="JCU20" s="13"/>
      <c r="JCV20" s="9"/>
      <c r="JCW20" s="9"/>
      <c r="JCX20" s="9"/>
      <c r="JCY20" s="9"/>
      <c r="JCZ20" s="10"/>
      <c r="JDA20" s="11"/>
      <c r="JDB20" s="12"/>
      <c r="JDC20" s="12"/>
      <c r="JDD20" s="12"/>
      <c r="JDE20" s="13"/>
      <c r="JDF20" s="9"/>
      <c r="JDG20" s="9"/>
      <c r="JDH20" s="9"/>
      <c r="JDI20" s="9"/>
      <c r="JDJ20" s="10"/>
      <c r="JDK20" s="11"/>
      <c r="JDL20" s="12"/>
      <c r="JDM20" s="12"/>
      <c r="JDN20" s="12"/>
      <c r="JDO20" s="13"/>
      <c r="JDP20" s="9"/>
      <c r="JDQ20" s="9"/>
      <c r="JDR20" s="9"/>
      <c r="JDS20" s="9"/>
      <c r="JDT20" s="10"/>
      <c r="JDU20" s="11"/>
      <c r="JDV20" s="12"/>
      <c r="JDW20" s="12"/>
      <c r="JDX20" s="12"/>
      <c r="JDY20" s="13"/>
      <c r="JDZ20" s="9"/>
      <c r="JEA20" s="9"/>
      <c r="JEB20" s="9"/>
      <c r="JEC20" s="9"/>
      <c r="JED20" s="10"/>
      <c r="JEE20" s="11"/>
      <c r="JEF20" s="12"/>
      <c r="JEG20" s="12"/>
      <c r="JEH20" s="12"/>
      <c r="JEI20" s="13"/>
      <c r="JEJ20" s="9"/>
      <c r="JEK20" s="9"/>
      <c r="JEL20" s="9"/>
      <c r="JEM20" s="9"/>
      <c r="JEN20" s="10"/>
      <c r="JEO20" s="11"/>
      <c r="JEP20" s="12"/>
      <c r="JEQ20" s="12"/>
      <c r="JER20" s="12"/>
      <c r="JES20" s="13"/>
      <c r="JET20" s="9"/>
      <c r="JEU20" s="9"/>
      <c r="JEV20" s="9"/>
      <c r="JEW20" s="9"/>
      <c r="JEX20" s="10"/>
      <c r="JEY20" s="11"/>
      <c r="JEZ20" s="12"/>
      <c r="JFA20" s="12"/>
      <c r="JFB20" s="12"/>
      <c r="JFC20" s="13"/>
      <c r="JFD20" s="9"/>
      <c r="JFE20" s="9"/>
      <c r="JFF20" s="9"/>
      <c r="JFG20" s="9"/>
      <c r="JFH20" s="10"/>
      <c r="JFI20" s="11"/>
      <c r="JFJ20" s="12"/>
      <c r="JFK20" s="12"/>
      <c r="JFL20" s="12"/>
      <c r="JFM20" s="13"/>
      <c r="JFN20" s="9"/>
      <c r="JFO20" s="9"/>
      <c r="JFP20" s="9"/>
      <c r="JFQ20" s="9"/>
      <c r="JFR20" s="10"/>
      <c r="JFS20" s="11"/>
      <c r="JFT20" s="12"/>
      <c r="JFU20" s="12"/>
      <c r="JFV20" s="12"/>
      <c r="JFW20" s="13"/>
      <c r="JFX20" s="9"/>
      <c r="JFY20" s="9"/>
      <c r="JFZ20" s="9"/>
      <c r="JGA20" s="9"/>
      <c r="JGB20" s="10"/>
      <c r="JGC20" s="11"/>
      <c r="JGD20" s="12"/>
      <c r="JGE20" s="12"/>
      <c r="JGF20" s="12"/>
      <c r="JGG20" s="13"/>
      <c r="JGH20" s="9"/>
      <c r="JGI20" s="9"/>
      <c r="JGJ20" s="9"/>
      <c r="JGK20" s="9"/>
      <c r="JGL20" s="10"/>
      <c r="JGM20" s="11"/>
      <c r="JGN20" s="12"/>
      <c r="JGO20" s="12"/>
      <c r="JGP20" s="12"/>
      <c r="JGQ20" s="13"/>
      <c r="JGR20" s="9"/>
      <c r="JGS20" s="9"/>
      <c r="JGT20" s="9"/>
      <c r="JGU20" s="9"/>
      <c r="JGV20" s="10"/>
      <c r="JGW20" s="11"/>
      <c r="JGX20" s="12"/>
      <c r="JGY20" s="12"/>
      <c r="JGZ20" s="12"/>
      <c r="JHA20" s="13"/>
      <c r="JHB20" s="9"/>
      <c r="JHC20" s="9"/>
      <c r="JHD20" s="9"/>
      <c r="JHE20" s="9"/>
      <c r="JHF20" s="10"/>
      <c r="JHG20" s="11"/>
      <c r="JHH20" s="12"/>
      <c r="JHI20" s="12"/>
      <c r="JHJ20" s="12"/>
      <c r="JHK20" s="13"/>
      <c r="JHL20" s="9"/>
      <c r="JHM20" s="9"/>
      <c r="JHN20" s="9"/>
      <c r="JHO20" s="9"/>
      <c r="JHP20" s="10"/>
      <c r="JHQ20" s="11"/>
      <c r="JHR20" s="12"/>
      <c r="JHS20" s="12"/>
      <c r="JHT20" s="12"/>
      <c r="JHU20" s="13"/>
      <c r="JHV20" s="9"/>
      <c r="JHW20" s="9"/>
      <c r="JHX20" s="9"/>
      <c r="JHY20" s="9"/>
      <c r="JHZ20" s="10"/>
      <c r="JIA20" s="11"/>
      <c r="JIB20" s="12"/>
      <c r="JIC20" s="12"/>
      <c r="JID20" s="12"/>
      <c r="JIE20" s="13"/>
      <c r="JIF20" s="9"/>
      <c r="JIG20" s="9"/>
      <c r="JIH20" s="9"/>
      <c r="JII20" s="9"/>
      <c r="JIJ20" s="10"/>
      <c r="JIK20" s="11"/>
      <c r="JIL20" s="12"/>
      <c r="JIM20" s="12"/>
      <c r="JIN20" s="12"/>
      <c r="JIO20" s="13"/>
      <c r="JIP20" s="9"/>
      <c r="JIQ20" s="9"/>
      <c r="JIR20" s="9"/>
      <c r="JIS20" s="9"/>
      <c r="JIT20" s="10"/>
      <c r="JIU20" s="11"/>
      <c r="JIV20" s="12"/>
      <c r="JIW20" s="12"/>
      <c r="JIX20" s="12"/>
      <c r="JIY20" s="13"/>
      <c r="JIZ20" s="9"/>
      <c r="JJA20" s="9"/>
      <c r="JJB20" s="9"/>
      <c r="JJC20" s="9"/>
      <c r="JJD20" s="10"/>
      <c r="JJE20" s="11"/>
      <c r="JJF20" s="12"/>
      <c r="JJG20" s="12"/>
      <c r="JJH20" s="12"/>
      <c r="JJI20" s="13"/>
      <c r="JJJ20" s="9"/>
      <c r="JJK20" s="9"/>
      <c r="JJL20" s="9"/>
      <c r="JJM20" s="9"/>
      <c r="JJN20" s="10"/>
      <c r="JJO20" s="11"/>
      <c r="JJP20" s="12"/>
      <c r="JJQ20" s="12"/>
      <c r="JJR20" s="12"/>
      <c r="JJS20" s="13"/>
      <c r="JJT20" s="9"/>
      <c r="JJU20" s="9"/>
      <c r="JJV20" s="9"/>
      <c r="JJW20" s="9"/>
      <c r="JJX20" s="10"/>
      <c r="JJY20" s="11"/>
      <c r="JJZ20" s="12"/>
      <c r="JKA20" s="12"/>
      <c r="JKB20" s="12"/>
      <c r="JKC20" s="13"/>
      <c r="JKD20" s="9"/>
      <c r="JKE20" s="9"/>
      <c r="JKF20" s="9"/>
      <c r="JKG20" s="9"/>
      <c r="JKH20" s="10"/>
      <c r="JKI20" s="11"/>
      <c r="JKJ20" s="12"/>
      <c r="JKK20" s="12"/>
      <c r="JKL20" s="12"/>
      <c r="JKM20" s="13"/>
      <c r="JKN20" s="9"/>
      <c r="JKO20" s="9"/>
      <c r="JKP20" s="9"/>
      <c r="JKQ20" s="9"/>
      <c r="JKR20" s="10"/>
      <c r="JKS20" s="11"/>
      <c r="JKT20" s="12"/>
      <c r="JKU20" s="12"/>
      <c r="JKV20" s="12"/>
      <c r="JKW20" s="13"/>
      <c r="JKX20" s="9"/>
      <c r="JKY20" s="9"/>
      <c r="JKZ20" s="9"/>
      <c r="JLA20" s="9"/>
      <c r="JLB20" s="10"/>
      <c r="JLC20" s="11"/>
      <c r="JLD20" s="12"/>
      <c r="JLE20" s="12"/>
      <c r="JLF20" s="12"/>
      <c r="JLG20" s="13"/>
      <c r="JLH20" s="9"/>
      <c r="JLI20" s="9"/>
      <c r="JLJ20" s="9"/>
      <c r="JLK20" s="9"/>
      <c r="JLL20" s="10"/>
      <c r="JLM20" s="11"/>
      <c r="JLN20" s="12"/>
      <c r="JLO20" s="12"/>
      <c r="JLP20" s="12"/>
      <c r="JLQ20" s="13"/>
      <c r="JLR20" s="9"/>
      <c r="JLS20" s="9"/>
      <c r="JLT20" s="9"/>
      <c r="JLU20" s="9"/>
      <c r="JLV20" s="10"/>
      <c r="JLW20" s="11"/>
      <c r="JLX20" s="12"/>
      <c r="JLY20" s="12"/>
      <c r="JLZ20" s="12"/>
      <c r="JMA20" s="13"/>
      <c r="JMB20" s="9"/>
      <c r="JMC20" s="9"/>
      <c r="JMD20" s="9"/>
      <c r="JME20" s="9"/>
      <c r="JMF20" s="10"/>
      <c r="JMG20" s="11"/>
      <c r="JMH20" s="12"/>
      <c r="JMI20" s="12"/>
      <c r="JMJ20" s="12"/>
      <c r="JMK20" s="13"/>
      <c r="JML20" s="9"/>
      <c r="JMM20" s="9"/>
      <c r="JMN20" s="9"/>
      <c r="JMO20" s="9"/>
      <c r="JMP20" s="10"/>
      <c r="JMQ20" s="11"/>
      <c r="JMR20" s="12"/>
      <c r="JMS20" s="12"/>
      <c r="JMT20" s="12"/>
      <c r="JMU20" s="13"/>
      <c r="JMV20" s="9"/>
      <c r="JMW20" s="9"/>
      <c r="JMX20" s="9"/>
      <c r="JMY20" s="9"/>
      <c r="JMZ20" s="10"/>
      <c r="JNA20" s="11"/>
      <c r="JNB20" s="12"/>
      <c r="JNC20" s="12"/>
      <c r="JND20" s="12"/>
      <c r="JNE20" s="13"/>
      <c r="JNF20" s="9"/>
      <c r="JNG20" s="9"/>
      <c r="JNH20" s="9"/>
      <c r="JNI20" s="9"/>
      <c r="JNJ20" s="10"/>
      <c r="JNK20" s="11"/>
      <c r="JNL20" s="12"/>
      <c r="JNM20" s="12"/>
      <c r="JNN20" s="12"/>
      <c r="JNO20" s="13"/>
      <c r="JNP20" s="9"/>
      <c r="JNQ20" s="9"/>
      <c r="JNR20" s="9"/>
      <c r="JNS20" s="9"/>
      <c r="JNT20" s="10"/>
      <c r="JNU20" s="11"/>
      <c r="JNV20" s="12"/>
      <c r="JNW20" s="12"/>
      <c r="JNX20" s="12"/>
      <c r="JNY20" s="13"/>
      <c r="JNZ20" s="9"/>
      <c r="JOA20" s="9"/>
      <c r="JOB20" s="9"/>
      <c r="JOC20" s="9"/>
      <c r="JOD20" s="10"/>
      <c r="JOE20" s="11"/>
      <c r="JOF20" s="12"/>
      <c r="JOG20" s="12"/>
      <c r="JOH20" s="12"/>
      <c r="JOI20" s="13"/>
      <c r="JOJ20" s="9"/>
      <c r="JOK20" s="9"/>
      <c r="JOL20" s="9"/>
      <c r="JOM20" s="9"/>
      <c r="JON20" s="10"/>
      <c r="JOO20" s="11"/>
      <c r="JOP20" s="12"/>
      <c r="JOQ20" s="12"/>
      <c r="JOR20" s="12"/>
      <c r="JOS20" s="13"/>
      <c r="JOT20" s="9"/>
      <c r="JOU20" s="9"/>
      <c r="JOV20" s="9"/>
      <c r="JOW20" s="9"/>
      <c r="JOX20" s="10"/>
      <c r="JOY20" s="11"/>
      <c r="JOZ20" s="12"/>
      <c r="JPA20" s="12"/>
      <c r="JPB20" s="12"/>
      <c r="JPC20" s="13"/>
      <c r="JPD20" s="9"/>
      <c r="JPE20" s="9"/>
      <c r="JPF20" s="9"/>
      <c r="JPG20" s="9"/>
      <c r="JPH20" s="10"/>
      <c r="JPI20" s="11"/>
      <c r="JPJ20" s="12"/>
      <c r="JPK20" s="12"/>
      <c r="JPL20" s="12"/>
      <c r="JPM20" s="13"/>
      <c r="JPN20" s="9"/>
      <c r="JPO20" s="9"/>
      <c r="JPP20" s="9"/>
      <c r="JPQ20" s="9"/>
      <c r="JPR20" s="10"/>
      <c r="JPS20" s="11"/>
      <c r="JPT20" s="12"/>
      <c r="JPU20" s="12"/>
      <c r="JPV20" s="12"/>
      <c r="JPW20" s="13"/>
      <c r="JPX20" s="9"/>
      <c r="JPY20" s="9"/>
      <c r="JPZ20" s="9"/>
      <c r="JQA20" s="9"/>
      <c r="JQB20" s="10"/>
      <c r="JQC20" s="11"/>
      <c r="JQD20" s="12"/>
      <c r="JQE20" s="12"/>
      <c r="JQF20" s="12"/>
      <c r="JQG20" s="13"/>
      <c r="JQH20" s="9"/>
      <c r="JQI20" s="9"/>
      <c r="JQJ20" s="9"/>
      <c r="JQK20" s="9"/>
      <c r="JQL20" s="10"/>
      <c r="JQM20" s="11"/>
      <c r="JQN20" s="12"/>
      <c r="JQO20" s="12"/>
      <c r="JQP20" s="12"/>
      <c r="JQQ20" s="13"/>
      <c r="JQR20" s="9"/>
      <c r="JQS20" s="9"/>
      <c r="JQT20" s="9"/>
      <c r="JQU20" s="9"/>
      <c r="JQV20" s="10"/>
      <c r="JQW20" s="11"/>
      <c r="JQX20" s="12"/>
      <c r="JQY20" s="12"/>
      <c r="JQZ20" s="12"/>
      <c r="JRA20" s="13"/>
      <c r="JRB20" s="9"/>
      <c r="JRC20" s="9"/>
      <c r="JRD20" s="9"/>
      <c r="JRE20" s="9"/>
      <c r="JRF20" s="10"/>
      <c r="JRG20" s="11"/>
      <c r="JRH20" s="12"/>
      <c r="JRI20" s="12"/>
      <c r="JRJ20" s="12"/>
      <c r="JRK20" s="13"/>
      <c r="JRL20" s="9"/>
      <c r="JRM20" s="9"/>
      <c r="JRN20" s="9"/>
      <c r="JRO20" s="9"/>
      <c r="JRP20" s="10"/>
      <c r="JRQ20" s="11"/>
      <c r="JRR20" s="12"/>
      <c r="JRS20" s="12"/>
      <c r="JRT20" s="12"/>
      <c r="JRU20" s="13"/>
      <c r="JRV20" s="9"/>
      <c r="JRW20" s="9"/>
      <c r="JRX20" s="9"/>
      <c r="JRY20" s="9"/>
      <c r="JRZ20" s="10"/>
      <c r="JSA20" s="11"/>
      <c r="JSB20" s="12"/>
      <c r="JSC20" s="12"/>
      <c r="JSD20" s="12"/>
      <c r="JSE20" s="13"/>
      <c r="JSF20" s="9"/>
      <c r="JSG20" s="9"/>
      <c r="JSH20" s="9"/>
      <c r="JSI20" s="9"/>
      <c r="JSJ20" s="10"/>
      <c r="JSK20" s="11"/>
      <c r="JSL20" s="12"/>
      <c r="JSM20" s="12"/>
      <c r="JSN20" s="12"/>
      <c r="JSO20" s="13"/>
      <c r="JSP20" s="9"/>
      <c r="JSQ20" s="9"/>
      <c r="JSR20" s="9"/>
      <c r="JSS20" s="9"/>
      <c r="JST20" s="10"/>
      <c r="JSU20" s="11"/>
      <c r="JSV20" s="12"/>
      <c r="JSW20" s="12"/>
      <c r="JSX20" s="12"/>
      <c r="JSY20" s="13"/>
      <c r="JSZ20" s="9"/>
      <c r="JTA20" s="9"/>
      <c r="JTB20" s="9"/>
      <c r="JTC20" s="9"/>
      <c r="JTD20" s="10"/>
      <c r="JTE20" s="11"/>
      <c r="JTF20" s="12"/>
      <c r="JTG20" s="12"/>
      <c r="JTH20" s="12"/>
      <c r="JTI20" s="13"/>
      <c r="JTJ20" s="9"/>
      <c r="JTK20" s="9"/>
      <c r="JTL20" s="9"/>
      <c r="JTM20" s="9"/>
      <c r="JTN20" s="10"/>
      <c r="JTO20" s="11"/>
      <c r="JTP20" s="12"/>
      <c r="JTQ20" s="12"/>
      <c r="JTR20" s="12"/>
      <c r="JTS20" s="13"/>
      <c r="JTT20" s="9"/>
      <c r="JTU20" s="9"/>
      <c r="JTV20" s="9"/>
      <c r="JTW20" s="9"/>
      <c r="JTX20" s="10"/>
      <c r="JTY20" s="11"/>
      <c r="JTZ20" s="12"/>
      <c r="JUA20" s="12"/>
      <c r="JUB20" s="12"/>
      <c r="JUC20" s="13"/>
      <c r="JUD20" s="9"/>
      <c r="JUE20" s="9"/>
      <c r="JUF20" s="9"/>
      <c r="JUG20" s="9"/>
      <c r="JUH20" s="10"/>
      <c r="JUI20" s="11"/>
      <c r="JUJ20" s="12"/>
      <c r="JUK20" s="12"/>
      <c r="JUL20" s="12"/>
      <c r="JUM20" s="13"/>
      <c r="JUN20" s="9"/>
      <c r="JUO20" s="9"/>
      <c r="JUP20" s="9"/>
      <c r="JUQ20" s="9"/>
      <c r="JUR20" s="10"/>
      <c r="JUS20" s="11"/>
      <c r="JUT20" s="12"/>
      <c r="JUU20" s="12"/>
      <c r="JUV20" s="12"/>
      <c r="JUW20" s="13"/>
      <c r="JUX20" s="9"/>
      <c r="JUY20" s="9"/>
      <c r="JUZ20" s="9"/>
      <c r="JVA20" s="9"/>
      <c r="JVB20" s="10"/>
      <c r="JVC20" s="11"/>
      <c r="JVD20" s="12"/>
      <c r="JVE20" s="12"/>
      <c r="JVF20" s="12"/>
      <c r="JVG20" s="13"/>
      <c r="JVH20" s="9"/>
      <c r="JVI20" s="9"/>
      <c r="JVJ20" s="9"/>
      <c r="JVK20" s="9"/>
      <c r="JVL20" s="10"/>
      <c r="JVM20" s="11"/>
      <c r="JVN20" s="12"/>
      <c r="JVO20" s="12"/>
      <c r="JVP20" s="12"/>
      <c r="JVQ20" s="13"/>
      <c r="JVR20" s="9"/>
      <c r="JVS20" s="9"/>
      <c r="JVT20" s="9"/>
      <c r="JVU20" s="9"/>
      <c r="JVV20" s="10"/>
      <c r="JVW20" s="11"/>
      <c r="JVX20" s="12"/>
      <c r="JVY20" s="12"/>
      <c r="JVZ20" s="12"/>
      <c r="JWA20" s="13"/>
      <c r="JWB20" s="9"/>
      <c r="JWC20" s="9"/>
      <c r="JWD20" s="9"/>
      <c r="JWE20" s="9"/>
      <c r="JWF20" s="10"/>
      <c r="JWG20" s="11"/>
      <c r="JWH20" s="12"/>
      <c r="JWI20" s="12"/>
      <c r="JWJ20" s="12"/>
      <c r="JWK20" s="13"/>
      <c r="JWL20" s="9"/>
      <c r="JWM20" s="9"/>
      <c r="JWN20" s="9"/>
      <c r="JWO20" s="9"/>
      <c r="JWP20" s="10"/>
      <c r="JWQ20" s="11"/>
      <c r="JWR20" s="12"/>
      <c r="JWS20" s="12"/>
      <c r="JWT20" s="12"/>
      <c r="JWU20" s="13"/>
      <c r="JWV20" s="9"/>
      <c r="JWW20" s="9"/>
      <c r="JWX20" s="9"/>
      <c r="JWY20" s="9"/>
      <c r="JWZ20" s="10"/>
      <c r="JXA20" s="11"/>
      <c r="JXB20" s="12"/>
      <c r="JXC20" s="12"/>
      <c r="JXD20" s="12"/>
      <c r="JXE20" s="13"/>
      <c r="JXF20" s="9"/>
      <c r="JXG20" s="9"/>
      <c r="JXH20" s="9"/>
      <c r="JXI20" s="9"/>
      <c r="JXJ20" s="10"/>
      <c r="JXK20" s="11"/>
      <c r="JXL20" s="12"/>
      <c r="JXM20" s="12"/>
      <c r="JXN20" s="12"/>
      <c r="JXO20" s="13"/>
      <c r="JXP20" s="9"/>
      <c r="JXQ20" s="9"/>
      <c r="JXR20" s="9"/>
      <c r="JXS20" s="9"/>
      <c r="JXT20" s="10"/>
      <c r="JXU20" s="11"/>
      <c r="JXV20" s="12"/>
      <c r="JXW20" s="12"/>
      <c r="JXX20" s="12"/>
      <c r="JXY20" s="13"/>
      <c r="JXZ20" s="9"/>
      <c r="JYA20" s="9"/>
      <c r="JYB20" s="9"/>
      <c r="JYC20" s="9"/>
      <c r="JYD20" s="10"/>
      <c r="JYE20" s="11"/>
      <c r="JYF20" s="12"/>
      <c r="JYG20" s="12"/>
      <c r="JYH20" s="12"/>
      <c r="JYI20" s="13"/>
      <c r="JYJ20" s="9"/>
      <c r="JYK20" s="9"/>
      <c r="JYL20" s="9"/>
      <c r="JYM20" s="9"/>
      <c r="JYN20" s="10"/>
      <c r="JYO20" s="11"/>
      <c r="JYP20" s="12"/>
      <c r="JYQ20" s="12"/>
      <c r="JYR20" s="12"/>
      <c r="JYS20" s="13"/>
      <c r="JYT20" s="9"/>
      <c r="JYU20" s="9"/>
      <c r="JYV20" s="9"/>
      <c r="JYW20" s="9"/>
      <c r="JYX20" s="10"/>
      <c r="JYY20" s="11"/>
      <c r="JYZ20" s="12"/>
      <c r="JZA20" s="12"/>
      <c r="JZB20" s="12"/>
      <c r="JZC20" s="13"/>
      <c r="JZD20" s="9"/>
      <c r="JZE20" s="9"/>
      <c r="JZF20" s="9"/>
      <c r="JZG20" s="9"/>
      <c r="JZH20" s="10"/>
      <c r="JZI20" s="11"/>
      <c r="JZJ20" s="12"/>
      <c r="JZK20" s="12"/>
      <c r="JZL20" s="12"/>
      <c r="JZM20" s="13"/>
      <c r="JZN20" s="9"/>
      <c r="JZO20" s="9"/>
      <c r="JZP20" s="9"/>
      <c r="JZQ20" s="9"/>
      <c r="JZR20" s="10"/>
      <c r="JZS20" s="11"/>
      <c r="JZT20" s="12"/>
      <c r="JZU20" s="12"/>
      <c r="JZV20" s="12"/>
      <c r="JZW20" s="13"/>
      <c r="JZX20" s="9"/>
      <c r="JZY20" s="9"/>
      <c r="JZZ20" s="9"/>
      <c r="KAA20" s="9"/>
      <c r="KAB20" s="10"/>
      <c r="KAC20" s="11"/>
      <c r="KAD20" s="12"/>
      <c r="KAE20" s="12"/>
      <c r="KAF20" s="12"/>
      <c r="KAG20" s="13"/>
      <c r="KAH20" s="9"/>
      <c r="KAI20" s="9"/>
      <c r="KAJ20" s="9"/>
      <c r="KAK20" s="9"/>
      <c r="KAL20" s="10"/>
      <c r="KAM20" s="11"/>
      <c r="KAN20" s="12"/>
      <c r="KAO20" s="12"/>
      <c r="KAP20" s="12"/>
      <c r="KAQ20" s="13"/>
      <c r="KAR20" s="9"/>
      <c r="KAS20" s="9"/>
      <c r="KAT20" s="9"/>
      <c r="KAU20" s="9"/>
      <c r="KAV20" s="10"/>
      <c r="KAW20" s="11"/>
      <c r="KAX20" s="12"/>
      <c r="KAY20" s="12"/>
      <c r="KAZ20" s="12"/>
      <c r="KBA20" s="13"/>
      <c r="KBB20" s="9"/>
      <c r="KBC20" s="9"/>
      <c r="KBD20" s="9"/>
      <c r="KBE20" s="9"/>
      <c r="KBF20" s="10"/>
      <c r="KBG20" s="11"/>
      <c r="KBH20" s="12"/>
      <c r="KBI20" s="12"/>
      <c r="KBJ20" s="12"/>
      <c r="KBK20" s="13"/>
      <c r="KBL20" s="9"/>
      <c r="KBM20" s="9"/>
      <c r="KBN20" s="9"/>
      <c r="KBO20" s="9"/>
      <c r="KBP20" s="10"/>
      <c r="KBQ20" s="11"/>
      <c r="KBR20" s="12"/>
      <c r="KBS20" s="12"/>
      <c r="KBT20" s="12"/>
      <c r="KBU20" s="13"/>
      <c r="KBV20" s="9"/>
      <c r="KBW20" s="9"/>
      <c r="KBX20" s="9"/>
      <c r="KBY20" s="9"/>
      <c r="KBZ20" s="10"/>
      <c r="KCA20" s="11"/>
      <c r="KCB20" s="12"/>
      <c r="KCC20" s="12"/>
      <c r="KCD20" s="12"/>
      <c r="KCE20" s="13"/>
      <c r="KCF20" s="9"/>
      <c r="KCG20" s="9"/>
      <c r="KCH20" s="9"/>
      <c r="KCI20" s="9"/>
      <c r="KCJ20" s="10"/>
      <c r="KCK20" s="11"/>
      <c r="KCL20" s="12"/>
      <c r="KCM20" s="12"/>
      <c r="KCN20" s="12"/>
      <c r="KCO20" s="13"/>
      <c r="KCP20" s="9"/>
      <c r="KCQ20" s="9"/>
      <c r="KCR20" s="9"/>
      <c r="KCS20" s="9"/>
      <c r="KCT20" s="10"/>
      <c r="KCU20" s="11"/>
      <c r="KCV20" s="12"/>
      <c r="KCW20" s="12"/>
      <c r="KCX20" s="12"/>
      <c r="KCY20" s="13"/>
      <c r="KCZ20" s="9"/>
      <c r="KDA20" s="9"/>
      <c r="KDB20" s="9"/>
      <c r="KDC20" s="9"/>
      <c r="KDD20" s="10"/>
      <c r="KDE20" s="11"/>
      <c r="KDF20" s="12"/>
      <c r="KDG20" s="12"/>
      <c r="KDH20" s="12"/>
      <c r="KDI20" s="13"/>
      <c r="KDJ20" s="9"/>
      <c r="KDK20" s="9"/>
      <c r="KDL20" s="9"/>
      <c r="KDM20" s="9"/>
      <c r="KDN20" s="10"/>
      <c r="KDO20" s="11"/>
      <c r="KDP20" s="12"/>
      <c r="KDQ20" s="12"/>
      <c r="KDR20" s="12"/>
      <c r="KDS20" s="13"/>
      <c r="KDT20" s="9"/>
      <c r="KDU20" s="9"/>
      <c r="KDV20" s="9"/>
      <c r="KDW20" s="9"/>
      <c r="KDX20" s="10"/>
      <c r="KDY20" s="11"/>
      <c r="KDZ20" s="12"/>
      <c r="KEA20" s="12"/>
      <c r="KEB20" s="12"/>
      <c r="KEC20" s="13"/>
      <c r="KED20" s="9"/>
      <c r="KEE20" s="9"/>
      <c r="KEF20" s="9"/>
      <c r="KEG20" s="9"/>
      <c r="KEH20" s="10"/>
      <c r="KEI20" s="11"/>
      <c r="KEJ20" s="12"/>
      <c r="KEK20" s="12"/>
      <c r="KEL20" s="12"/>
      <c r="KEM20" s="13"/>
      <c r="KEN20" s="9"/>
      <c r="KEO20" s="9"/>
      <c r="KEP20" s="9"/>
      <c r="KEQ20" s="9"/>
      <c r="KER20" s="10"/>
      <c r="KES20" s="11"/>
      <c r="KET20" s="12"/>
      <c r="KEU20" s="12"/>
      <c r="KEV20" s="12"/>
      <c r="KEW20" s="13"/>
      <c r="KEX20" s="9"/>
      <c r="KEY20" s="9"/>
      <c r="KEZ20" s="9"/>
      <c r="KFA20" s="9"/>
      <c r="KFB20" s="10"/>
      <c r="KFC20" s="11"/>
      <c r="KFD20" s="12"/>
      <c r="KFE20" s="12"/>
      <c r="KFF20" s="12"/>
      <c r="KFG20" s="13"/>
      <c r="KFH20" s="9"/>
      <c r="KFI20" s="9"/>
      <c r="KFJ20" s="9"/>
      <c r="KFK20" s="9"/>
      <c r="KFL20" s="10"/>
      <c r="KFM20" s="11"/>
      <c r="KFN20" s="12"/>
      <c r="KFO20" s="12"/>
      <c r="KFP20" s="12"/>
      <c r="KFQ20" s="13"/>
      <c r="KFR20" s="9"/>
      <c r="KFS20" s="9"/>
      <c r="KFT20" s="9"/>
      <c r="KFU20" s="9"/>
      <c r="KFV20" s="10"/>
      <c r="KFW20" s="11"/>
      <c r="KFX20" s="12"/>
      <c r="KFY20" s="12"/>
      <c r="KFZ20" s="12"/>
      <c r="KGA20" s="13"/>
      <c r="KGB20" s="9"/>
      <c r="KGC20" s="9"/>
      <c r="KGD20" s="9"/>
      <c r="KGE20" s="9"/>
      <c r="KGF20" s="10"/>
      <c r="KGG20" s="11"/>
      <c r="KGH20" s="12"/>
      <c r="KGI20" s="12"/>
      <c r="KGJ20" s="12"/>
      <c r="KGK20" s="13"/>
      <c r="KGL20" s="9"/>
      <c r="KGM20" s="9"/>
      <c r="KGN20" s="9"/>
      <c r="KGO20" s="9"/>
      <c r="KGP20" s="10"/>
      <c r="KGQ20" s="11"/>
      <c r="KGR20" s="12"/>
      <c r="KGS20" s="12"/>
      <c r="KGT20" s="12"/>
      <c r="KGU20" s="13"/>
      <c r="KGV20" s="9"/>
      <c r="KGW20" s="9"/>
      <c r="KGX20" s="9"/>
      <c r="KGY20" s="9"/>
      <c r="KGZ20" s="10"/>
      <c r="KHA20" s="11"/>
      <c r="KHB20" s="12"/>
      <c r="KHC20" s="12"/>
      <c r="KHD20" s="12"/>
      <c r="KHE20" s="13"/>
      <c r="KHF20" s="9"/>
      <c r="KHG20" s="9"/>
      <c r="KHH20" s="9"/>
      <c r="KHI20" s="9"/>
      <c r="KHJ20" s="10"/>
      <c r="KHK20" s="11"/>
      <c r="KHL20" s="12"/>
      <c r="KHM20" s="12"/>
      <c r="KHN20" s="12"/>
      <c r="KHO20" s="13"/>
      <c r="KHP20" s="9"/>
      <c r="KHQ20" s="9"/>
      <c r="KHR20" s="9"/>
      <c r="KHS20" s="9"/>
      <c r="KHT20" s="10"/>
      <c r="KHU20" s="11"/>
      <c r="KHV20" s="12"/>
      <c r="KHW20" s="12"/>
      <c r="KHX20" s="12"/>
      <c r="KHY20" s="13"/>
      <c r="KHZ20" s="9"/>
      <c r="KIA20" s="9"/>
      <c r="KIB20" s="9"/>
      <c r="KIC20" s="9"/>
      <c r="KID20" s="10"/>
      <c r="KIE20" s="11"/>
      <c r="KIF20" s="12"/>
      <c r="KIG20" s="12"/>
      <c r="KIH20" s="12"/>
      <c r="KII20" s="13"/>
      <c r="KIJ20" s="9"/>
      <c r="KIK20" s="9"/>
      <c r="KIL20" s="9"/>
      <c r="KIM20" s="9"/>
      <c r="KIN20" s="10"/>
      <c r="KIO20" s="11"/>
      <c r="KIP20" s="12"/>
      <c r="KIQ20" s="12"/>
      <c r="KIR20" s="12"/>
      <c r="KIS20" s="13"/>
      <c r="KIT20" s="9"/>
      <c r="KIU20" s="9"/>
      <c r="KIV20" s="9"/>
      <c r="KIW20" s="9"/>
      <c r="KIX20" s="10"/>
      <c r="KIY20" s="11"/>
      <c r="KIZ20" s="12"/>
      <c r="KJA20" s="12"/>
      <c r="KJB20" s="12"/>
      <c r="KJC20" s="13"/>
      <c r="KJD20" s="9"/>
      <c r="KJE20" s="9"/>
      <c r="KJF20" s="9"/>
      <c r="KJG20" s="9"/>
      <c r="KJH20" s="10"/>
      <c r="KJI20" s="11"/>
      <c r="KJJ20" s="12"/>
      <c r="KJK20" s="12"/>
      <c r="KJL20" s="12"/>
      <c r="KJM20" s="13"/>
      <c r="KJN20" s="9"/>
      <c r="KJO20" s="9"/>
      <c r="KJP20" s="9"/>
      <c r="KJQ20" s="9"/>
      <c r="KJR20" s="10"/>
      <c r="KJS20" s="11"/>
      <c r="KJT20" s="12"/>
      <c r="KJU20" s="12"/>
      <c r="KJV20" s="12"/>
      <c r="KJW20" s="13"/>
      <c r="KJX20" s="9"/>
      <c r="KJY20" s="9"/>
      <c r="KJZ20" s="9"/>
      <c r="KKA20" s="9"/>
      <c r="KKB20" s="10"/>
      <c r="KKC20" s="11"/>
      <c r="KKD20" s="12"/>
      <c r="KKE20" s="12"/>
      <c r="KKF20" s="12"/>
      <c r="KKG20" s="13"/>
      <c r="KKH20" s="9"/>
      <c r="KKI20" s="9"/>
      <c r="KKJ20" s="9"/>
      <c r="KKK20" s="9"/>
      <c r="KKL20" s="10"/>
      <c r="KKM20" s="11"/>
      <c r="KKN20" s="12"/>
      <c r="KKO20" s="12"/>
      <c r="KKP20" s="12"/>
      <c r="KKQ20" s="13"/>
      <c r="KKR20" s="9"/>
      <c r="KKS20" s="9"/>
      <c r="KKT20" s="9"/>
      <c r="KKU20" s="9"/>
      <c r="KKV20" s="10"/>
      <c r="KKW20" s="11"/>
      <c r="KKX20" s="12"/>
      <c r="KKY20" s="12"/>
      <c r="KKZ20" s="12"/>
      <c r="KLA20" s="13"/>
      <c r="KLB20" s="9"/>
      <c r="KLC20" s="9"/>
      <c r="KLD20" s="9"/>
      <c r="KLE20" s="9"/>
      <c r="KLF20" s="10"/>
      <c r="KLG20" s="11"/>
      <c r="KLH20" s="12"/>
      <c r="KLI20" s="12"/>
      <c r="KLJ20" s="12"/>
      <c r="KLK20" s="13"/>
      <c r="KLL20" s="9"/>
      <c r="KLM20" s="9"/>
      <c r="KLN20" s="9"/>
      <c r="KLO20" s="9"/>
      <c r="KLP20" s="10"/>
      <c r="KLQ20" s="11"/>
      <c r="KLR20" s="12"/>
      <c r="KLS20" s="12"/>
      <c r="KLT20" s="12"/>
      <c r="KLU20" s="13"/>
      <c r="KLV20" s="9"/>
      <c r="KLW20" s="9"/>
      <c r="KLX20" s="9"/>
      <c r="KLY20" s="9"/>
      <c r="KLZ20" s="10"/>
      <c r="KMA20" s="11"/>
      <c r="KMB20" s="12"/>
      <c r="KMC20" s="12"/>
      <c r="KMD20" s="12"/>
      <c r="KME20" s="13"/>
      <c r="KMF20" s="9"/>
      <c r="KMG20" s="9"/>
      <c r="KMH20" s="9"/>
      <c r="KMI20" s="9"/>
      <c r="KMJ20" s="10"/>
      <c r="KMK20" s="11"/>
      <c r="KML20" s="12"/>
      <c r="KMM20" s="12"/>
      <c r="KMN20" s="12"/>
      <c r="KMO20" s="13"/>
      <c r="KMP20" s="9"/>
      <c r="KMQ20" s="9"/>
      <c r="KMR20" s="9"/>
      <c r="KMS20" s="9"/>
      <c r="KMT20" s="10"/>
      <c r="KMU20" s="11"/>
      <c r="KMV20" s="12"/>
      <c r="KMW20" s="12"/>
      <c r="KMX20" s="12"/>
      <c r="KMY20" s="13"/>
      <c r="KMZ20" s="9"/>
      <c r="KNA20" s="9"/>
      <c r="KNB20" s="9"/>
      <c r="KNC20" s="9"/>
      <c r="KND20" s="10"/>
      <c r="KNE20" s="11"/>
      <c r="KNF20" s="12"/>
      <c r="KNG20" s="12"/>
      <c r="KNH20" s="12"/>
      <c r="KNI20" s="13"/>
      <c r="KNJ20" s="9"/>
      <c r="KNK20" s="9"/>
      <c r="KNL20" s="9"/>
      <c r="KNM20" s="9"/>
      <c r="KNN20" s="10"/>
      <c r="KNO20" s="11"/>
      <c r="KNP20" s="12"/>
      <c r="KNQ20" s="12"/>
      <c r="KNR20" s="12"/>
      <c r="KNS20" s="13"/>
      <c r="KNT20" s="9"/>
      <c r="KNU20" s="9"/>
      <c r="KNV20" s="9"/>
      <c r="KNW20" s="9"/>
      <c r="KNX20" s="10"/>
      <c r="KNY20" s="11"/>
      <c r="KNZ20" s="12"/>
      <c r="KOA20" s="12"/>
      <c r="KOB20" s="12"/>
      <c r="KOC20" s="13"/>
      <c r="KOD20" s="9"/>
      <c r="KOE20" s="9"/>
      <c r="KOF20" s="9"/>
      <c r="KOG20" s="9"/>
      <c r="KOH20" s="10"/>
      <c r="KOI20" s="11"/>
      <c r="KOJ20" s="12"/>
      <c r="KOK20" s="12"/>
      <c r="KOL20" s="12"/>
      <c r="KOM20" s="13"/>
      <c r="KON20" s="9"/>
      <c r="KOO20" s="9"/>
      <c r="KOP20" s="9"/>
      <c r="KOQ20" s="9"/>
      <c r="KOR20" s="10"/>
      <c r="KOS20" s="11"/>
      <c r="KOT20" s="12"/>
      <c r="KOU20" s="12"/>
      <c r="KOV20" s="12"/>
      <c r="KOW20" s="13"/>
      <c r="KOX20" s="9"/>
      <c r="KOY20" s="9"/>
      <c r="KOZ20" s="9"/>
      <c r="KPA20" s="9"/>
      <c r="KPB20" s="10"/>
      <c r="KPC20" s="11"/>
      <c r="KPD20" s="12"/>
      <c r="KPE20" s="12"/>
      <c r="KPF20" s="12"/>
      <c r="KPG20" s="13"/>
      <c r="KPH20" s="9"/>
      <c r="KPI20" s="9"/>
      <c r="KPJ20" s="9"/>
      <c r="KPK20" s="9"/>
      <c r="KPL20" s="10"/>
      <c r="KPM20" s="11"/>
      <c r="KPN20" s="12"/>
      <c r="KPO20" s="12"/>
      <c r="KPP20" s="12"/>
      <c r="KPQ20" s="13"/>
      <c r="KPR20" s="9"/>
      <c r="KPS20" s="9"/>
      <c r="KPT20" s="9"/>
      <c r="KPU20" s="9"/>
      <c r="KPV20" s="10"/>
      <c r="KPW20" s="11"/>
      <c r="KPX20" s="12"/>
      <c r="KPY20" s="12"/>
      <c r="KPZ20" s="12"/>
      <c r="KQA20" s="13"/>
      <c r="KQB20" s="9"/>
      <c r="KQC20" s="9"/>
      <c r="KQD20" s="9"/>
      <c r="KQE20" s="9"/>
      <c r="KQF20" s="10"/>
      <c r="KQG20" s="11"/>
      <c r="KQH20" s="12"/>
      <c r="KQI20" s="12"/>
      <c r="KQJ20" s="12"/>
      <c r="KQK20" s="13"/>
      <c r="KQL20" s="9"/>
      <c r="KQM20" s="9"/>
      <c r="KQN20" s="9"/>
      <c r="KQO20" s="9"/>
      <c r="KQP20" s="10"/>
      <c r="KQQ20" s="11"/>
      <c r="KQR20" s="12"/>
      <c r="KQS20" s="12"/>
      <c r="KQT20" s="12"/>
      <c r="KQU20" s="13"/>
      <c r="KQV20" s="9"/>
      <c r="KQW20" s="9"/>
      <c r="KQX20" s="9"/>
      <c r="KQY20" s="9"/>
      <c r="KQZ20" s="10"/>
      <c r="KRA20" s="11"/>
      <c r="KRB20" s="12"/>
      <c r="KRC20" s="12"/>
      <c r="KRD20" s="12"/>
      <c r="KRE20" s="13"/>
      <c r="KRF20" s="9"/>
      <c r="KRG20" s="9"/>
      <c r="KRH20" s="9"/>
      <c r="KRI20" s="9"/>
      <c r="KRJ20" s="10"/>
      <c r="KRK20" s="11"/>
      <c r="KRL20" s="12"/>
      <c r="KRM20" s="12"/>
      <c r="KRN20" s="12"/>
      <c r="KRO20" s="13"/>
      <c r="KRP20" s="9"/>
      <c r="KRQ20" s="9"/>
      <c r="KRR20" s="9"/>
      <c r="KRS20" s="9"/>
      <c r="KRT20" s="10"/>
      <c r="KRU20" s="11"/>
      <c r="KRV20" s="12"/>
      <c r="KRW20" s="12"/>
      <c r="KRX20" s="12"/>
      <c r="KRY20" s="13"/>
      <c r="KRZ20" s="9"/>
      <c r="KSA20" s="9"/>
      <c r="KSB20" s="9"/>
      <c r="KSC20" s="9"/>
      <c r="KSD20" s="10"/>
      <c r="KSE20" s="11"/>
      <c r="KSF20" s="12"/>
      <c r="KSG20" s="12"/>
      <c r="KSH20" s="12"/>
      <c r="KSI20" s="13"/>
      <c r="KSJ20" s="9"/>
      <c r="KSK20" s="9"/>
      <c r="KSL20" s="9"/>
      <c r="KSM20" s="9"/>
      <c r="KSN20" s="10"/>
      <c r="KSO20" s="11"/>
      <c r="KSP20" s="12"/>
      <c r="KSQ20" s="12"/>
      <c r="KSR20" s="12"/>
      <c r="KSS20" s="13"/>
      <c r="KST20" s="9"/>
      <c r="KSU20" s="9"/>
      <c r="KSV20" s="9"/>
      <c r="KSW20" s="9"/>
      <c r="KSX20" s="10"/>
      <c r="KSY20" s="11"/>
      <c r="KSZ20" s="12"/>
      <c r="KTA20" s="12"/>
      <c r="KTB20" s="12"/>
      <c r="KTC20" s="13"/>
      <c r="KTD20" s="9"/>
      <c r="KTE20" s="9"/>
      <c r="KTF20" s="9"/>
      <c r="KTG20" s="9"/>
      <c r="KTH20" s="10"/>
      <c r="KTI20" s="11"/>
      <c r="KTJ20" s="12"/>
      <c r="KTK20" s="12"/>
      <c r="KTL20" s="12"/>
      <c r="KTM20" s="13"/>
      <c r="KTN20" s="9"/>
      <c r="KTO20" s="9"/>
      <c r="KTP20" s="9"/>
      <c r="KTQ20" s="9"/>
      <c r="KTR20" s="10"/>
      <c r="KTS20" s="11"/>
      <c r="KTT20" s="12"/>
      <c r="KTU20" s="12"/>
      <c r="KTV20" s="12"/>
      <c r="KTW20" s="13"/>
      <c r="KTX20" s="9"/>
      <c r="KTY20" s="9"/>
      <c r="KTZ20" s="9"/>
      <c r="KUA20" s="9"/>
      <c r="KUB20" s="10"/>
      <c r="KUC20" s="11"/>
      <c r="KUD20" s="12"/>
      <c r="KUE20" s="12"/>
      <c r="KUF20" s="12"/>
      <c r="KUG20" s="13"/>
      <c r="KUH20" s="9"/>
      <c r="KUI20" s="9"/>
      <c r="KUJ20" s="9"/>
      <c r="KUK20" s="9"/>
      <c r="KUL20" s="10"/>
      <c r="KUM20" s="11"/>
      <c r="KUN20" s="12"/>
      <c r="KUO20" s="12"/>
      <c r="KUP20" s="12"/>
      <c r="KUQ20" s="13"/>
      <c r="KUR20" s="9"/>
      <c r="KUS20" s="9"/>
      <c r="KUT20" s="9"/>
      <c r="KUU20" s="9"/>
      <c r="KUV20" s="10"/>
      <c r="KUW20" s="11"/>
      <c r="KUX20" s="12"/>
      <c r="KUY20" s="12"/>
      <c r="KUZ20" s="12"/>
      <c r="KVA20" s="13"/>
      <c r="KVB20" s="9"/>
      <c r="KVC20" s="9"/>
      <c r="KVD20" s="9"/>
      <c r="KVE20" s="9"/>
      <c r="KVF20" s="10"/>
      <c r="KVG20" s="11"/>
      <c r="KVH20" s="12"/>
      <c r="KVI20" s="12"/>
      <c r="KVJ20" s="12"/>
      <c r="KVK20" s="13"/>
      <c r="KVL20" s="9"/>
      <c r="KVM20" s="9"/>
      <c r="KVN20" s="9"/>
      <c r="KVO20" s="9"/>
      <c r="KVP20" s="10"/>
      <c r="KVQ20" s="11"/>
      <c r="KVR20" s="12"/>
      <c r="KVS20" s="12"/>
      <c r="KVT20" s="12"/>
      <c r="KVU20" s="13"/>
      <c r="KVV20" s="9"/>
      <c r="KVW20" s="9"/>
      <c r="KVX20" s="9"/>
      <c r="KVY20" s="9"/>
      <c r="KVZ20" s="10"/>
      <c r="KWA20" s="11"/>
      <c r="KWB20" s="12"/>
      <c r="KWC20" s="12"/>
      <c r="KWD20" s="12"/>
      <c r="KWE20" s="13"/>
      <c r="KWF20" s="9"/>
      <c r="KWG20" s="9"/>
      <c r="KWH20" s="9"/>
      <c r="KWI20" s="9"/>
      <c r="KWJ20" s="10"/>
      <c r="KWK20" s="11"/>
      <c r="KWL20" s="12"/>
      <c r="KWM20" s="12"/>
      <c r="KWN20" s="12"/>
      <c r="KWO20" s="13"/>
      <c r="KWP20" s="9"/>
      <c r="KWQ20" s="9"/>
      <c r="KWR20" s="9"/>
      <c r="KWS20" s="9"/>
      <c r="KWT20" s="10"/>
      <c r="KWU20" s="11"/>
      <c r="KWV20" s="12"/>
      <c r="KWW20" s="12"/>
      <c r="KWX20" s="12"/>
      <c r="KWY20" s="13"/>
      <c r="KWZ20" s="9"/>
      <c r="KXA20" s="9"/>
      <c r="KXB20" s="9"/>
      <c r="KXC20" s="9"/>
      <c r="KXD20" s="10"/>
      <c r="KXE20" s="11"/>
      <c r="KXF20" s="12"/>
      <c r="KXG20" s="12"/>
      <c r="KXH20" s="12"/>
      <c r="KXI20" s="13"/>
      <c r="KXJ20" s="9"/>
      <c r="KXK20" s="9"/>
      <c r="KXL20" s="9"/>
      <c r="KXM20" s="9"/>
      <c r="KXN20" s="10"/>
      <c r="KXO20" s="11"/>
      <c r="KXP20" s="12"/>
      <c r="KXQ20" s="12"/>
      <c r="KXR20" s="12"/>
      <c r="KXS20" s="13"/>
      <c r="KXT20" s="9"/>
      <c r="KXU20" s="9"/>
      <c r="KXV20" s="9"/>
      <c r="KXW20" s="9"/>
      <c r="KXX20" s="10"/>
      <c r="KXY20" s="11"/>
      <c r="KXZ20" s="12"/>
      <c r="KYA20" s="12"/>
      <c r="KYB20" s="12"/>
      <c r="KYC20" s="13"/>
      <c r="KYD20" s="9"/>
      <c r="KYE20" s="9"/>
      <c r="KYF20" s="9"/>
      <c r="KYG20" s="9"/>
      <c r="KYH20" s="10"/>
      <c r="KYI20" s="11"/>
      <c r="KYJ20" s="12"/>
      <c r="KYK20" s="12"/>
      <c r="KYL20" s="12"/>
      <c r="KYM20" s="13"/>
      <c r="KYN20" s="9"/>
      <c r="KYO20" s="9"/>
      <c r="KYP20" s="9"/>
      <c r="KYQ20" s="9"/>
      <c r="KYR20" s="10"/>
      <c r="KYS20" s="11"/>
      <c r="KYT20" s="12"/>
      <c r="KYU20" s="12"/>
      <c r="KYV20" s="12"/>
      <c r="KYW20" s="13"/>
      <c r="KYX20" s="9"/>
      <c r="KYY20" s="9"/>
      <c r="KYZ20" s="9"/>
      <c r="KZA20" s="9"/>
      <c r="KZB20" s="10"/>
      <c r="KZC20" s="11"/>
      <c r="KZD20" s="12"/>
      <c r="KZE20" s="12"/>
      <c r="KZF20" s="12"/>
      <c r="KZG20" s="13"/>
      <c r="KZH20" s="9"/>
      <c r="KZI20" s="9"/>
      <c r="KZJ20" s="9"/>
      <c r="KZK20" s="9"/>
      <c r="KZL20" s="10"/>
      <c r="KZM20" s="11"/>
      <c r="KZN20" s="12"/>
      <c r="KZO20" s="12"/>
      <c r="KZP20" s="12"/>
      <c r="KZQ20" s="13"/>
      <c r="KZR20" s="9"/>
      <c r="KZS20" s="9"/>
      <c r="KZT20" s="9"/>
      <c r="KZU20" s="9"/>
      <c r="KZV20" s="10"/>
      <c r="KZW20" s="11"/>
      <c r="KZX20" s="12"/>
      <c r="KZY20" s="12"/>
      <c r="KZZ20" s="12"/>
      <c r="LAA20" s="13"/>
      <c r="LAB20" s="9"/>
      <c r="LAC20" s="9"/>
      <c r="LAD20" s="9"/>
      <c r="LAE20" s="9"/>
      <c r="LAF20" s="10"/>
      <c r="LAG20" s="11"/>
      <c r="LAH20" s="12"/>
      <c r="LAI20" s="12"/>
      <c r="LAJ20" s="12"/>
      <c r="LAK20" s="13"/>
      <c r="LAL20" s="9"/>
      <c r="LAM20" s="9"/>
      <c r="LAN20" s="9"/>
      <c r="LAO20" s="9"/>
      <c r="LAP20" s="10"/>
      <c r="LAQ20" s="11"/>
      <c r="LAR20" s="12"/>
      <c r="LAS20" s="12"/>
      <c r="LAT20" s="12"/>
      <c r="LAU20" s="13"/>
      <c r="LAV20" s="9"/>
      <c r="LAW20" s="9"/>
      <c r="LAX20" s="9"/>
      <c r="LAY20" s="9"/>
      <c r="LAZ20" s="10"/>
      <c r="LBA20" s="11"/>
      <c r="LBB20" s="12"/>
      <c r="LBC20" s="12"/>
      <c r="LBD20" s="12"/>
      <c r="LBE20" s="13"/>
      <c r="LBF20" s="9"/>
      <c r="LBG20" s="9"/>
      <c r="LBH20" s="9"/>
      <c r="LBI20" s="9"/>
      <c r="LBJ20" s="10"/>
      <c r="LBK20" s="11"/>
      <c r="LBL20" s="12"/>
      <c r="LBM20" s="12"/>
      <c r="LBN20" s="12"/>
      <c r="LBO20" s="13"/>
      <c r="LBP20" s="9"/>
      <c r="LBQ20" s="9"/>
      <c r="LBR20" s="9"/>
      <c r="LBS20" s="9"/>
      <c r="LBT20" s="10"/>
      <c r="LBU20" s="11"/>
      <c r="LBV20" s="12"/>
      <c r="LBW20" s="12"/>
      <c r="LBX20" s="12"/>
      <c r="LBY20" s="13"/>
      <c r="LBZ20" s="9"/>
      <c r="LCA20" s="9"/>
      <c r="LCB20" s="9"/>
      <c r="LCC20" s="9"/>
      <c r="LCD20" s="10"/>
      <c r="LCE20" s="11"/>
      <c r="LCF20" s="12"/>
      <c r="LCG20" s="12"/>
      <c r="LCH20" s="12"/>
      <c r="LCI20" s="13"/>
      <c r="LCJ20" s="9"/>
      <c r="LCK20" s="9"/>
      <c r="LCL20" s="9"/>
      <c r="LCM20" s="9"/>
      <c r="LCN20" s="10"/>
      <c r="LCO20" s="11"/>
      <c r="LCP20" s="12"/>
      <c r="LCQ20" s="12"/>
      <c r="LCR20" s="12"/>
      <c r="LCS20" s="13"/>
      <c r="LCT20" s="9"/>
      <c r="LCU20" s="9"/>
      <c r="LCV20" s="9"/>
      <c r="LCW20" s="9"/>
      <c r="LCX20" s="10"/>
      <c r="LCY20" s="11"/>
      <c r="LCZ20" s="12"/>
      <c r="LDA20" s="12"/>
      <c r="LDB20" s="12"/>
      <c r="LDC20" s="13"/>
      <c r="LDD20" s="9"/>
      <c r="LDE20" s="9"/>
      <c r="LDF20" s="9"/>
      <c r="LDG20" s="9"/>
      <c r="LDH20" s="10"/>
      <c r="LDI20" s="11"/>
      <c r="LDJ20" s="12"/>
      <c r="LDK20" s="12"/>
      <c r="LDL20" s="12"/>
      <c r="LDM20" s="13"/>
      <c r="LDN20" s="9"/>
      <c r="LDO20" s="9"/>
      <c r="LDP20" s="9"/>
      <c r="LDQ20" s="9"/>
      <c r="LDR20" s="10"/>
      <c r="LDS20" s="11"/>
      <c r="LDT20" s="12"/>
      <c r="LDU20" s="12"/>
      <c r="LDV20" s="12"/>
      <c r="LDW20" s="13"/>
      <c r="LDX20" s="9"/>
      <c r="LDY20" s="9"/>
      <c r="LDZ20" s="9"/>
      <c r="LEA20" s="9"/>
      <c r="LEB20" s="10"/>
      <c r="LEC20" s="11"/>
      <c r="LED20" s="12"/>
      <c r="LEE20" s="12"/>
      <c r="LEF20" s="12"/>
      <c r="LEG20" s="13"/>
      <c r="LEH20" s="9"/>
      <c r="LEI20" s="9"/>
      <c r="LEJ20" s="9"/>
      <c r="LEK20" s="9"/>
      <c r="LEL20" s="10"/>
      <c r="LEM20" s="11"/>
      <c r="LEN20" s="12"/>
      <c r="LEO20" s="12"/>
      <c r="LEP20" s="12"/>
      <c r="LEQ20" s="13"/>
      <c r="LER20" s="9"/>
      <c r="LES20" s="9"/>
      <c r="LET20" s="9"/>
      <c r="LEU20" s="9"/>
      <c r="LEV20" s="10"/>
      <c r="LEW20" s="11"/>
      <c r="LEX20" s="12"/>
      <c r="LEY20" s="12"/>
      <c r="LEZ20" s="12"/>
      <c r="LFA20" s="13"/>
      <c r="LFB20" s="9"/>
      <c r="LFC20" s="9"/>
      <c r="LFD20" s="9"/>
      <c r="LFE20" s="9"/>
      <c r="LFF20" s="10"/>
      <c r="LFG20" s="11"/>
      <c r="LFH20" s="12"/>
      <c r="LFI20" s="12"/>
      <c r="LFJ20" s="12"/>
      <c r="LFK20" s="13"/>
      <c r="LFL20" s="9"/>
      <c r="LFM20" s="9"/>
      <c r="LFN20" s="9"/>
      <c r="LFO20" s="9"/>
      <c r="LFP20" s="10"/>
      <c r="LFQ20" s="11"/>
      <c r="LFR20" s="12"/>
      <c r="LFS20" s="12"/>
      <c r="LFT20" s="12"/>
      <c r="LFU20" s="13"/>
      <c r="LFV20" s="9"/>
      <c r="LFW20" s="9"/>
      <c r="LFX20" s="9"/>
      <c r="LFY20" s="9"/>
      <c r="LFZ20" s="10"/>
      <c r="LGA20" s="11"/>
      <c r="LGB20" s="12"/>
      <c r="LGC20" s="12"/>
      <c r="LGD20" s="12"/>
      <c r="LGE20" s="13"/>
      <c r="LGF20" s="9"/>
      <c r="LGG20" s="9"/>
      <c r="LGH20" s="9"/>
      <c r="LGI20" s="9"/>
      <c r="LGJ20" s="10"/>
      <c r="LGK20" s="11"/>
      <c r="LGL20" s="12"/>
      <c r="LGM20" s="12"/>
      <c r="LGN20" s="12"/>
      <c r="LGO20" s="13"/>
      <c r="LGP20" s="9"/>
      <c r="LGQ20" s="9"/>
      <c r="LGR20" s="9"/>
      <c r="LGS20" s="9"/>
      <c r="LGT20" s="10"/>
      <c r="LGU20" s="11"/>
      <c r="LGV20" s="12"/>
      <c r="LGW20" s="12"/>
      <c r="LGX20" s="12"/>
      <c r="LGY20" s="13"/>
      <c r="LGZ20" s="9"/>
      <c r="LHA20" s="9"/>
      <c r="LHB20" s="9"/>
      <c r="LHC20" s="9"/>
      <c r="LHD20" s="10"/>
      <c r="LHE20" s="11"/>
      <c r="LHF20" s="12"/>
      <c r="LHG20" s="12"/>
      <c r="LHH20" s="12"/>
      <c r="LHI20" s="13"/>
      <c r="LHJ20" s="9"/>
      <c r="LHK20" s="9"/>
      <c r="LHL20" s="9"/>
      <c r="LHM20" s="9"/>
      <c r="LHN20" s="10"/>
      <c r="LHO20" s="11"/>
      <c r="LHP20" s="12"/>
      <c r="LHQ20" s="12"/>
      <c r="LHR20" s="12"/>
      <c r="LHS20" s="13"/>
      <c r="LHT20" s="9"/>
      <c r="LHU20" s="9"/>
      <c r="LHV20" s="9"/>
      <c r="LHW20" s="9"/>
      <c r="LHX20" s="10"/>
      <c r="LHY20" s="11"/>
      <c r="LHZ20" s="12"/>
      <c r="LIA20" s="12"/>
      <c r="LIB20" s="12"/>
      <c r="LIC20" s="13"/>
      <c r="LID20" s="9"/>
      <c r="LIE20" s="9"/>
      <c r="LIF20" s="9"/>
      <c r="LIG20" s="9"/>
      <c r="LIH20" s="10"/>
      <c r="LII20" s="11"/>
      <c r="LIJ20" s="12"/>
      <c r="LIK20" s="12"/>
      <c r="LIL20" s="12"/>
      <c r="LIM20" s="13"/>
      <c r="LIN20" s="9"/>
      <c r="LIO20" s="9"/>
      <c r="LIP20" s="9"/>
      <c r="LIQ20" s="9"/>
      <c r="LIR20" s="10"/>
      <c r="LIS20" s="11"/>
      <c r="LIT20" s="12"/>
      <c r="LIU20" s="12"/>
      <c r="LIV20" s="12"/>
      <c r="LIW20" s="13"/>
      <c r="LIX20" s="9"/>
      <c r="LIY20" s="9"/>
      <c r="LIZ20" s="9"/>
      <c r="LJA20" s="9"/>
      <c r="LJB20" s="10"/>
      <c r="LJC20" s="11"/>
      <c r="LJD20" s="12"/>
      <c r="LJE20" s="12"/>
      <c r="LJF20" s="12"/>
      <c r="LJG20" s="13"/>
      <c r="LJH20" s="9"/>
      <c r="LJI20" s="9"/>
      <c r="LJJ20" s="9"/>
      <c r="LJK20" s="9"/>
      <c r="LJL20" s="10"/>
      <c r="LJM20" s="11"/>
      <c r="LJN20" s="12"/>
      <c r="LJO20" s="12"/>
      <c r="LJP20" s="12"/>
      <c r="LJQ20" s="13"/>
      <c r="LJR20" s="9"/>
      <c r="LJS20" s="9"/>
      <c r="LJT20" s="9"/>
      <c r="LJU20" s="9"/>
      <c r="LJV20" s="10"/>
      <c r="LJW20" s="11"/>
      <c r="LJX20" s="12"/>
      <c r="LJY20" s="12"/>
      <c r="LJZ20" s="12"/>
      <c r="LKA20" s="13"/>
      <c r="LKB20" s="9"/>
      <c r="LKC20" s="9"/>
      <c r="LKD20" s="9"/>
      <c r="LKE20" s="9"/>
      <c r="LKF20" s="10"/>
      <c r="LKG20" s="11"/>
      <c r="LKH20" s="12"/>
      <c r="LKI20" s="12"/>
      <c r="LKJ20" s="12"/>
      <c r="LKK20" s="13"/>
      <c r="LKL20" s="9"/>
      <c r="LKM20" s="9"/>
      <c r="LKN20" s="9"/>
      <c r="LKO20" s="9"/>
      <c r="LKP20" s="10"/>
      <c r="LKQ20" s="11"/>
      <c r="LKR20" s="12"/>
      <c r="LKS20" s="12"/>
      <c r="LKT20" s="12"/>
      <c r="LKU20" s="13"/>
      <c r="LKV20" s="9"/>
      <c r="LKW20" s="9"/>
      <c r="LKX20" s="9"/>
      <c r="LKY20" s="9"/>
      <c r="LKZ20" s="10"/>
      <c r="LLA20" s="11"/>
      <c r="LLB20" s="12"/>
      <c r="LLC20" s="12"/>
      <c r="LLD20" s="12"/>
      <c r="LLE20" s="13"/>
      <c r="LLF20" s="9"/>
      <c r="LLG20" s="9"/>
      <c r="LLH20" s="9"/>
      <c r="LLI20" s="9"/>
      <c r="LLJ20" s="10"/>
      <c r="LLK20" s="11"/>
      <c r="LLL20" s="12"/>
      <c r="LLM20" s="12"/>
      <c r="LLN20" s="12"/>
      <c r="LLO20" s="13"/>
      <c r="LLP20" s="9"/>
      <c r="LLQ20" s="9"/>
      <c r="LLR20" s="9"/>
      <c r="LLS20" s="9"/>
      <c r="LLT20" s="10"/>
      <c r="LLU20" s="11"/>
      <c r="LLV20" s="12"/>
      <c r="LLW20" s="12"/>
      <c r="LLX20" s="12"/>
      <c r="LLY20" s="13"/>
      <c r="LLZ20" s="9"/>
      <c r="LMA20" s="9"/>
      <c r="LMB20" s="9"/>
      <c r="LMC20" s="9"/>
      <c r="LMD20" s="10"/>
      <c r="LME20" s="11"/>
      <c r="LMF20" s="12"/>
      <c r="LMG20" s="12"/>
      <c r="LMH20" s="12"/>
      <c r="LMI20" s="13"/>
      <c r="LMJ20" s="9"/>
      <c r="LMK20" s="9"/>
      <c r="LML20" s="9"/>
      <c r="LMM20" s="9"/>
      <c r="LMN20" s="10"/>
      <c r="LMO20" s="11"/>
      <c r="LMP20" s="12"/>
      <c r="LMQ20" s="12"/>
      <c r="LMR20" s="12"/>
      <c r="LMS20" s="13"/>
      <c r="LMT20" s="9"/>
      <c r="LMU20" s="9"/>
      <c r="LMV20" s="9"/>
      <c r="LMW20" s="9"/>
      <c r="LMX20" s="10"/>
      <c r="LMY20" s="11"/>
      <c r="LMZ20" s="12"/>
      <c r="LNA20" s="12"/>
      <c r="LNB20" s="12"/>
      <c r="LNC20" s="13"/>
      <c r="LND20" s="9"/>
      <c r="LNE20" s="9"/>
      <c r="LNF20" s="9"/>
      <c r="LNG20" s="9"/>
      <c r="LNH20" s="10"/>
      <c r="LNI20" s="11"/>
      <c r="LNJ20" s="12"/>
      <c r="LNK20" s="12"/>
      <c r="LNL20" s="12"/>
      <c r="LNM20" s="13"/>
      <c r="LNN20" s="9"/>
      <c r="LNO20" s="9"/>
      <c r="LNP20" s="9"/>
      <c r="LNQ20" s="9"/>
      <c r="LNR20" s="10"/>
      <c r="LNS20" s="11"/>
      <c r="LNT20" s="12"/>
      <c r="LNU20" s="12"/>
      <c r="LNV20" s="12"/>
      <c r="LNW20" s="13"/>
      <c r="LNX20" s="9"/>
      <c r="LNY20" s="9"/>
      <c r="LNZ20" s="9"/>
      <c r="LOA20" s="9"/>
      <c r="LOB20" s="10"/>
      <c r="LOC20" s="11"/>
      <c r="LOD20" s="12"/>
      <c r="LOE20" s="12"/>
      <c r="LOF20" s="12"/>
      <c r="LOG20" s="13"/>
      <c r="LOH20" s="9"/>
      <c r="LOI20" s="9"/>
      <c r="LOJ20" s="9"/>
      <c r="LOK20" s="9"/>
      <c r="LOL20" s="10"/>
      <c r="LOM20" s="11"/>
      <c r="LON20" s="12"/>
      <c r="LOO20" s="12"/>
      <c r="LOP20" s="12"/>
      <c r="LOQ20" s="13"/>
      <c r="LOR20" s="9"/>
      <c r="LOS20" s="9"/>
      <c r="LOT20" s="9"/>
      <c r="LOU20" s="9"/>
      <c r="LOV20" s="10"/>
      <c r="LOW20" s="11"/>
      <c r="LOX20" s="12"/>
      <c r="LOY20" s="12"/>
      <c r="LOZ20" s="12"/>
      <c r="LPA20" s="13"/>
      <c r="LPB20" s="9"/>
      <c r="LPC20" s="9"/>
      <c r="LPD20" s="9"/>
      <c r="LPE20" s="9"/>
      <c r="LPF20" s="10"/>
      <c r="LPG20" s="11"/>
      <c r="LPH20" s="12"/>
      <c r="LPI20" s="12"/>
      <c r="LPJ20" s="12"/>
      <c r="LPK20" s="13"/>
      <c r="LPL20" s="9"/>
      <c r="LPM20" s="9"/>
      <c r="LPN20" s="9"/>
      <c r="LPO20" s="9"/>
      <c r="LPP20" s="10"/>
      <c r="LPQ20" s="11"/>
      <c r="LPR20" s="12"/>
      <c r="LPS20" s="12"/>
      <c r="LPT20" s="12"/>
      <c r="LPU20" s="13"/>
      <c r="LPV20" s="9"/>
      <c r="LPW20" s="9"/>
      <c r="LPX20" s="9"/>
      <c r="LPY20" s="9"/>
      <c r="LPZ20" s="10"/>
      <c r="LQA20" s="11"/>
      <c r="LQB20" s="12"/>
      <c r="LQC20" s="12"/>
      <c r="LQD20" s="12"/>
      <c r="LQE20" s="13"/>
      <c r="LQF20" s="9"/>
      <c r="LQG20" s="9"/>
      <c r="LQH20" s="9"/>
      <c r="LQI20" s="9"/>
      <c r="LQJ20" s="10"/>
      <c r="LQK20" s="11"/>
      <c r="LQL20" s="12"/>
      <c r="LQM20" s="12"/>
      <c r="LQN20" s="12"/>
      <c r="LQO20" s="13"/>
      <c r="LQP20" s="9"/>
      <c r="LQQ20" s="9"/>
      <c r="LQR20" s="9"/>
      <c r="LQS20" s="9"/>
      <c r="LQT20" s="10"/>
      <c r="LQU20" s="11"/>
      <c r="LQV20" s="12"/>
      <c r="LQW20" s="12"/>
      <c r="LQX20" s="12"/>
      <c r="LQY20" s="13"/>
      <c r="LQZ20" s="9"/>
      <c r="LRA20" s="9"/>
      <c r="LRB20" s="9"/>
      <c r="LRC20" s="9"/>
      <c r="LRD20" s="10"/>
      <c r="LRE20" s="11"/>
      <c r="LRF20" s="12"/>
      <c r="LRG20" s="12"/>
      <c r="LRH20" s="12"/>
      <c r="LRI20" s="13"/>
      <c r="LRJ20" s="9"/>
      <c r="LRK20" s="9"/>
      <c r="LRL20" s="9"/>
      <c r="LRM20" s="9"/>
      <c r="LRN20" s="10"/>
      <c r="LRO20" s="11"/>
      <c r="LRP20" s="12"/>
      <c r="LRQ20" s="12"/>
      <c r="LRR20" s="12"/>
      <c r="LRS20" s="13"/>
      <c r="LRT20" s="9"/>
      <c r="LRU20" s="9"/>
      <c r="LRV20" s="9"/>
      <c r="LRW20" s="9"/>
      <c r="LRX20" s="10"/>
      <c r="LRY20" s="11"/>
      <c r="LRZ20" s="12"/>
      <c r="LSA20" s="12"/>
      <c r="LSB20" s="12"/>
      <c r="LSC20" s="13"/>
      <c r="LSD20" s="9"/>
      <c r="LSE20" s="9"/>
      <c r="LSF20" s="9"/>
      <c r="LSG20" s="9"/>
      <c r="LSH20" s="10"/>
      <c r="LSI20" s="11"/>
      <c r="LSJ20" s="12"/>
      <c r="LSK20" s="12"/>
      <c r="LSL20" s="12"/>
      <c r="LSM20" s="13"/>
      <c r="LSN20" s="9"/>
      <c r="LSO20" s="9"/>
      <c r="LSP20" s="9"/>
      <c r="LSQ20" s="9"/>
      <c r="LSR20" s="10"/>
      <c r="LSS20" s="11"/>
      <c r="LST20" s="12"/>
      <c r="LSU20" s="12"/>
      <c r="LSV20" s="12"/>
      <c r="LSW20" s="13"/>
      <c r="LSX20" s="9"/>
      <c r="LSY20" s="9"/>
      <c r="LSZ20" s="9"/>
      <c r="LTA20" s="9"/>
      <c r="LTB20" s="10"/>
      <c r="LTC20" s="11"/>
      <c r="LTD20" s="12"/>
      <c r="LTE20" s="12"/>
      <c r="LTF20" s="12"/>
      <c r="LTG20" s="13"/>
      <c r="LTH20" s="9"/>
      <c r="LTI20" s="9"/>
      <c r="LTJ20" s="9"/>
      <c r="LTK20" s="9"/>
      <c r="LTL20" s="10"/>
      <c r="LTM20" s="11"/>
      <c r="LTN20" s="12"/>
      <c r="LTO20" s="12"/>
      <c r="LTP20" s="12"/>
      <c r="LTQ20" s="13"/>
      <c r="LTR20" s="9"/>
      <c r="LTS20" s="9"/>
      <c r="LTT20" s="9"/>
      <c r="LTU20" s="9"/>
      <c r="LTV20" s="10"/>
      <c r="LTW20" s="11"/>
      <c r="LTX20" s="12"/>
      <c r="LTY20" s="12"/>
      <c r="LTZ20" s="12"/>
      <c r="LUA20" s="13"/>
      <c r="LUB20" s="9"/>
      <c r="LUC20" s="9"/>
      <c r="LUD20" s="9"/>
      <c r="LUE20" s="9"/>
      <c r="LUF20" s="10"/>
      <c r="LUG20" s="11"/>
      <c r="LUH20" s="12"/>
      <c r="LUI20" s="12"/>
      <c r="LUJ20" s="12"/>
      <c r="LUK20" s="13"/>
      <c r="LUL20" s="9"/>
      <c r="LUM20" s="9"/>
      <c r="LUN20" s="9"/>
      <c r="LUO20" s="9"/>
      <c r="LUP20" s="10"/>
      <c r="LUQ20" s="11"/>
      <c r="LUR20" s="12"/>
      <c r="LUS20" s="12"/>
      <c r="LUT20" s="12"/>
      <c r="LUU20" s="13"/>
      <c r="LUV20" s="9"/>
      <c r="LUW20" s="9"/>
      <c r="LUX20" s="9"/>
      <c r="LUY20" s="9"/>
      <c r="LUZ20" s="10"/>
      <c r="LVA20" s="11"/>
      <c r="LVB20" s="12"/>
      <c r="LVC20" s="12"/>
      <c r="LVD20" s="12"/>
      <c r="LVE20" s="13"/>
      <c r="LVF20" s="9"/>
      <c r="LVG20" s="9"/>
      <c r="LVH20" s="9"/>
      <c r="LVI20" s="9"/>
      <c r="LVJ20" s="10"/>
      <c r="LVK20" s="11"/>
      <c r="LVL20" s="12"/>
      <c r="LVM20" s="12"/>
      <c r="LVN20" s="12"/>
      <c r="LVO20" s="13"/>
      <c r="LVP20" s="9"/>
      <c r="LVQ20" s="9"/>
      <c r="LVR20" s="9"/>
      <c r="LVS20" s="9"/>
      <c r="LVT20" s="10"/>
      <c r="LVU20" s="11"/>
      <c r="LVV20" s="12"/>
      <c r="LVW20" s="12"/>
      <c r="LVX20" s="12"/>
      <c r="LVY20" s="13"/>
      <c r="LVZ20" s="9"/>
      <c r="LWA20" s="9"/>
      <c r="LWB20" s="9"/>
      <c r="LWC20" s="9"/>
      <c r="LWD20" s="10"/>
      <c r="LWE20" s="11"/>
      <c r="LWF20" s="12"/>
      <c r="LWG20" s="12"/>
      <c r="LWH20" s="12"/>
      <c r="LWI20" s="13"/>
      <c r="LWJ20" s="9"/>
      <c r="LWK20" s="9"/>
      <c r="LWL20" s="9"/>
      <c r="LWM20" s="9"/>
      <c r="LWN20" s="10"/>
      <c r="LWO20" s="11"/>
      <c r="LWP20" s="12"/>
      <c r="LWQ20" s="12"/>
      <c r="LWR20" s="12"/>
      <c r="LWS20" s="13"/>
      <c r="LWT20" s="9"/>
      <c r="LWU20" s="9"/>
      <c r="LWV20" s="9"/>
      <c r="LWW20" s="9"/>
      <c r="LWX20" s="10"/>
      <c r="LWY20" s="11"/>
      <c r="LWZ20" s="12"/>
      <c r="LXA20" s="12"/>
      <c r="LXB20" s="12"/>
      <c r="LXC20" s="13"/>
      <c r="LXD20" s="9"/>
      <c r="LXE20" s="9"/>
      <c r="LXF20" s="9"/>
      <c r="LXG20" s="9"/>
      <c r="LXH20" s="10"/>
      <c r="LXI20" s="11"/>
      <c r="LXJ20" s="12"/>
      <c r="LXK20" s="12"/>
      <c r="LXL20" s="12"/>
      <c r="LXM20" s="13"/>
      <c r="LXN20" s="9"/>
      <c r="LXO20" s="9"/>
      <c r="LXP20" s="9"/>
      <c r="LXQ20" s="9"/>
      <c r="LXR20" s="10"/>
      <c r="LXS20" s="11"/>
      <c r="LXT20" s="12"/>
      <c r="LXU20" s="12"/>
      <c r="LXV20" s="12"/>
      <c r="LXW20" s="13"/>
      <c r="LXX20" s="9"/>
      <c r="LXY20" s="9"/>
      <c r="LXZ20" s="9"/>
      <c r="LYA20" s="9"/>
      <c r="LYB20" s="10"/>
      <c r="LYC20" s="11"/>
      <c r="LYD20" s="12"/>
      <c r="LYE20" s="12"/>
      <c r="LYF20" s="12"/>
      <c r="LYG20" s="13"/>
      <c r="LYH20" s="9"/>
      <c r="LYI20" s="9"/>
      <c r="LYJ20" s="9"/>
      <c r="LYK20" s="9"/>
      <c r="LYL20" s="10"/>
      <c r="LYM20" s="11"/>
      <c r="LYN20" s="12"/>
      <c r="LYO20" s="12"/>
      <c r="LYP20" s="12"/>
      <c r="LYQ20" s="13"/>
      <c r="LYR20" s="9"/>
      <c r="LYS20" s="9"/>
      <c r="LYT20" s="9"/>
      <c r="LYU20" s="9"/>
      <c r="LYV20" s="10"/>
      <c r="LYW20" s="11"/>
      <c r="LYX20" s="12"/>
      <c r="LYY20" s="12"/>
      <c r="LYZ20" s="12"/>
      <c r="LZA20" s="13"/>
      <c r="LZB20" s="9"/>
      <c r="LZC20" s="9"/>
      <c r="LZD20" s="9"/>
      <c r="LZE20" s="9"/>
      <c r="LZF20" s="10"/>
      <c r="LZG20" s="11"/>
      <c r="LZH20" s="12"/>
      <c r="LZI20" s="12"/>
      <c r="LZJ20" s="12"/>
      <c r="LZK20" s="13"/>
      <c r="LZL20" s="9"/>
      <c r="LZM20" s="9"/>
      <c r="LZN20" s="9"/>
      <c r="LZO20" s="9"/>
      <c r="LZP20" s="10"/>
      <c r="LZQ20" s="11"/>
      <c r="LZR20" s="12"/>
      <c r="LZS20" s="12"/>
      <c r="LZT20" s="12"/>
      <c r="LZU20" s="13"/>
      <c r="LZV20" s="9"/>
      <c r="LZW20" s="9"/>
      <c r="LZX20" s="9"/>
      <c r="LZY20" s="9"/>
      <c r="LZZ20" s="10"/>
      <c r="MAA20" s="11"/>
      <c r="MAB20" s="12"/>
      <c r="MAC20" s="12"/>
      <c r="MAD20" s="12"/>
      <c r="MAE20" s="13"/>
      <c r="MAF20" s="9"/>
      <c r="MAG20" s="9"/>
      <c r="MAH20" s="9"/>
      <c r="MAI20" s="9"/>
      <c r="MAJ20" s="10"/>
      <c r="MAK20" s="11"/>
      <c r="MAL20" s="12"/>
      <c r="MAM20" s="12"/>
      <c r="MAN20" s="12"/>
      <c r="MAO20" s="13"/>
      <c r="MAP20" s="9"/>
      <c r="MAQ20" s="9"/>
      <c r="MAR20" s="9"/>
      <c r="MAS20" s="9"/>
      <c r="MAT20" s="10"/>
      <c r="MAU20" s="11"/>
      <c r="MAV20" s="12"/>
      <c r="MAW20" s="12"/>
      <c r="MAX20" s="12"/>
      <c r="MAY20" s="13"/>
      <c r="MAZ20" s="9"/>
      <c r="MBA20" s="9"/>
      <c r="MBB20" s="9"/>
      <c r="MBC20" s="9"/>
      <c r="MBD20" s="10"/>
      <c r="MBE20" s="11"/>
      <c r="MBF20" s="12"/>
      <c r="MBG20" s="12"/>
      <c r="MBH20" s="12"/>
      <c r="MBI20" s="13"/>
      <c r="MBJ20" s="9"/>
      <c r="MBK20" s="9"/>
      <c r="MBL20" s="9"/>
      <c r="MBM20" s="9"/>
      <c r="MBN20" s="10"/>
      <c r="MBO20" s="11"/>
      <c r="MBP20" s="12"/>
      <c r="MBQ20" s="12"/>
      <c r="MBR20" s="12"/>
      <c r="MBS20" s="13"/>
      <c r="MBT20" s="9"/>
      <c r="MBU20" s="9"/>
      <c r="MBV20" s="9"/>
      <c r="MBW20" s="9"/>
      <c r="MBX20" s="10"/>
      <c r="MBY20" s="11"/>
      <c r="MBZ20" s="12"/>
      <c r="MCA20" s="12"/>
      <c r="MCB20" s="12"/>
      <c r="MCC20" s="13"/>
      <c r="MCD20" s="9"/>
      <c r="MCE20" s="9"/>
      <c r="MCF20" s="9"/>
      <c r="MCG20" s="9"/>
      <c r="MCH20" s="10"/>
      <c r="MCI20" s="11"/>
      <c r="MCJ20" s="12"/>
      <c r="MCK20" s="12"/>
      <c r="MCL20" s="12"/>
      <c r="MCM20" s="13"/>
      <c r="MCN20" s="9"/>
      <c r="MCO20" s="9"/>
      <c r="MCP20" s="9"/>
      <c r="MCQ20" s="9"/>
      <c r="MCR20" s="10"/>
      <c r="MCS20" s="11"/>
      <c r="MCT20" s="12"/>
      <c r="MCU20" s="12"/>
      <c r="MCV20" s="12"/>
      <c r="MCW20" s="13"/>
      <c r="MCX20" s="9"/>
      <c r="MCY20" s="9"/>
      <c r="MCZ20" s="9"/>
      <c r="MDA20" s="9"/>
      <c r="MDB20" s="10"/>
      <c r="MDC20" s="11"/>
      <c r="MDD20" s="12"/>
      <c r="MDE20" s="12"/>
      <c r="MDF20" s="12"/>
      <c r="MDG20" s="13"/>
      <c r="MDH20" s="9"/>
      <c r="MDI20" s="9"/>
      <c r="MDJ20" s="9"/>
      <c r="MDK20" s="9"/>
      <c r="MDL20" s="10"/>
      <c r="MDM20" s="11"/>
      <c r="MDN20" s="12"/>
      <c r="MDO20" s="12"/>
      <c r="MDP20" s="12"/>
      <c r="MDQ20" s="13"/>
      <c r="MDR20" s="9"/>
      <c r="MDS20" s="9"/>
      <c r="MDT20" s="9"/>
      <c r="MDU20" s="9"/>
      <c r="MDV20" s="10"/>
      <c r="MDW20" s="11"/>
      <c r="MDX20" s="12"/>
      <c r="MDY20" s="12"/>
      <c r="MDZ20" s="12"/>
      <c r="MEA20" s="13"/>
      <c r="MEB20" s="9"/>
      <c r="MEC20" s="9"/>
      <c r="MED20" s="9"/>
      <c r="MEE20" s="9"/>
      <c r="MEF20" s="10"/>
      <c r="MEG20" s="11"/>
      <c r="MEH20" s="12"/>
      <c r="MEI20" s="12"/>
      <c r="MEJ20" s="12"/>
      <c r="MEK20" s="13"/>
      <c r="MEL20" s="9"/>
      <c r="MEM20" s="9"/>
      <c r="MEN20" s="9"/>
      <c r="MEO20" s="9"/>
      <c r="MEP20" s="10"/>
      <c r="MEQ20" s="11"/>
      <c r="MER20" s="12"/>
      <c r="MES20" s="12"/>
      <c r="MET20" s="12"/>
      <c r="MEU20" s="13"/>
      <c r="MEV20" s="9"/>
      <c r="MEW20" s="9"/>
      <c r="MEX20" s="9"/>
      <c r="MEY20" s="9"/>
      <c r="MEZ20" s="10"/>
      <c r="MFA20" s="11"/>
      <c r="MFB20" s="12"/>
      <c r="MFC20" s="12"/>
      <c r="MFD20" s="12"/>
      <c r="MFE20" s="13"/>
      <c r="MFF20" s="9"/>
      <c r="MFG20" s="9"/>
      <c r="MFH20" s="9"/>
      <c r="MFI20" s="9"/>
      <c r="MFJ20" s="10"/>
      <c r="MFK20" s="11"/>
      <c r="MFL20" s="12"/>
      <c r="MFM20" s="12"/>
      <c r="MFN20" s="12"/>
      <c r="MFO20" s="13"/>
      <c r="MFP20" s="9"/>
      <c r="MFQ20" s="9"/>
      <c r="MFR20" s="9"/>
      <c r="MFS20" s="9"/>
      <c r="MFT20" s="10"/>
      <c r="MFU20" s="11"/>
      <c r="MFV20" s="12"/>
      <c r="MFW20" s="12"/>
      <c r="MFX20" s="12"/>
      <c r="MFY20" s="13"/>
      <c r="MFZ20" s="9"/>
      <c r="MGA20" s="9"/>
      <c r="MGB20" s="9"/>
      <c r="MGC20" s="9"/>
      <c r="MGD20" s="10"/>
      <c r="MGE20" s="11"/>
      <c r="MGF20" s="12"/>
      <c r="MGG20" s="12"/>
      <c r="MGH20" s="12"/>
      <c r="MGI20" s="13"/>
      <c r="MGJ20" s="9"/>
      <c r="MGK20" s="9"/>
      <c r="MGL20" s="9"/>
      <c r="MGM20" s="9"/>
      <c r="MGN20" s="10"/>
      <c r="MGO20" s="11"/>
      <c r="MGP20" s="12"/>
      <c r="MGQ20" s="12"/>
      <c r="MGR20" s="12"/>
      <c r="MGS20" s="13"/>
      <c r="MGT20" s="9"/>
      <c r="MGU20" s="9"/>
      <c r="MGV20" s="9"/>
      <c r="MGW20" s="9"/>
      <c r="MGX20" s="10"/>
      <c r="MGY20" s="11"/>
      <c r="MGZ20" s="12"/>
      <c r="MHA20" s="12"/>
      <c r="MHB20" s="12"/>
      <c r="MHC20" s="13"/>
      <c r="MHD20" s="9"/>
      <c r="MHE20" s="9"/>
      <c r="MHF20" s="9"/>
      <c r="MHG20" s="9"/>
      <c r="MHH20" s="10"/>
      <c r="MHI20" s="11"/>
      <c r="MHJ20" s="12"/>
      <c r="MHK20" s="12"/>
      <c r="MHL20" s="12"/>
      <c r="MHM20" s="13"/>
      <c r="MHN20" s="9"/>
      <c r="MHO20" s="9"/>
      <c r="MHP20" s="9"/>
      <c r="MHQ20" s="9"/>
      <c r="MHR20" s="10"/>
      <c r="MHS20" s="11"/>
      <c r="MHT20" s="12"/>
      <c r="MHU20" s="12"/>
      <c r="MHV20" s="12"/>
      <c r="MHW20" s="13"/>
      <c r="MHX20" s="9"/>
      <c r="MHY20" s="9"/>
      <c r="MHZ20" s="9"/>
      <c r="MIA20" s="9"/>
      <c r="MIB20" s="10"/>
      <c r="MIC20" s="11"/>
      <c r="MID20" s="12"/>
      <c r="MIE20" s="12"/>
      <c r="MIF20" s="12"/>
      <c r="MIG20" s="13"/>
      <c r="MIH20" s="9"/>
      <c r="MII20" s="9"/>
      <c r="MIJ20" s="9"/>
      <c r="MIK20" s="9"/>
      <c r="MIL20" s="10"/>
      <c r="MIM20" s="11"/>
      <c r="MIN20" s="12"/>
      <c r="MIO20" s="12"/>
      <c r="MIP20" s="12"/>
      <c r="MIQ20" s="13"/>
      <c r="MIR20" s="9"/>
      <c r="MIS20" s="9"/>
      <c r="MIT20" s="9"/>
      <c r="MIU20" s="9"/>
      <c r="MIV20" s="10"/>
      <c r="MIW20" s="11"/>
      <c r="MIX20" s="12"/>
      <c r="MIY20" s="12"/>
      <c r="MIZ20" s="12"/>
      <c r="MJA20" s="13"/>
      <c r="MJB20" s="9"/>
      <c r="MJC20" s="9"/>
      <c r="MJD20" s="9"/>
      <c r="MJE20" s="9"/>
      <c r="MJF20" s="10"/>
      <c r="MJG20" s="11"/>
      <c r="MJH20" s="12"/>
      <c r="MJI20" s="12"/>
      <c r="MJJ20" s="12"/>
      <c r="MJK20" s="13"/>
      <c r="MJL20" s="9"/>
      <c r="MJM20" s="9"/>
      <c r="MJN20" s="9"/>
      <c r="MJO20" s="9"/>
      <c r="MJP20" s="10"/>
      <c r="MJQ20" s="11"/>
      <c r="MJR20" s="12"/>
      <c r="MJS20" s="12"/>
      <c r="MJT20" s="12"/>
      <c r="MJU20" s="13"/>
      <c r="MJV20" s="9"/>
      <c r="MJW20" s="9"/>
      <c r="MJX20" s="9"/>
      <c r="MJY20" s="9"/>
      <c r="MJZ20" s="10"/>
      <c r="MKA20" s="11"/>
      <c r="MKB20" s="12"/>
      <c r="MKC20" s="12"/>
      <c r="MKD20" s="12"/>
      <c r="MKE20" s="13"/>
      <c r="MKF20" s="9"/>
      <c r="MKG20" s="9"/>
      <c r="MKH20" s="9"/>
      <c r="MKI20" s="9"/>
      <c r="MKJ20" s="10"/>
      <c r="MKK20" s="11"/>
      <c r="MKL20" s="12"/>
      <c r="MKM20" s="12"/>
      <c r="MKN20" s="12"/>
      <c r="MKO20" s="13"/>
      <c r="MKP20" s="9"/>
      <c r="MKQ20" s="9"/>
      <c r="MKR20" s="9"/>
      <c r="MKS20" s="9"/>
      <c r="MKT20" s="10"/>
      <c r="MKU20" s="11"/>
      <c r="MKV20" s="12"/>
      <c r="MKW20" s="12"/>
      <c r="MKX20" s="12"/>
      <c r="MKY20" s="13"/>
      <c r="MKZ20" s="9"/>
      <c r="MLA20" s="9"/>
      <c r="MLB20" s="9"/>
      <c r="MLC20" s="9"/>
      <c r="MLD20" s="10"/>
      <c r="MLE20" s="11"/>
      <c r="MLF20" s="12"/>
      <c r="MLG20" s="12"/>
      <c r="MLH20" s="12"/>
      <c r="MLI20" s="13"/>
      <c r="MLJ20" s="9"/>
      <c r="MLK20" s="9"/>
      <c r="MLL20" s="9"/>
      <c r="MLM20" s="9"/>
      <c r="MLN20" s="10"/>
      <c r="MLO20" s="11"/>
      <c r="MLP20" s="12"/>
      <c r="MLQ20" s="12"/>
      <c r="MLR20" s="12"/>
      <c r="MLS20" s="13"/>
      <c r="MLT20" s="9"/>
      <c r="MLU20" s="9"/>
      <c r="MLV20" s="9"/>
      <c r="MLW20" s="9"/>
      <c r="MLX20" s="10"/>
      <c r="MLY20" s="11"/>
      <c r="MLZ20" s="12"/>
      <c r="MMA20" s="12"/>
      <c r="MMB20" s="12"/>
      <c r="MMC20" s="13"/>
      <c r="MMD20" s="9"/>
      <c r="MME20" s="9"/>
      <c r="MMF20" s="9"/>
      <c r="MMG20" s="9"/>
      <c r="MMH20" s="10"/>
      <c r="MMI20" s="11"/>
      <c r="MMJ20" s="12"/>
      <c r="MMK20" s="12"/>
      <c r="MML20" s="12"/>
      <c r="MMM20" s="13"/>
      <c r="MMN20" s="9"/>
      <c r="MMO20" s="9"/>
      <c r="MMP20" s="9"/>
      <c r="MMQ20" s="9"/>
      <c r="MMR20" s="10"/>
      <c r="MMS20" s="11"/>
      <c r="MMT20" s="12"/>
      <c r="MMU20" s="12"/>
      <c r="MMV20" s="12"/>
      <c r="MMW20" s="13"/>
      <c r="MMX20" s="9"/>
      <c r="MMY20" s="9"/>
      <c r="MMZ20" s="9"/>
      <c r="MNA20" s="9"/>
      <c r="MNB20" s="10"/>
      <c r="MNC20" s="11"/>
      <c r="MND20" s="12"/>
      <c r="MNE20" s="12"/>
      <c r="MNF20" s="12"/>
      <c r="MNG20" s="13"/>
      <c r="MNH20" s="9"/>
      <c r="MNI20" s="9"/>
      <c r="MNJ20" s="9"/>
      <c r="MNK20" s="9"/>
      <c r="MNL20" s="10"/>
      <c r="MNM20" s="11"/>
      <c r="MNN20" s="12"/>
      <c r="MNO20" s="12"/>
      <c r="MNP20" s="12"/>
      <c r="MNQ20" s="13"/>
      <c r="MNR20" s="9"/>
      <c r="MNS20" s="9"/>
      <c r="MNT20" s="9"/>
      <c r="MNU20" s="9"/>
      <c r="MNV20" s="10"/>
      <c r="MNW20" s="11"/>
      <c r="MNX20" s="12"/>
      <c r="MNY20" s="12"/>
      <c r="MNZ20" s="12"/>
      <c r="MOA20" s="13"/>
      <c r="MOB20" s="9"/>
      <c r="MOC20" s="9"/>
      <c r="MOD20" s="9"/>
      <c r="MOE20" s="9"/>
      <c r="MOF20" s="10"/>
      <c r="MOG20" s="11"/>
      <c r="MOH20" s="12"/>
      <c r="MOI20" s="12"/>
      <c r="MOJ20" s="12"/>
      <c r="MOK20" s="13"/>
      <c r="MOL20" s="9"/>
      <c r="MOM20" s="9"/>
      <c r="MON20" s="9"/>
      <c r="MOO20" s="9"/>
      <c r="MOP20" s="10"/>
      <c r="MOQ20" s="11"/>
      <c r="MOR20" s="12"/>
      <c r="MOS20" s="12"/>
      <c r="MOT20" s="12"/>
      <c r="MOU20" s="13"/>
      <c r="MOV20" s="9"/>
      <c r="MOW20" s="9"/>
      <c r="MOX20" s="9"/>
      <c r="MOY20" s="9"/>
      <c r="MOZ20" s="10"/>
      <c r="MPA20" s="11"/>
      <c r="MPB20" s="12"/>
      <c r="MPC20" s="12"/>
      <c r="MPD20" s="12"/>
      <c r="MPE20" s="13"/>
      <c r="MPF20" s="9"/>
      <c r="MPG20" s="9"/>
      <c r="MPH20" s="9"/>
      <c r="MPI20" s="9"/>
      <c r="MPJ20" s="10"/>
      <c r="MPK20" s="11"/>
      <c r="MPL20" s="12"/>
      <c r="MPM20" s="12"/>
      <c r="MPN20" s="12"/>
      <c r="MPO20" s="13"/>
      <c r="MPP20" s="9"/>
      <c r="MPQ20" s="9"/>
      <c r="MPR20" s="9"/>
      <c r="MPS20" s="9"/>
      <c r="MPT20" s="10"/>
      <c r="MPU20" s="11"/>
      <c r="MPV20" s="12"/>
      <c r="MPW20" s="12"/>
      <c r="MPX20" s="12"/>
      <c r="MPY20" s="13"/>
      <c r="MPZ20" s="9"/>
      <c r="MQA20" s="9"/>
      <c r="MQB20" s="9"/>
      <c r="MQC20" s="9"/>
      <c r="MQD20" s="10"/>
      <c r="MQE20" s="11"/>
      <c r="MQF20" s="12"/>
      <c r="MQG20" s="12"/>
      <c r="MQH20" s="12"/>
      <c r="MQI20" s="13"/>
      <c r="MQJ20" s="9"/>
      <c r="MQK20" s="9"/>
      <c r="MQL20" s="9"/>
      <c r="MQM20" s="9"/>
      <c r="MQN20" s="10"/>
      <c r="MQO20" s="11"/>
      <c r="MQP20" s="12"/>
      <c r="MQQ20" s="12"/>
      <c r="MQR20" s="12"/>
      <c r="MQS20" s="13"/>
      <c r="MQT20" s="9"/>
      <c r="MQU20" s="9"/>
      <c r="MQV20" s="9"/>
      <c r="MQW20" s="9"/>
      <c r="MQX20" s="10"/>
      <c r="MQY20" s="11"/>
      <c r="MQZ20" s="12"/>
      <c r="MRA20" s="12"/>
      <c r="MRB20" s="12"/>
      <c r="MRC20" s="13"/>
      <c r="MRD20" s="9"/>
      <c r="MRE20" s="9"/>
      <c r="MRF20" s="9"/>
      <c r="MRG20" s="9"/>
      <c r="MRH20" s="10"/>
      <c r="MRI20" s="11"/>
      <c r="MRJ20" s="12"/>
      <c r="MRK20" s="12"/>
      <c r="MRL20" s="12"/>
      <c r="MRM20" s="13"/>
      <c r="MRN20" s="9"/>
      <c r="MRO20" s="9"/>
      <c r="MRP20" s="9"/>
      <c r="MRQ20" s="9"/>
      <c r="MRR20" s="10"/>
      <c r="MRS20" s="11"/>
      <c r="MRT20" s="12"/>
      <c r="MRU20" s="12"/>
      <c r="MRV20" s="12"/>
      <c r="MRW20" s="13"/>
      <c r="MRX20" s="9"/>
      <c r="MRY20" s="9"/>
      <c r="MRZ20" s="9"/>
      <c r="MSA20" s="9"/>
      <c r="MSB20" s="10"/>
      <c r="MSC20" s="11"/>
      <c r="MSD20" s="12"/>
      <c r="MSE20" s="12"/>
      <c r="MSF20" s="12"/>
      <c r="MSG20" s="13"/>
      <c r="MSH20" s="9"/>
      <c r="MSI20" s="9"/>
      <c r="MSJ20" s="9"/>
      <c r="MSK20" s="9"/>
      <c r="MSL20" s="10"/>
      <c r="MSM20" s="11"/>
      <c r="MSN20" s="12"/>
      <c r="MSO20" s="12"/>
      <c r="MSP20" s="12"/>
      <c r="MSQ20" s="13"/>
      <c r="MSR20" s="9"/>
      <c r="MSS20" s="9"/>
      <c r="MST20" s="9"/>
      <c r="MSU20" s="9"/>
      <c r="MSV20" s="10"/>
      <c r="MSW20" s="11"/>
      <c r="MSX20" s="12"/>
      <c r="MSY20" s="12"/>
      <c r="MSZ20" s="12"/>
      <c r="MTA20" s="13"/>
      <c r="MTB20" s="9"/>
      <c r="MTC20" s="9"/>
      <c r="MTD20" s="9"/>
      <c r="MTE20" s="9"/>
      <c r="MTF20" s="10"/>
      <c r="MTG20" s="11"/>
      <c r="MTH20" s="12"/>
      <c r="MTI20" s="12"/>
      <c r="MTJ20" s="12"/>
      <c r="MTK20" s="13"/>
      <c r="MTL20" s="9"/>
      <c r="MTM20" s="9"/>
      <c r="MTN20" s="9"/>
      <c r="MTO20" s="9"/>
      <c r="MTP20" s="10"/>
      <c r="MTQ20" s="11"/>
      <c r="MTR20" s="12"/>
      <c r="MTS20" s="12"/>
      <c r="MTT20" s="12"/>
      <c r="MTU20" s="13"/>
      <c r="MTV20" s="9"/>
      <c r="MTW20" s="9"/>
      <c r="MTX20" s="9"/>
      <c r="MTY20" s="9"/>
      <c r="MTZ20" s="10"/>
      <c r="MUA20" s="11"/>
      <c r="MUB20" s="12"/>
      <c r="MUC20" s="12"/>
      <c r="MUD20" s="12"/>
      <c r="MUE20" s="13"/>
      <c r="MUF20" s="9"/>
      <c r="MUG20" s="9"/>
      <c r="MUH20" s="9"/>
      <c r="MUI20" s="9"/>
      <c r="MUJ20" s="10"/>
      <c r="MUK20" s="11"/>
      <c r="MUL20" s="12"/>
      <c r="MUM20" s="12"/>
      <c r="MUN20" s="12"/>
      <c r="MUO20" s="13"/>
      <c r="MUP20" s="9"/>
      <c r="MUQ20" s="9"/>
      <c r="MUR20" s="9"/>
      <c r="MUS20" s="9"/>
      <c r="MUT20" s="10"/>
      <c r="MUU20" s="11"/>
      <c r="MUV20" s="12"/>
      <c r="MUW20" s="12"/>
      <c r="MUX20" s="12"/>
      <c r="MUY20" s="13"/>
      <c r="MUZ20" s="9"/>
      <c r="MVA20" s="9"/>
      <c r="MVB20" s="9"/>
      <c r="MVC20" s="9"/>
      <c r="MVD20" s="10"/>
      <c r="MVE20" s="11"/>
      <c r="MVF20" s="12"/>
      <c r="MVG20" s="12"/>
      <c r="MVH20" s="12"/>
      <c r="MVI20" s="13"/>
      <c r="MVJ20" s="9"/>
      <c r="MVK20" s="9"/>
      <c r="MVL20" s="9"/>
      <c r="MVM20" s="9"/>
      <c r="MVN20" s="10"/>
      <c r="MVO20" s="11"/>
      <c r="MVP20" s="12"/>
      <c r="MVQ20" s="12"/>
      <c r="MVR20" s="12"/>
      <c r="MVS20" s="13"/>
      <c r="MVT20" s="9"/>
      <c r="MVU20" s="9"/>
      <c r="MVV20" s="9"/>
      <c r="MVW20" s="9"/>
      <c r="MVX20" s="10"/>
      <c r="MVY20" s="11"/>
      <c r="MVZ20" s="12"/>
      <c r="MWA20" s="12"/>
      <c r="MWB20" s="12"/>
      <c r="MWC20" s="13"/>
      <c r="MWD20" s="9"/>
      <c r="MWE20" s="9"/>
      <c r="MWF20" s="9"/>
      <c r="MWG20" s="9"/>
      <c r="MWH20" s="10"/>
      <c r="MWI20" s="11"/>
      <c r="MWJ20" s="12"/>
      <c r="MWK20" s="12"/>
      <c r="MWL20" s="12"/>
      <c r="MWM20" s="13"/>
      <c r="MWN20" s="9"/>
      <c r="MWO20" s="9"/>
      <c r="MWP20" s="9"/>
      <c r="MWQ20" s="9"/>
      <c r="MWR20" s="10"/>
      <c r="MWS20" s="11"/>
      <c r="MWT20" s="12"/>
      <c r="MWU20" s="12"/>
      <c r="MWV20" s="12"/>
      <c r="MWW20" s="13"/>
      <c r="MWX20" s="9"/>
      <c r="MWY20" s="9"/>
      <c r="MWZ20" s="9"/>
      <c r="MXA20" s="9"/>
      <c r="MXB20" s="10"/>
      <c r="MXC20" s="11"/>
      <c r="MXD20" s="12"/>
      <c r="MXE20" s="12"/>
      <c r="MXF20" s="12"/>
      <c r="MXG20" s="13"/>
      <c r="MXH20" s="9"/>
      <c r="MXI20" s="9"/>
      <c r="MXJ20" s="9"/>
      <c r="MXK20" s="9"/>
      <c r="MXL20" s="10"/>
      <c r="MXM20" s="11"/>
      <c r="MXN20" s="12"/>
      <c r="MXO20" s="12"/>
      <c r="MXP20" s="12"/>
      <c r="MXQ20" s="13"/>
      <c r="MXR20" s="9"/>
      <c r="MXS20" s="9"/>
      <c r="MXT20" s="9"/>
      <c r="MXU20" s="9"/>
      <c r="MXV20" s="10"/>
      <c r="MXW20" s="11"/>
      <c r="MXX20" s="12"/>
      <c r="MXY20" s="12"/>
      <c r="MXZ20" s="12"/>
      <c r="MYA20" s="13"/>
      <c r="MYB20" s="9"/>
      <c r="MYC20" s="9"/>
      <c r="MYD20" s="9"/>
      <c r="MYE20" s="9"/>
      <c r="MYF20" s="10"/>
      <c r="MYG20" s="11"/>
      <c r="MYH20" s="12"/>
      <c r="MYI20" s="12"/>
      <c r="MYJ20" s="12"/>
      <c r="MYK20" s="13"/>
      <c r="MYL20" s="9"/>
      <c r="MYM20" s="9"/>
      <c r="MYN20" s="9"/>
      <c r="MYO20" s="9"/>
      <c r="MYP20" s="10"/>
      <c r="MYQ20" s="11"/>
      <c r="MYR20" s="12"/>
      <c r="MYS20" s="12"/>
      <c r="MYT20" s="12"/>
      <c r="MYU20" s="13"/>
      <c r="MYV20" s="9"/>
      <c r="MYW20" s="9"/>
      <c r="MYX20" s="9"/>
      <c r="MYY20" s="9"/>
      <c r="MYZ20" s="10"/>
      <c r="MZA20" s="11"/>
      <c r="MZB20" s="12"/>
      <c r="MZC20" s="12"/>
      <c r="MZD20" s="12"/>
      <c r="MZE20" s="13"/>
      <c r="MZF20" s="9"/>
      <c r="MZG20" s="9"/>
      <c r="MZH20" s="9"/>
      <c r="MZI20" s="9"/>
      <c r="MZJ20" s="10"/>
      <c r="MZK20" s="11"/>
      <c r="MZL20" s="12"/>
      <c r="MZM20" s="12"/>
      <c r="MZN20" s="12"/>
      <c r="MZO20" s="13"/>
      <c r="MZP20" s="9"/>
      <c r="MZQ20" s="9"/>
      <c r="MZR20" s="9"/>
      <c r="MZS20" s="9"/>
      <c r="MZT20" s="10"/>
      <c r="MZU20" s="11"/>
      <c r="MZV20" s="12"/>
      <c r="MZW20" s="12"/>
      <c r="MZX20" s="12"/>
      <c r="MZY20" s="13"/>
      <c r="MZZ20" s="9"/>
      <c r="NAA20" s="9"/>
      <c r="NAB20" s="9"/>
      <c r="NAC20" s="9"/>
      <c r="NAD20" s="10"/>
      <c r="NAE20" s="11"/>
      <c r="NAF20" s="12"/>
      <c r="NAG20" s="12"/>
      <c r="NAH20" s="12"/>
      <c r="NAI20" s="13"/>
      <c r="NAJ20" s="9"/>
      <c r="NAK20" s="9"/>
      <c r="NAL20" s="9"/>
      <c r="NAM20" s="9"/>
      <c r="NAN20" s="10"/>
      <c r="NAO20" s="11"/>
      <c r="NAP20" s="12"/>
      <c r="NAQ20" s="12"/>
      <c r="NAR20" s="12"/>
      <c r="NAS20" s="13"/>
      <c r="NAT20" s="9"/>
      <c r="NAU20" s="9"/>
      <c r="NAV20" s="9"/>
      <c r="NAW20" s="9"/>
      <c r="NAX20" s="10"/>
      <c r="NAY20" s="11"/>
      <c r="NAZ20" s="12"/>
      <c r="NBA20" s="12"/>
      <c r="NBB20" s="12"/>
      <c r="NBC20" s="13"/>
      <c r="NBD20" s="9"/>
      <c r="NBE20" s="9"/>
      <c r="NBF20" s="9"/>
      <c r="NBG20" s="9"/>
      <c r="NBH20" s="10"/>
      <c r="NBI20" s="11"/>
      <c r="NBJ20" s="12"/>
      <c r="NBK20" s="12"/>
      <c r="NBL20" s="12"/>
      <c r="NBM20" s="13"/>
      <c r="NBN20" s="9"/>
      <c r="NBO20" s="9"/>
      <c r="NBP20" s="9"/>
      <c r="NBQ20" s="9"/>
      <c r="NBR20" s="10"/>
      <c r="NBS20" s="11"/>
      <c r="NBT20" s="12"/>
      <c r="NBU20" s="12"/>
      <c r="NBV20" s="12"/>
      <c r="NBW20" s="13"/>
      <c r="NBX20" s="9"/>
      <c r="NBY20" s="9"/>
      <c r="NBZ20" s="9"/>
      <c r="NCA20" s="9"/>
      <c r="NCB20" s="10"/>
      <c r="NCC20" s="11"/>
      <c r="NCD20" s="12"/>
      <c r="NCE20" s="12"/>
      <c r="NCF20" s="12"/>
      <c r="NCG20" s="13"/>
      <c r="NCH20" s="9"/>
      <c r="NCI20" s="9"/>
      <c r="NCJ20" s="9"/>
      <c r="NCK20" s="9"/>
      <c r="NCL20" s="10"/>
      <c r="NCM20" s="11"/>
      <c r="NCN20" s="12"/>
      <c r="NCO20" s="12"/>
      <c r="NCP20" s="12"/>
      <c r="NCQ20" s="13"/>
      <c r="NCR20" s="9"/>
      <c r="NCS20" s="9"/>
      <c r="NCT20" s="9"/>
      <c r="NCU20" s="9"/>
      <c r="NCV20" s="10"/>
      <c r="NCW20" s="11"/>
      <c r="NCX20" s="12"/>
      <c r="NCY20" s="12"/>
      <c r="NCZ20" s="12"/>
      <c r="NDA20" s="13"/>
      <c r="NDB20" s="9"/>
      <c r="NDC20" s="9"/>
      <c r="NDD20" s="9"/>
      <c r="NDE20" s="9"/>
      <c r="NDF20" s="10"/>
      <c r="NDG20" s="11"/>
      <c r="NDH20" s="12"/>
      <c r="NDI20" s="12"/>
      <c r="NDJ20" s="12"/>
      <c r="NDK20" s="13"/>
      <c r="NDL20" s="9"/>
      <c r="NDM20" s="9"/>
      <c r="NDN20" s="9"/>
      <c r="NDO20" s="9"/>
      <c r="NDP20" s="10"/>
      <c r="NDQ20" s="11"/>
      <c r="NDR20" s="12"/>
      <c r="NDS20" s="12"/>
      <c r="NDT20" s="12"/>
      <c r="NDU20" s="13"/>
      <c r="NDV20" s="9"/>
      <c r="NDW20" s="9"/>
      <c r="NDX20" s="9"/>
      <c r="NDY20" s="9"/>
      <c r="NDZ20" s="10"/>
      <c r="NEA20" s="11"/>
      <c r="NEB20" s="12"/>
      <c r="NEC20" s="12"/>
      <c r="NED20" s="12"/>
      <c r="NEE20" s="13"/>
      <c r="NEF20" s="9"/>
      <c r="NEG20" s="9"/>
      <c r="NEH20" s="9"/>
      <c r="NEI20" s="9"/>
      <c r="NEJ20" s="10"/>
      <c r="NEK20" s="11"/>
      <c r="NEL20" s="12"/>
      <c r="NEM20" s="12"/>
      <c r="NEN20" s="12"/>
      <c r="NEO20" s="13"/>
      <c r="NEP20" s="9"/>
      <c r="NEQ20" s="9"/>
      <c r="NER20" s="9"/>
      <c r="NES20" s="9"/>
      <c r="NET20" s="10"/>
      <c r="NEU20" s="11"/>
      <c r="NEV20" s="12"/>
      <c r="NEW20" s="12"/>
      <c r="NEX20" s="12"/>
      <c r="NEY20" s="13"/>
      <c r="NEZ20" s="9"/>
      <c r="NFA20" s="9"/>
      <c r="NFB20" s="9"/>
      <c r="NFC20" s="9"/>
      <c r="NFD20" s="10"/>
      <c r="NFE20" s="11"/>
      <c r="NFF20" s="12"/>
      <c r="NFG20" s="12"/>
      <c r="NFH20" s="12"/>
      <c r="NFI20" s="13"/>
      <c r="NFJ20" s="9"/>
      <c r="NFK20" s="9"/>
      <c r="NFL20" s="9"/>
      <c r="NFM20" s="9"/>
      <c r="NFN20" s="10"/>
      <c r="NFO20" s="11"/>
      <c r="NFP20" s="12"/>
      <c r="NFQ20" s="12"/>
      <c r="NFR20" s="12"/>
      <c r="NFS20" s="13"/>
      <c r="NFT20" s="9"/>
      <c r="NFU20" s="9"/>
      <c r="NFV20" s="9"/>
      <c r="NFW20" s="9"/>
      <c r="NFX20" s="10"/>
      <c r="NFY20" s="11"/>
      <c r="NFZ20" s="12"/>
      <c r="NGA20" s="12"/>
      <c r="NGB20" s="12"/>
      <c r="NGC20" s="13"/>
      <c r="NGD20" s="9"/>
      <c r="NGE20" s="9"/>
      <c r="NGF20" s="9"/>
      <c r="NGG20" s="9"/>
      <c r="NGH20" s="10"/>
      <c r="NGI20" s="11"/>
      <c r="NGJ20" s="12"/>
      <c r="NGK20" s="12"/>
      <c r="NGL20" s="12"/>
      <c r="NGM20" s="13"/>
      <c r="NGN20" s="9"/>
      <c r="NGO20" s="9"/>
      <c r="NGP20" s="9"/>
      <c r="NGQ20" s="9"/>
      <c r="NGR20" s="10"/>
      <c r="NGS20" s="11"/>
      <c r="NGT20" s="12"/>
      <c r="NGU20" s="12"/>
      <c r="NGV20" s="12"/>
      <c r="NGW20" s="13"/>
      <c r="NGX20" s="9"/>
      <c r="NGY20" s="9"/>
      <c r="NGZ20" s="9"/>
      <c r="NHA20" s="9"/>
      <c r="NHB20" s="10"/>
      <c r="NHC20" s="11"/>
      <c r="NHD20" s="12"/>
      <c r="NHE20" s="12"/>
      <c r="NHF20" s="12"/>
      <c r="NHG20" s="13"/>
      <c r="NHH20" s="9"/>
      <c r="NHI20" s="9"/>
      <c r="NHJ20" s="9"/>
      <c r="NHK20" s="9"/>
      <c r="NHL20" s="10"/>
      <c r="NHM20" s="11"/>
      <c r="NHN20" s="12"/>
      <c r="NHO20" s="12"/>
      <c r="NHP20" s="12"/>
      <c r="NHQ20" s="13"/>
      <c r="NHR20" s="9"/>
      <c r="NHS20" s="9"/>
      <c r="NHT20" s="9"/>
      <c r="NHU20" s="9"/>
      <c r="NHV20" s="10"/>
      <c r="NHW20" s="11"/>
      <c r="NHX20" s="12"/>
      <c r="NHY20" s="12"/>
      <c r="NHZ20" s="12"/>
      <c r="NIA20" s="13"/>
      <c r="NIB20" s="9"/>
      <c r="NIC20" s="9"/>
      <c r="NID20" s="9"/>
      <c r="NIE20" s="9"/>
      <c r="NIF20" s="10"/>
      <c r="NIG20" s="11"/>
      <c r="NIH20" s="12"/>
      <c r="NII20" s="12"/>
      <c r="NIJ20" s="12"/>
      <c r="NIK20" s="13"/>
      <c r="NIL20" s="9"/>
      <c r="NIM20" s="9"/>
      <c r="NIN20" s="9"/>
      <c r="NIO20" s="9"/>
      <c r="NIP20" s="10"/>
      <c r="NIQ20" s="11"/>
      <c r="NIR20" s="12"/>
      <c r="NIS20" s="12"/>
      <c r="NIT20" s="12"/>
      <c r="NIU20" s="13"/>
      <c r="NIV20" s="9"/>
      <c r="NIW20" s="9"/>
      <c r="NIX20" s="9"/>
      <c r="NIY20" s="9"/>
      <c r="NIZ20" s="10"/>
      <c r="NJA20" s="11"/>
      <c r="NJB20" s="12"/>
      <c r="NJC20" s="12"/>
      <c r="NJD20" s="12"/>
      <c r="NJE20" s="13"/>
      <c r="NJF20" s="9"/>
      <c r="NJG20" s="9"/>
      <c r="NJH20" s="9"/>
      <c r="NJI20" s="9"/>
      <c r="NJJ20" s="10"/>
      <c r="NJK20" s="11"/>
      <c r="NJL20" s="12"/>
      <c r="NJM20" s="12"/>
      <c r="NJN20" s="12"/>
      <c r="NJO20" s="13"/>
      <c r="NJP20" s="9"/>
      <c r="NJQ20" s="9"/>
      <c r="NJR20" s="9"/>
      <c r="NJS20" s="9"/>
      <c r="NJT20" s="10"/>
      <c r="NJU20" s="11"/>
      <c r="NJV20" s="12"/>
      <c r="NJW20" s="12"/>
      <c r="NJX20" s="12"/>
      <c r="NJY20" s="13"/>
      <c r="NJZ20" s="9"/>
      <c r="NKA20" s="9"/>
      <c r="NKB20" s="9"/>
      <c r="NKC20" s="9"/>
      <c r="NKD20" s="10"/>
      <c r="NKE20" s="11"/>
      <c r="NKF20" s="12"/>
      <c r="NKG20" s="12"/>
      <c r="NKH20" s="12"/>
      <c r="NKI20" s="13"/>
      <c r="NKJ20" s="9"/>
      <c r="NKK20" s="9"/>
      <c r="NKL20" s="9"/>
      <c r="NKM20" s="9"/>
      <c r="NKN20" s="10"/>
      <c r="NKO20" s="11"/>
      <c r="NKP20" s="12"/>
      <c r="NKQ20" s="12"/>
      <c r="NKR20" s="12"/>
      <c r="NKS20" s="13"/>
      <c r="NKT20" s="9"/>
      <c r="NKU20" s="9"/>
      <c r="NKV20" s="9"/>
      <c r="NKW20" s="9"/>
      <c r="NKX20" s="10"/>
      <c r="NKY20" s="11"/>
      <c r="NKZ20" s="12"/>
      <c r="NLA20" s="12"/>
      <c r="NLB20" s="12"/>
      <c r="NLC20" s="13"/>
      <c r="NLD20" s="9"/>
      <c r="NLE20" s="9"/>
      <c r="NLF20" s="9"/>
      <c r="NLG20" s="9"/>
      <c r="NLH20" s="10"/>
      <c r="NLI20" s="11"/>
      <c r="NLJ20" s="12"/>
      <c r="NLK20" s="12"/>
      <c r="NLL20" s="12"/>
      <c r="NLM20" s="13"/>
      <c r="NLN20" s="9"/>
      <c r="NLO20" s="9"/>
      <c r="NLP20" s="9"/>
      <c r="NLQ20" s="9"/>
      <c r="NLR20" s="10"/>
      <c r="NLS20" s="11"/>
      <c r="NLT20" s="12"/>
      <c r="NLU20" s="12"/>
      <c r="NLV20" s="12"/>
      <c r="NLW20" s="13"/>
      <c r="NLX20" s="9"/>
      <c r="NLY20" s="9"/>
      <c r="NLZ20" s="9"/>
      <c r="NMA20" s="9"/>
      <c r="NMB20" s="10"/>
      <c r="NMC20" s="11"/>
      <c r="NMD20" s="12"/>
      <c r="NME20" s="12"/>
      <c r="NMF20" s="12"/>
      <c r="NMG20" s="13"/>
      <c r="NMH20" s="9"/>
      <c r="NMI20" s="9"/>
      <c r="NMJ20" s="9"/>
      <c r="NMK20" s="9"/>
      <c r="NML20" s="10"/>
      <c r="NMM20" s="11"/>
      <c r="NMN20" s="12"/>
      <c r="NMO20" s="12"/>
      <c r="NMP20" s="12"/>
      <c r="NMQ20" s="13"/>
      <c r="NMR20" s="9"/>
      <c r="NMS20" s="9"/>
      <c r="NMT20" s="9"/>
      <c r="NMU20" s="9"/>
      <c r="NMV20" s="10"/>
      <c r="NMW20" s="11"/>
      <c r="NMX20" s="12"/>
      <c r="NMY20" s="12"/>
      <c r="NMZ20" s="12"/>
      <c r="NNA20" s="13"/>
      <c r="NNB20" s="9"/>
      <c r="NNC20" s="9"/>
      <c r="NND20" s="9"/>
      <c r="NNE20" s="9"/>
      <c r="NNF20" s="10"/>
      <c r="NNG20" s="11"/>
      <c r="NNH20" s="12"/>
      <c r="NNI20" s="12"/>
      <c r="NNJ20" s="12"/>
      <c r="NNK20" s="13"/>
      <c r="NNL20" s="9"/>
      <c r="NNM20" s="9"/>
      <c r="NNN20" s="9"/>
      <c r="NNO20" s="9"/>
      <c r="NNP20" s="10"/>
      <c r="NNQ20" s="11"/>
      <c r="NNR20" s="12"/>
      <c r="NNS20" s="12"/>
      <c r="NNT20" s="12"/>
      <c r="NNU20" s="13"/>
      <c r="NNV20" s="9"/>
      <c r="NNW20" s="9"/>
      <c r="NNX20" s="9"/>
      <c r="NNY20" s="9"/>
      <c r="NNZ20" s="10"/>
      <c r="NOA20" s="11"/>
      <c r="NOB20" s="12"/>
      <c r="NOC20" s="12"/>
      <c r="NOD20" s="12"/>
      <c r="NOE20" s="13"/>
      <c r="NOF20" s="9"/>
      <c r="NOG20" s="9"/>
      <c r="NOH20" s="9"/>
      <c r="NOI20" s="9"/>
      <c r="NOJ20" s="10"/>
      <c r="NOK20" s="11"/>
      <c r="NOL20" s="12"/>
      <c r="NOM20" s="12"/>
      <c r="NON20" s="12"/>
      <c r="NOO20" s="13"/>
      <c r="NOP20" s="9"/>
      <c r="NOQ20" s="9"/>
      <c r="NOR20" s="9"/>
      <c r="NOS20" s="9"/>
      <c r="NOT20" s="10"/>
      <c r="NOU20" s="11"/>
      <c r="NOV20" s="12"/>
      <c r="NOW20" s="12"/>
      <c r="NOX20" s="12"/>
      <c r="NOY20" s="13"/>
      <c r="NOZ20" s="9"/>
      <c r="NPA20" s="9"/>
      <c r="NPB20" s="9"/>
      <c r="NPC20" s="9"/>
      <c r="NPD20" s="10"/>
      <c r="NPE20" s="11"/>
      <c r="NPF20" s="12"/>
      <c r="NPG20" s="12"/>
      <c r="NPH20" s="12"/>
      <c r="NPI20" s="13"/>
      <c r="NPJ20" s="9"/>
      <c r="NPK20" s="9"/>
      <c r="NPL20" s="9"/>
      <c r="NPM20" s="9"/>
      <c r="NPN20" s="10"/>
      <c r="NPO20" s="11"/>
      <c r="NPP20" s="12"/>
      <c r="NPQ20" s="12"/>
      <c r="NPR20" s="12"/>
      <c r="NPS20" s="13"/>
      <c r="NPT20" s="9"/>
      <c r="NPU20" s="9"/>
      <c r="NPV20" s="9"/>
      <c r="NPW20" s="9"/>
      <c r="NPX20" s="10"/>
      <c r="NPY20" s="11"/>
      <c r="NPZ20" s="12"/>
      <c r="NQA20" s="12"/>
      <c r="NQB20" s="12"/>
      <c r="NQC20" s="13"/>
      <c r="NQD20" s="9"/>
      <c r="NQE20" s="9"/>
      <c r="NQF20" s="9"/>
      <c r="NQG20" s="9"/>
      <c r="NQH20" s="10"/>
      <c r="NQI20" s="11"/>
      <c r="NQJ20" s="12"/>
      <c r="NQK20" s="12"/>
      <c r="NQL20" s="12"/>
      <c r="NQM20" s="13"/>
      <c r="NQN20" s="9"/>
      <c r="NQO20" s="9"/>
      <c r="NQP20" s="9"/>
      <c r="NQQ20" s="9"/>
      <c r="NQR20" s="10"/>
      <c r="NQS20" s="11"/>
      <c r="NQT20" s="12"/>
      <c r="NQU20" s="12"/>
      <c r="NQV20" s="12"/>
      <c r="NQW20" s="13"/>
      <c r="NQX20" s="9"/>
      <c r="NQY20" s="9"/>
      <c r="NQZ20" s="9"/>
      <c r="NRA20" s="9"/>
      <c r="NRB20" s="10"/>
      <c r="NRC20" s="11"/>
      <c r="NRD20" s="12"/>
      <c r="NRE20" s="12"/>
      <c r="NRF20" s="12"/>
      <c r="NRG20" s="13"/>
      <c r="NRH20" s="9"/>
      <c r="NRI20" s="9"/>
      <c r="NRJ20" s="9"/>
      <c r="NRK20" s="9"/>
      <c r="NRL20" s="10"/>
      <c r="NRM20" s="11"/>
      <c r="NRN20" s="12"/>
      <c r="NRO20" s="12"/>
      <c r="NRP20" s="12"/>
      <c r="NRQ20" s="13"/>
      <c r="NRR20" s="9"/>
      <c r="NRS20" s="9"/>
      <c r="NRT20" s="9"/>
      <c r="NRU20" s="9"/>
      <c r="NRV20" s="10"/>
      <c r="NRW20" s="11"/>
      <c r="NRX20" s="12"/>
      <c r="NRY20" s="12"/>
      <c r="NRZ20" s="12"/>
      <c r="NSA20" s="13"/>
      <c r="NSB20" s="9"/>
      <c r="NSC20" s="9"/>
      <c r="NSD20" s="9"/>
      <c r="NSE20" s="9"/>
      <c r="NSF20" s="10"/>
      <c r="NSG20" s="11"/>
      <c r="NSH20" s="12"/>
      <c r="NSI20" s="12"/>
      <c r="NSJ20" s="12"/>
      <c r="NSK20" s="13"/>
      <c r="NSL20" s="9"/>
      <c r="NSM20" s="9"/>
      <c r="NSN20" s="9"/>
      <c r="NSO20" s="9"/>
      <c r="NSP20" s="10"/>
      <c r="NSQ20" s="11"/>
      <c r="NSR20" s="12"/>
      <c r="NSS20" s="12"/>
      <c r="NST20" s="12"/>
      <c r="NSU20" s="13"/>
      <c r="NSV20" s="9"/>
      <c r="NSW20" s="9"/>
      <c r="NSX20" s="9"/>
      <c r="NSY20" s="9"/>
      <c r="NSZ20" s="10"/>
      <c r="NTA20" s="11"/>
      <c r="NTB20" s="12"/>
      <c r="NTC20" s="12"/>
      <c r="NTD20" s="12"/>
      <c r="NTE20" s="13"/>
      <c r="NTF20" s="9"/>
      <c r="NTG20" s="9"/>
      <c r="NTH20" s="9"/>
      <c r="NTI20" s="9"/>
      <c r="NTJ20" s="10"/>
      <c r="NTK20" s="11"/>
      <c r="NTL20" s="12"/>
      <c r="NTM20" s="12"/>
      <c r="NTN20" s="12"/>
      <c r="NTO20" s="13"/>
      <c r="NTP20" s="9"/>
      <c r="NTQ20" s="9"/>
      <c r="NTR20" s="9"/>
      <c r="NTS20" s="9"/>
      <c r="NTT20" s="10"/>
      <c r="NTU20" s="11"/>
      <c r="NTV20" s="12"/>
      <c r="NTW20" s="12"/>
      <c r="NTX20" s="12"/>
      <c r="NTY20" s="13"/>
      <c r="NTZ20" s="9"/>
      <c r="NUA20" s="9"/>
      <c r="NUB20" s="9"/>
      <c r="NUC20" s="9"/>
      <c r="NUD20" s="10"/>
      <c r="NUE20" s="11"/>
      <c r="NUF20" s="12"/>
      <c r="NUG20" s="12"/>
      <c r="NUH20" s="12"/>
      <c r="NUI20" s="13"/>
      <c r="NUJ20" s="9"/>
      <c r="NUK20" s="9"/>
      <c r="NUL20" s="9"/>
      <c r="NUM20" s="9"/>
      <c r="NUN20" s="10"/>
      <c r="NUO20" s="11"/>
      <c r="NUP20" s="12"/>
      <c r="NUQ20" s="12"/>
      <c r="NUR20" s="12"/>
      <c r="NUS20" s="13"/>
      <c r="NUT20" s="9"/>
      <c r="NUU20" s="9"/>
      <c r="NUV20" s="9"/>
      <c r="NUW20" s="9"/>
      <c r="NUX20" s="10"/>
      <c r="NUY20" s="11"/>
      <c r="NUZ20" s="12"/>
      <c r="NVA20" s="12"/>
      <c r="NVB20" s="12"/>
      <c r="NVC20" s="13"/>
      <c r="NVD20" s="9"/>
      <c r="NVE20" s="9"/>
      <c r="NVF20" s="9"/>
      <c r="NVG20" s="9"/>
      <c r="NVH20" s="10"/>
      <c r="NVI20" s="11"/>
      <c r="NVJ20" s="12"/>
      <c r="NVK20" s="12"/>
      <c r="NVL20" s="12"/>
      <c r="NVM20" s="13"/>
      <c r="NVN20" s="9"/>
      <c r="NVO20" s="9"/>
      <c r="NVP20" s="9"/>
      <c r="NVQ20" s="9"/>
      <c r="NVR20" s="10"/>
      <c r="NVS20" s="11"/>
      <c r="NVT20" s="12"/>
      <c r="NVU20" s="12"/>
      <c r="NVV20" s="12"/>
      <c r="NVW20" s="13"/>
      <c r="NVX20" s="9"/>
      <c r="NVY20" s="9"/>
      <c r="NVZ20" s="9"/>
      <c r="NWA20" s="9"/>
      <c r="NWB20" s="10"/>
      <c r="NWC20" s="11"/>
      <c r="NWD20" s="12"/>
      <c r="NWE20" s="12"/>
      <c r="NWF20" s="12"/>
      <c r="NWG20" s="13"/>
      <c r="NWH20" s="9"/>
      <c r="NWI20" s="9"/>
      <c r="NWJ20" s="9"/>
      <c r="NWK20" s="9"/>
      <c r="NWL20" s="10"/>
      <c r="NWM20" s="11"/>
      <c r="NWN20" s="12"/>
      <c r="NWO20" s="12"/>
      <c r="NWP20" s="12"/>
      <c r="NWQ20" s="13"/>
      <c r="NWR20" s="9"/>
      <c r="NWS20" s="9"/>
      <c r="NWT20" s="9"/>
      <c r="NWU20" s="9"/>
      <c r="NWV20" s="10"/>
      <c r="NWW20" s="11"/>
      <c r="NWX20" s="12"/>
      <c r="NWY20" s="12"/>
      <c r="NWZ20" s="12"/>
      <c r="NXA20" s="13"/>
      <c r="NXB20" s="9"/>
      <c r="NXC20" s="9"/>
      <c r="NXD20" s="9"/>
      <c r="NXE20" s="9"/>
      <c r="NXF20" s="10"/>
      <c r="NXG20" s="11"/>
      <c r="NXH20" s="12"/>
      <c r="NXI20" s="12"/>
      <c r="NXJ20" s="12"/>
      <c r="NXK20" s="13"/>
      <c r="NXL20" s="9"/>
      <c r="NXM20" s="9"/>
      <c r="NXN20" s="9"/>
      <c r="NXO20" s="9"/>
      <c r="NXP20" s="10"/>
      <c r="NXQ20" s="11"/>
      <c r="NXR20" s="12"/>
      <c r="NXS20" s="12"/>
      <c r="NXT20" s="12"/>
      <c r="NXU20" s="13"/>
      <c r="NXV20" s="9"/>
      <c r="NXW20" s="9"/>
      <c r="NXX20" s="9"/>
      <c r="NXY20" s="9"/>
      <c r="NXZ20" s="10"/>
      <c r="NYA20" s="11"/>
      <c r="NYB20" s="12"/>
      <c r="NYC20" s="12"/>
      <c r="NYD20" s="12"/>
      <c r="NYE20" s="13"/>
      <c r="NYF20" s="9"/>
      <c r="NYG20" s="9"/>
      <c r="NYH20" s="9"/>
      <c r="NYI20" s="9"/>
      <c r="NYJ20" s="10"/>
      <c r="NYK20" s="11"/>
      <c r="NYL20" s="12"/>
      <c r="NYM20" s="12"/>
      <c r="NYN20" s="12"/>
      <c r="NYO20" s="13"/>
      <c r="NYP20" s="9"/>
      <c r="NYQ20" s="9"/>
      <c r="NYR20" s="9"/>
      <c r="NYS20" s="9"/>
      <c r="NYT20" s="10"/>
      <c r="NYU20" s="11"/>
      <c r="NYV20" s="12"/>
      <c r="NYW20" s="12"/>
      <c r="NYX20" s="12"/>
      <c r="NYY20" s="13"/>
      <c r="NYZ20" s="9"/>
      <c r="NZA20" s="9"/>
      <c r="NZB20" s="9"/>
      <c r="NZC20" s="9"/>
      <c r="NZD20" s="10"/>
      <c r="NZE20" s="11"/>
      <c r="NZF20" s="12"/>
      <c r="NZG20" s="12"/>
      <c r="NZH20" s="12"/>
      <c r="NZI20" s="13"/>
      <c r="NZJ20" s="9"/>
      <c r="NZK20" s="9"/>
      <c r="NZL20" s="9"/>
      <c r="NZM20" s="9"/>
      <c r="NZN20" s="10"/>
      <c r="NZO20" s="11"/>
      <c r="NZP20" s="12"/>
      <c r="NZQ20" s="12"/>
      <c r="NZR20" s="12"/>
      <c r="NZS20" s="13"/>
      <c r="NZT20" s="9"/>
      <c r="NZU20" s="9"/>
      <c r="NZV20" s="9"/>
      <c r="NZW20" s="9"/>
      <c r="NZX20" s="10"/>
      <c r="NZY20" s="11"/>
      <c r="NZZ20" s="12"/>
      <c r="OAA20" s="12"/>
      <c r="OAB20" s="12"/>
      <c r="OAC20" s="13"/>
      <c r="OAD20" s="9"/>
      <c r="OAE20" s="9"/>
      <c r="OAF20" s="9"/>
      <c r="OAG20" s="9"/>
      <c r="OAH20" s="10"/>
      <c r="OAI20" s="11"/>
      <c r="OAJ20" s="12"/>
      <c r="OAK20" s="12"/>
      <c r="OAL20" s="12"/>
      <c r="OAM20" s="13"/>
      <c r="OAN20" s="9"/>
      <c r="OAO20" s="9"/>
      <c r="OAP20" s="9"/>
      <c r="OAQ20" s="9"/>
      <c r="OAR20" s="10"/>
      <c r="OAS20" s="11"/>
      <c r="OAT20" s="12"/>
      <c r="OAU20" s="12"/>
      <c r="OAV20" s="12"/>
      <c r="OAW20" s="13"/>
      <c r="OAX20" s="9"/>
      <c r="OAY20" s="9"/>
      <c r="OAZ20" s="9"/>
      <c r="OBA20" s="9"/>
      <c r="OBB20" s="10"/>
      <c r="OBC20" s="11"/>
      <c r="OBD20" s="12"/>
      <c r="OBE20" s="12"/>
      <c r="OBF20" s="12"/>
      <c r="OBG20" s="13"/>
      <c r="OBH20" s="9"/>
      <c r="OBI20" s="9"/>
      <c r="OBJ20" s="9"/>
      <c r="OBK20" s="9"/>
      <c r="OBL20" s="10"/>
      <c r="OBM20" s="11"/>
      <c r="OBN20" s="12"/>
      <c r="OBO20" s="12"/>
      <c r="OBP20" s="12"/>
      <c r="OBQ20" s="13"/>
      <c r="OBR20" s="9"/>
      <c r="OBS20" s="9"/>
      <c r="OBT20" s="9"/>
      <c r="OBU20" s="9"/>
      <c r="OBV20" s="10"/>
      <c r="OBW20" s="11"/>
      <c r="OBX20" s="12"/>
      <c r="OBY20" s="12"/>
      <c r="OBZ20" s="12"/>
      <c r="OCA20" s="13"/>
      <c r="OCB20" s="9"/>
      <c r="OCC20" s="9"/>
      <c r="OCD20" s="9"/>
      <c r="OCE20" s="9"/>
      <c r="OCF20" s="10"/>
      <c r="OCG20" s="11"/>
      <c r="OCH20" s="12"/>
      <c r="OCI20" s="12"/>
      <c r="OCJ20" s="12"/>
      <c r="OCK20" s="13"/>
      <c r="OCL20" s="9"/>
      <c r="OCM20" s="9"/>
      <c r="OCN20" s="9"/>
      <c r="OCO20" s="9"/>
      <c r="OCP20" s="10"/>
      <c r="OCQ20" s="11"/>
      <c r="OCR20" s="12"/>
      <c r="OCS20" s="12"/>
      <c r="OCT20" s="12"/>
      <c r="OCU20" s="13"/>
      <c r="OCV20" s="9"/>
      <c r="OCW20" s="9"/>
      <c r="OCX20" s="9"/>
      <c r="OCY20" s="9"/>
      <c r="OCZ20" s="10"/>
      <c r="ODA20" s="11"/>
      <c r="ODB20" s="12"/>
      <c r="ODC20" s="12"/>
      <c r="ODD20" s="12"/>
      <c r="ODE20" s="13"/>
      <c r="ODF20" s="9"/>
      <c r="ODG20" s="9"/>
      <c r="ODH20" s="9"/>
      <c r="ODI20" s="9"/>
      <c r="ODJ20" s="10"/>
      <c r="ODK20" s="11"/>
      <c r="ODL20" s="12"/>
      <c r="ODM20" s="12"/>
      <c r="ODN20" s="12"/>
      <c r="ODO20" s="13"/>
      <c r="ODP20" s="9"/>
      <c r="ODQ20" s="9"/>
      <c r="ODR20" s="9"/>
      <c r="ODS20" s="9"/>
      <c r="ODT20" s="10"/>
      <c r="ODU20" s="11"/>
      <c r="ODV20" s="12"/>
      <c r="ODW20" s="12"/>
      <c r="ODX20" s="12"/>
      <c r="ODY20" s="13"/>
      <c r="ODZ20" s="9"/>
      <c r="OEA20" s="9"/>
      <c r="OEB20" s="9"/>
      <c r="OEC20" s="9"/>
      <c r="OED20" s="10"/>
      <c r="OEE20" s="11"/>
      <c r="OEF20" s="12"/>
      <c r="OEG20" s="12"/>
      <c r="OEH20" s="12"/>
      <c r="OEI20" s="13"/>
      <c r="OEJ20" s="9"/>
      <c r="OEK20" s="9"/>
      <c r="OEL20" s="9"/>
      <c r="OEM20" s="9"/>
      <c r="OEN20" s="10"/>
      <c r="OEO20" s="11"/>
      <c r="OEP20" s="12"/>
      <c r="OEQ20" s="12"/>
      <c r="OER20" s="12"/>
      <c r="OES20" s="13"/>
      <c r="OET20" s="9"/>
      <c r="OEU20" s="9"/>
      <c r="OEV20" s="9"/>
      <c r="OEW20" s="9"/>
      <c r="OEX20" s="10"/>
      <c r="OEY20" s="11"/>
      <c r="OEZ20" s="12"/>
      <c r="OFA20" s="12"/>
      <c r="OFB20" s="12"/>
      <c r="OFC20" s="13"/>
      <c r="OFD20" s="9"/>
      <c r="OFE20" s="9"/>
      <c r="OFF20" s="9"/>
      <c r="OFG20" s="9"/>
      <c r="OFH20" s="10"/>
      <c r="OFI20" s="11"/>
      <c r="OFJ20" s="12"/>
      <c r="OFK20" s="12"/>
      <c r="OFL20" s="12"/>
      <c r="OFM20" s="13"/>
      <c r="OFN20" s="9"/>
      <c r="OFO20" s="9"/>
      <c r="OFP20" s="9"/>
      <c r="OFQ20" s="9"/>
      <c r="OFR20" s="10"/>
      <c r="OFS20" s="11"/>
      <c r="OFT20" s="12"/>
      <c r="OFU20" s="12"/>
      <c r="OFV20" s="12"/>
      <c r="OFW20" s="13"/>
      <c r="OFX20" s="9"/>
      <c r="OFY20" s="9"/>
      <c r="OFZ20" s="9"/>
      <c r="OGA20" s="9"/>
      <c r="OGB20" s="10"/>
      <c r="OGC20" s="11"/>
      <c r="OGD20" s="12"/>
      <c r="OGE20" s="12"/>
      <c r="OGF20" s="12"/>
      <c r="OGG20" s="13"/>
      <c r="OGH20" s="9"/>
      <c r="OGI20" s="9"/>
      <c r="OGJ20" s="9"/>
      <c r="OGK20" s="9"/>
      <c r="OGL20" s="10"/>
      <c r="OGM20" s="11"/>
      <c r="OGN20" s="12"/>
      <c r="OGO20" s="12"/>
      <c r="OGP20" s="12"/>
      <c r="OGQ20" s="13"/>
      <c r="OGR20" s="9"/>
      <c r="OGS20" s="9"/>
      <c r="OGT20" s="9"/>
      <c r="OGU20" s="9"/>
      <c r="OGV20" s="10"/>
      <c r="OGW20" s="11"/>
      <c r="OGX20" s="12"/>
      <c r="OGY20" s="12"/>
      <c r="OGZ20" s="12"/>
      <c r="OHA20" s="13"/>
      <c r="OHB20" s="9"/>
      <c r="OHC20" s="9"/>
      <c r="OHD20" s="9"/>
      <c r="OHE20" s="9"/>
      <c r="OHF20" s="10"/>
      <c r="OHG20" s="11"/>
      <c r="OHH20" s="12"/>
      <c r="OHI20" s="12"/>
      <c r="OHJ20" s="12"/>
      <c r="OHK20" s="13"/>
      <c r="OHL20" s="9"/>
      <c r="OHM20" s="9"/>
      <c r="OHN20" s="9"/>
      <c r="OHO20" s="9"/>
      <c r="OHP20" s="10"/>
      <c r="OHQ20" s="11"/>
      <c r="OHR20" s="12"/>
      <c r="OHS20" s="12"/>
      <c r="OHT20" s="12"/>
      <c r="OHU20" s="13"/>
      <c r="OHV20" s="9"/>
      <c r="OHW20" s="9"/>
      <c r="OHX20" s="9"/>
      <c r="OHY20" s="9"/>
      <c r="OHZ20" s="10"/>
      <c r="OIA20" s="11"/>
      <c r="OIB20" s="12"/>
      <c r="OIC20" s="12"/>
      <c r="OID20" s="12"/>
      <c r="OIE20" s="13"/>
      <c r="OIF20" s="9"/>
      <c r="OIG20" s="9"/>
      <c r="OIH20" s="9"/>
      <c r="OII20" s="9"/>
      <c r="OIJ20" s="10"/>
      <c r="OIK20" s="11"/>
      <c r="OIL20" s="12"/>
      <c r="OIM20" s="12"/>
      <c r="OIN20" s="12"/>
      <c r="OIO20" s="13"/>
      <c r="OIP20" s="9"/>
      <c r="OIQ20" s="9"/>
      <c r="OIR20" s="9"/>
      <c r="OIS20" s="9"/>
      <c r="OIT20" s="10"/>
      <c r="OIU20" s="11"/>
      <c r="OIV20" s="12"/>
      <c r="OIW20" s="12"/>
      <c r="OIX20" s="12"/>
      <c r="OIY20" s="13"/>
      <c r="OIZ20" s="9"/>
      <c r="OJA20" s="9"/>
      <c r="OJB20" s="9"/>
      <c r="OJC20" s="9"/>
      <c r="OJD20" s="10"/>
      <c r="OJE20" s="11"/>
      <c r="OJF20" s="12"/>
      <c r="OJG20" s="12"/>
      <c r="OJH20" s="12"/>
      <c r="OJI20" s="13"/>
      <c r="OJJ20" s="9"/>
      <c r="OJK20" s="9"/>
      <c r="OJL20" s="9"/>
      <c r="OJM20" s="9"/>
      <c r="OJN20" s="10"/>
      <c r="OJO20" s="11"/>
      <c r="OJP20" s="12"/>
      <c r="OJQ20" s="12"/>
      <c r="OJR20" s="12"/>
      <c r="OJS20" s="13"/>
      <c r="OJT20" s="9"/>
      <c r="OJU20" s="9"/>
      <c r="OJV20" s="9"/>
      <c r="OJW20" s="9"/>
      <c r="OJX20" s="10"/>
      <c r="OJY20" s="11"/>
      <c r="OJZ20" s="12"/>
      <c r="OKA20" s="12"/>
      <c r="OKB20" s="12"/>
      <c r="OKC20" s="13"/>
      <c r="OKD20" s="9"/>
      <c r="OKE20" s="9"/>
      <c r="OKF20" s="9"/>
      <c r="OKG20" s="9"/>
      <c r="OKH20" s="10"/>
      <c r="OKI20" s="11"/>
      <c r="OKJ20" s="12"/>
      <c r="OKK20" s="12"/>
      <c r="OKL20" s="12"/>
      <c r="OKM20" s="13"/>
      <c r="OKN20" s="9"/>
      <c r="OKO20" s="9"/>
      <c r="OKP20" s="9"/>
      <c r="OKQ20" s="9"/>
      <c r="OKR20" s="10"/>
      <c r="OKS20" s="11"/>
      <c r="OKT20" s="12"/>
      <c r="OKU20" s="12"/>
      <c r="OKV20" s="12"/>
      <c r="OKW20" s="13"/>
      <c r="OKX20" s="9"/>
      <c r="OKY20" s="9"/>
      <c r="OKZ20" s="9"/>
      <c r="OLA20" s="9"/>
      <c r="OLB20" s="10"/>
      <c r="OLC20" s="11"/>
      <c r="OLD20" s="12"/>
      <c r="OLE20" s="12"/>
      <c r="OLF20" s="12"/>
      <c r="OLG20" s="13"/>
      <c r="OLH20" s="9"/>
      <c r="OLI20" s="9"/>
      <c r="OLJ20" s="9"/>
      <c r="OLK20" s="9"/>
      <c r="OLL20" s="10"/>
      <c r="OLM20" s="11"/>
      <c r="OLN20" s="12"/>
      <c r="OLO20" s="12"/>
      <c r="OLP20" s="12"/>
      <c r="OLQ20" s="13"/>
      <c r="OLR20" s="9"/>
      <c r="OLS20" s="9"/>
      <c r="OLT20" s="9"/>
      <c r="OLU20" s="9"/>
      <c r="OLV20" s="10"/>
      <c r="OLW20" s="11"/>
      <c r="OLX20" s="12"/>
      <c r="OLY20" s="12"/>
      <c r="OLZ20" s="12"/>
      <c r="OMA20" s="13"/>
      <c r="OMB20" s="9"/>
      <c r="OMC20" s="9"/>
      <c r="OMD20" s="9"/>
      <c r="OME20" s="9"/>
      <c r="OMF20" s="10"/>
      <c r="OMG20" s="11"/>
      <c r="OMH20" s="12"/>
      <c r="OMI20" s="12"/>
      <c r="OMJ20" s="12"/>
      <c r="OMK20" s="13"/>
      <c r="OML20" s="9"/>
      <c r="OMM20" s="9"/>
      <c r="OMN20" s="9"/>
      <c r="OMO20" s="9"/>
      <c r="OMP20" s="10"/>
      <c r="OMQ20" s="11"/>
      <c r="OMR20" s="12"/>
      <c r="OMS20" s="12"/>
      <c r="OMT20" s="12"/>
      <c r="OMU20" s="13"/>
      <c r="OMV20" s="9"/>
      <c r="OMW20" s="9"/>
      <c r="OMX20" s="9"/>
      <c r="OMY20" s="9"/>
      <c r="OMZ20" s="10"/>
      <c r="ONA20" s="11"/>
      <c r="ONB20" s="12"/>
      <c r="ONC20" s="12"/>
      <c r="OND20" s="12"/>
      <c r="ONE20" s="13"/>
      <c r="ONF20" s="9"/>
      <c r="ONG20" s="9"/>
      <c r="ONH20" s="9"/>
      <c r="ONI20" s="9"/>
      <c r="ONJ20" s="10"/>
      <c r="ONK20" s="11"/>
      <c r="ONL20" s="12"/>
      <c r="ONM20" s="12"/>
      <c r="ONN20" s="12"/>
      <c r="ONO20" s="13"/>
      <c r="ONP20" s="9"/>
      <c r="ONQ20" s="9"/>
      <c r="ONR20" s="9"/>
      <c r="ONS20" s="9"/>
      <c r="ONT20" s="10"/>
      <c r="ONU20" s="11"/>
      <c r="ONV20" s="12"/>
      <c r="ONW20" s="12"/>
      <c r="ONX20" s="12"/>
      <c r="ONY20" s="13"/>
      <c r="ONZ20" s="9"/>
      <c r="OOA20" s="9"/>
      <c r="OOB20" s="9"/>
      <c r="OOC20" s="9"/>
      <c r="OOD20" s="10"/>
      <c r="OOE20" s="11"/>
      <c r="OOF20" s="12"/>
      <c r="OOG20" s="12"/>
      <c r="OOH20" s="12"/>
      <c r="OOI20" s="13"/>
      <c r="OOJ20" s="9"/>
      <c r="OOK20" s="9"/>
      <c r="OOL20" s="9"/>
      <c r="OOM20" s="9"/>
      <c r="OON20" s="10"/>
      <c r="OOO20" s="11"/>
      <c r="OOP20" s="12"/>
      <c r="OOQ20" s="12"/>
      <c r="OOR20" s="12"/>
      <c r="OOS20" s="13"/>
      <c r="OOT20" s="9"/>
      <c r="OOU20" s="9"/>
      <c r="OOV20" s="9"/>
      <c r="OOW20" s="9"/>
      <c r="OOX20" s="10"/>
      <c r="OOY20" s="11"/>
      <c r="OOZ20" s="12"/>
      <c r="OPA20" s="12"/>
      <c r="OPB20" s="12"/>
      <c r="OPC20" s="13"/>
      <c r="OPD20" s="9"/>
      <c r="OPE20" s="9"/>
      <c r="OPF20" s="9"/>
      <c r="OPG20" s="9"/>
      <c r="OPH20" s="10"/>
      <c r="OPI20" s="11"/>
      <c r="OPJ20" s="12"/>
      <c r="OPK20" s="12"/>
      <c r="OPL20" s="12"/>
      <c r="OPM20" s="13"/>
      <c r="OPN20" s="9"/>
      <c r="OPO20" s="9"/>
      <c r="OPP20" s="9"/>
      <c r="OPQ20" s="9"/>
      <c r="OPR20" s="10"/>
      <c r="OPS20" s="11"/>
      <c r="OPT20" s="12"/>
      <c r="OPU20" s="12"/>
      <c r="OPV20" s="12"/>
      <c r="OPW20" s="13"/>
      <c r="OPX20" s="9"/>
      <c r="OPY20" s="9"/>
      <c r="OPZ20" s="9"/>
      <c r="OQA20" s="9"/>
      <c r="OQB20" s="10"/>
      <c r="OQC20" s="11"/>
      <c r="OQD20" s="12"/>
      <c r="OQE20" s="12"/>
      <c r="OQF20" s="12"/>
      <c r="OQG20" s="13"/>
      <c r="OQH20" s="9"/>
      <c r="OQI20" s="9"/>
      <c r="OQJ20" s="9"/>
      <c r="OQK20" s="9"/>
      <c r="OQL20" s="10"/>
      <c r="OQM20" s="11"/>
      <c r="OQN20" s="12"/>
      <c r="OQO20" s="12"/>
      <c r="OQP20" s="12"/>
      <c r="OQQ20" s="13"/>
      <c r="OQR20" s="9"/>
      <c r="OQS20" s="9"/>
      <c r="OQT20" s="9"/>
      <c r="OQU20" s="9"/>
      <c r="OQV20" s="10"/>
      <c r="OQW20" s="11"/>
      <c r="OQX20" s="12"/>
      <c r="OQY20" s="12"/>
      <c r="OQZ20" s="12"/>
      <c r="ORA20" s="13"/>
      <c r="ORB20" s="9"/>
      <c r="ORC20" s="9"/>
      <c r="ORD20" s="9"/>
      <c r="ORE20" s="9"/>
      <c r="ORF20" s="10"/>
      <c r="ORG20" s="11"/>
      <c r="ORH20" s="12"/>
      <c r="ORI20" s="12"/>
      <c r="ORJ20" s="12"/>
      <c r="ORK20" s="13"/>
      <c r="ORL20" s="9"/>
      <c r="ORM20" s="9"/>
      <c r="ORN20" s="9"/>
      <c r="ORO20" s="9"/>
      <c r="ORP20" s="10"/>
      <c r="ORQ20" s="11"/>
      <c r="ORR20" s="12"/>
      <c r="ORS20" s="12"/>
      <c r="ORT20" s="12"/>
      <c r="ORU20" s="13"/>
      <c r="ORV20" s="9"/>
      <c r="ORW20" s="9"/>
      <c r="ORX20" s="9"/>
      <c r="ORY20" s="9"/>
      <c r="ORZ20" s="10"/>
      <c r="OSA20" s="11"/>
      <c r="OSB20" s="12"/>
      <c r="OSC20" s="12"/>
      <c r="OSD20" s="12"/>
      <c r="OSE20" s="13"/>
      <c r="OSF20" s="9"/>
      <c r="OSG20" s="9"/>
      <c r="OSH20" s="9"/>
      <c r="OSI20" s="9"/>
      <c r="OSJ20" s="10"/>
      <c r="OSK20" s="11"/>
      <c r="OSL20" s="12"/>
      <c r="OSM20" s="12"/>
      <c r="OSN20" s="12"/>
      <c r="OSO20" s="13"/>
      <c r="OSP20" s="9"/>
      <c r="OSQ20" s="9"/>
      <c r="OSR20" s="9"/>
      <c r="OSS20" s="9"/>
      <c r="OST20" s="10"/>
      <c r="OSU20" s="11"/>
      <c r="OSV20" s="12"/>
      <c r="OSW20" s="12"/>
      <c r="OSX20" s="12"/>
      <c r="OSY20" s="13"/>
      <c r="OSZ20" s="9"/>
      <c r="OTA20" s="9"/>
      <c r="OTB20" s="9"/>
      <c r="OTC20" s="9"/>
      <c r="OTD20" s="10"/>
      <c r="OTE20" s="11"/>
      <c r="OTF20" s="12"/>
      <c r="OTG20" s="12"/>
      <c r="OTH20" s="12"/>
      <c r="OTI20" s="13"/>
      <c r="OTJ20" s="9"/>
      <c r="OTK20" s="9"/>
      <c r="OTL20" s="9"/>
      <c r="OTM20" s="9"/>
      <c r="OTN20" s="10"/>
      <c r="OTO20" s="11"/>
      <c r="OTP20" s="12"/>
      <c r="OTQ20" s="12"/>
      <c r="OTR20" s="12"/>
      <c r="OTS20" s="13"/>
      <c r="OTT20" s="9"/>
      <c r="OTU20" s="9"/>
      <c r="OTV20" s="9"/>
      <c r="OTW20" s="9"/>
      <c r="OTX20" s="10"/>
      <c r="OTY20" s="11"/>
      <c r="OTZ20" s="12"/>
      <c r="OUA20" s="12"/>
      <c r="OUB20" s="12"/>
      <c r="OUC20" s="13"/>
      <c r="OUD20" s="9"/>
      <c r="OUE20" s="9"/>
      <c r="OUF20" s="9"/>
      <c r="OUG20" s="9"/>
      <c r="OUH20" s="10"/>
      <c r="OUI20" s="11"/>
      <c r="OUJ20" s="12"/>
      <c r="OUK20" s="12"/>
      <c r="OUL20" s="12"/>
      <c r="OUM20" s="13"/>
      <c r="OUN20" s="9"/>
      <c r="OUO20" s="9"/>
      <c r="OUP20" s="9"/>
      <c r="OUQ20" s="9"/>
      <c r="OUR20" s="10"/>
      <c r="OUS20" s="11"/>
      <c r="OUT20" s="12"/>
      <c r="OUU20" s="12"/>
      <c r="OUV20" s="12"/>
      <c r="OUW20" s="13"/>
      <c r="OUX20" s="9"/>
      <c r="OUY20" s="9"/>
      <c r="OUZ20" s="9"/>
      <c r="OVA20" s="9"/>
      <c r="OVB20" s="10"/>
      <c r="OVC20" s="11"/>
      <c r="OVD20" s="12"/>
      <c r="OVE20" s="12"/>
      <c r="OVF20" s="12"/>
      <c r="OVG20" s="13"/>
      <c r="OVH20" s="9"/>
      <c r="OVI20" s="9"/>
      <c r="OVJ20" s="9"/>
      <c r="OVK20" s="9"/>
      <c r="OVL20" s="10"/>
      <c r="OVM20" s="11"/>
      <c r="OVN20" s="12"/>
      <c r="OVO20" s="12"/>
      <c r="OVP20" s="12"/>
      <c r="OVQ20" s="13"/>
      <c r="OVR20" s="9"/>
      <c r="OVS20" s="9"/>
      <c r="OVT20" s="9"/>
      <c r="OVU20" s="9"/>
      <c r="OVV20" s="10"/>
      <c r="OVW20" s="11"/>
      <c r="OVX20" s="12"/>
      <c r="OVY20" s="12"/>
      <c r="OVZ20" s="12"/>
      <c r="OWA20" s="13"/>
      <c r="OWB20" s="9"/>
      <c r="OWC20" s="9"/>
      <c r="OWD20" s="9"/>
      <c r="OWE20" s="9"/>
      <c r="OWF20" s="10"/>
      <c r="OWG20" s="11"/>
      <c r="OWH20" s="12"/>
      <c r="OWI20" s="12"/>
      <c r="OWJ20" s="12"/>
      <c r="OWK20" s="13"/>
      <c r="OWL20" s="9"/>
      <c r="OWM20" s="9"/>
      <c r="OWN20" s="9"/>
      <c r="OWO20" s="9"/>
      <c r="OWP20" s="10"/>
      <c r="OWQ20" s="11"/>
      <c r="OWR20" s="12"/>
      <c r="OWS20" s="12"/>
      <c r="OWT20" s="12"/>
      <c r="OWU20" s="13"/>
      <c r="OWV20" s="9"/>
      <c r="OWW20" s="9"/>
      <c r="OWX20" s="9"/>
      <c r="OWY20" s="9"/>
      <c r="OWZ20" s="10"/>
      <c r="OXA20" s="11"/>
      <c r="OXB20" s="12"/>
      <c r="OXC20" s="12"/>
      <c r="OXD20" s="12"/>
      <c r="OXE20" s="13"/>
      <c r="OXF20" s="9"/>
      <c r="OXG20" s="9"/>
      <c r="OXH20" s="9"/>
      <c r="OXI20" s="9"/>
      <c r="OXJ20" s="10"/>
      <c r="OXK20" s="11"/>
      <c r="OXL20" s="12"/>
      <c r="OXM20" s="12"/>
      <c r="OXN20" s="12"/>
      <c r="OXO20" s="13"/>
      <c r="OXP20" s="9"/>
      <c r="OXQ20" s="9"/>
      <c r="OXR20" s="9"/>
      <c r="OXS20" s="9"/>
      <c r="OXT20" s="10"/>
      <c r="OXU20" s="11"/>
      <c r="OXV20" s="12"/>
      <c r="OXW20" s="12"/>
      <c r="OXX20" s="12"/>
      <c r="OXY20" s="13"/>
      <c r="OXZ20" s="9"/>
      <c r="OYA20" s="9"/>
      <c r="OYB20" s="9"/>
      <c r="OYC20" s="9"/>
      <c r="OYD20" s="10"/>
      <c r="OYE20" s="11"/>
      <c r="OYF20" s="12"/>
      <c r="OYG20" s="12"/>
      <c r="OYH20" s="12"/>
      <c r="OYI20" s="13"/>
      <c r="OYJ20" s="9"/>
      <c r="OYK20" s="9"/>
      <c r="OYL20" s="9"/>
      <c r="OYM20" s="9"/>
      <c r="OYN20" s="10"/>
      <c r="OYO20" s="11"/>
      <c r="OYP20" s="12"/>
      <c r="OYQ20" s="12"/>
      <c r="OYR20" s="12"/>
      <c r="OYS20" s="13"/>
      <c r="OYT20" s="9"/>
      <c r="OYU20" s="9"/>
      <c r="OYV20" s="9"/>
      <c r="OYW20" s="9"/>
      <c r="OYX20" s="10"/>
      <c r="OYY20" s="11"/>
      <c r="OYZ20" s="12"/>
      <c r="OZA20" s="12"/>
      <c r="OZB20" s="12"/>
      <c r="OZC20" s="13"/>
      <c r="OZD20" s="9"/>
      <c r="OZE20" s="9"/>
      <c r="OZF20" s="9"/>
      <c r="OZG20" s="9"/>
      <c r="OZH20" s="10"/>
      <c r="OZI20" s="11"/>
      <c r="OZJ20" s="12"/>
      <c r="OZK20" s="12"/>
      <c r="OZL20" s="12"/>
      <c r="OZM20" s="13"/>
      <c r="OZN20" s="9"/>
      <c r="OZO20" s="9"/>
      <c r="OZP20" s="9"/>
      <c r="OZQ20" s="9"/>
      <c r="OZR20" s="10"/>
      <c r="OZS20" s="11"/>
      <c r="OZT20" s="12"/>
      <c r="OZU20" s="12"/>
      <c r="OZV20" s="12"/>
      <c r="OZW20" s="13"/>
      <c r="OZX20" s="9"/>
      <c r="OZY20" s="9"/>
      <c r="OZZ20" s="9"/>
      <c r="PAA20" s="9"/>
      <c r="PAB20" s="10"/>
      <c r="PAC20" s="11"/>
      <c r="PAD20" s="12"/>
      <c r="PAE20" s="12"/>
      <c r="PAF20" s="12"/>
      <c r="PAG20" s="13"/>
      <c r="PAH20" s="9"/>
      <c r="PAI20" s="9"/>
      <c r="PAJ20" s="9"/>
      <c r="PAK20" s="9"/>
      <c r="PAL20" s="10"/>
      <c r="PAM20" s="11"/>
      <c r="PAN20" s="12"/>
      <c r="PAO20" s="12"/>
      <c r="PAP20" s="12"/>
      <c r="PAQ20" s="13"/>
      <c r="PAR20" s="9"/>
      <c r="PAS20" s="9"/>
      <c r="PAT20" s="9"/>
      <c r="PAU20" s="9"/>
      <c r="PAV20" s="10"/>
      <c r="PAW20" s="11"/>
      <c r="PAX20" s="12"/>
      <c r="PAY20" s="12"/>
      <c r="PAZ20" s="12"/>
      <c r="PBA20" s="13"/>
      <c r="PBB20" s="9"/>
      <c r="PBC20" s="9"/>
      <c r="PBD20" s="9"/>
      <c r="PBE20" s="9"/>
      <c r="PBF20" s="10"/>
      <c r="PBG20" s="11"/>
      <c r="PBH20" s="12"/>
      <c r="PBI20" s="12"/>
      <c r="PBJ20" s="12"/>
      <c r="PBK20" s="13"/>
      <c r="PBL20" s="9"/>
      <c r="PBM20" s="9"/>
      <c r="PBN20" s="9"/>
      <c r="PBO20" s="9"/>
      <c r="PBP20" s="10"/>
      <c r="PBQ20" s="11"/>
      <c r="PBR20" s="12"/>
      <c r="PBS20" s="12"/>
      <c r="PBT20" s="12"/>
      <c r="PBU20" s="13"/>
      <c r="PBV20" s="9"/>
      <c r="PBW20" s="9"/>
      <c r="PBX20" s="9"/>
      <c r="PBY20" s="9"/>
      <c r="PBZ20" s="10"/>
      <c r="PCA20" s="11"/>
      <c r="PCB20" s="12"/>
      <c r="PCC20" s="12"/>
      <c r="PCD20" s="12"/>
      <c r="PCE20" s="13"/>
      <c r="PCF20" s="9"/>
      <c r="PCG20" s="9"/>
      <c r="PCH20" s="9"/>
      <c r="PCI20" s="9"/>
      <c r="PCJ20" s="10"/>
      <c r="PCK20" s="11"/>
      <c r="PCL20" s="12"/>
      <c r="PCM20" s="12"/>
      <c r="PCN20" s="12"/>
      <c r="PCO20" s="13"/>
      <c r="PCP20" s="9"/>
      <c r="PCQ20" s="9"/>
      <c r="PCR20" s="9"/>
      <c r="PCS20" s="9"/>
      <c r="PCT20" s="10"/>
      <c r="PCU20" s="11"/>
      <c r="PCV20" s="12"/>
      <c r="PCW20" s="12"/>
      <c r="PCX20" s="12"/>
      <c r="PCY20" s="13"/>
      <c r="PCZ20" s="9"/>
      <c r="PDA20" s="9"/>
      <c r="PDB20" s="9"/>
      <c r="PDC20" s="9"/>
      <c r="PDD20" s="10"/>
      <c r="PDE20" s="11"/>
      <c r="PDF20" s="12"/>
      <c r="PDG20" s="12"/>
      <c r="PDH20" s="12"/>
      <c r="PDI20" s="13"/>
      <c r="PDJ20" s="9"/>
      <c r="PDK20" s="9"/>
      <c r="PDL20" s="9"/>
      <c r="PDM20" s="9"/>
      <c r="PDN20" s="10"/>
      <c r="PDO20" s="11"/>
      <c r="PDP20" s="12"/>
      <c r="PDQ20" s="12"/>
      <c r="PDR20" s="12"/>
      <c r="PDS20" s="13"/>
      <c r="PDT20" s="9"/>
      <c r="PDU20" s="9"/>
      <c r="PDV20" s="9"/>
      <c r="PDW20" s="9"/>
      <c r="PDX20" s="10"/>
      <c r="PDY20" s="11"/>
      <c r="PDZ20" s="12"/>
      <c r="PEA20" s="12"/>
      <c r="PEB20" s="12"/>
      <c r="PEC20" s="13"/>
      <c r="PED20" s="9"/>
      <c r="PEE20" s="9"/>
      <c r="PEF20" s="9"/>
      <c r="PEG20" s="9"/>
      <c r="PEH20" s="10"/>
      <c r="PEI20" s="11"/>
      <c r="PEJ20" s="12"/>
      <c r="PEK20" s="12"/>
      <c r="PEL20" s="12"/>
      <c r="PEM20" s="13"/>
      <c r="PEN20" s="9"/>
      <c r="PEO20" s="9"/>
      <c r="PEP20" s="9"/>
      <c r="PEQ20" s="9"/>
      <c r="PER20" s="10"/>
      <c r="PES20" s="11"/>
      <c r="PET20" s="12"/>
      <c r="PEU20" s="12"/>
      <c r="PEV20" s="12"/>
      <c r="PEW20" s="13"/>
      <c r="PEX20" s="9"/>
      <c r="PEY20" s="9"/>
      <c r="PEZ20" s="9"/>
      <c r="PFA20" s="9"/>
      <c r="PFB20" s="10"/>
      <c r="PFC20" s="11"/>
      <c r="PFD20" s="12"/>
      <c r="PFE20" s="12"/>
      <c r="PFF20" s="12"/>
      <c r="PFG20" s="13"/>
      <c r="PFH20" s="9"/>
      <c r="PFI20" s="9"/>
      <c r="PFJ20" s="9"/>
      <c r="PFK20" s="9"/>
      <c r="PFL20" s="10"/>
      <c r="PFM20" s="11"/>
      <c r="PFN20" s="12"/>
      <c r="PFO20" s="12"/>
      <c r="PFP20" s="12"/>
      <c r="PFQ20" s="13"/>
      <c r="PFR20" s="9"/>
      <c r="PFS20" s="9"/>
      <c r="PFT20" s="9"/>
      <c r="PFU20" s="9"/>
      <c r="PFV20" s="10"/>
      <c r="PFW20" s="11"/>
      <c r="PFX20" s="12"/>
      <c r="PFY20" s="12"/>
      <c r="PFZ20" s="12"/>
      <c r="PGA20" s="13"/>
      <c r="PGB20" s="9"/>
      <c r="PGC20" s="9"/>
      <c r="PGD20" s="9"/>
      <c r="PGE20" s="9"/>
      <c r="PGF20" s="10"/>
      <c r="PGG20" s="11"/>
      <c r="PGH20" s="12"/>
      <c r="PGI20" s="12"/>
      <c r="PGJ20" s="12"/>
      <c r="PGK20" s="13"/>
      <c r="PGL20" s="9"/>
      <c r="PGM20" s="9"/>
      <c r="PGN20" s="9"/>
      <c r="PGO20" s="9"/>
      <c r="PGP20" s="10"/>
      <c r="PGQ20" s="11"/>
      <c r="PGR20" s="12"/>
      <c r="PGS20" s="12"/>
      <c r="PGT20" s="12"/>
      <c r="PGU20" s="13"/>
      <c r="PGV20" s="9"/>
      <c r="PGW20" s="9"/>
      <c r="PGX20" s="9"/>
      <c r="PGY20" s="9"/>
      <c r="PGZ20" s="10"/>
      <c r="PHA20" s="11"/>
      <c r="PHB20" s="12"/>
      <c r="PHC20" s="12"/>
      <c r="PHD20" s="12"/>
      <c r="PHE20" s="13"/>
      <c r="PHF20" s="9"/>
      <c r="PHG20" s="9"/>
      <c r="PHH20" s="9"/>
      <c r="PHI20" s="9"/>
      <c r="PHJ20" s="10"/>
      <c r="PHK20" s="11"/>
      <c r="PHL20" s="12"/>
      <c r="PHM20" s="12"/>
      <c r="PHN20" s="12"/>
      <c r="PHO20" s="13"/>
      <c r="PHP20" s="9"/>
      <c r="PHQ20" s="9"/>
      <c r="PHR20" s="9"/>
      <c r="PHS20" s="9"/>
      <c r="PHT20" s="10"/>
      <c r="PHU20" s="11"/>
      <c r="PHV20" s="12"/>
      <c r="PHW20" s="12"/>
      <c r="PHX20" s="12"/>
      <c r="PHY20" s="13"/>
      <c r="PHZ20" s="9"/>
      <c r="PIA20" s="9"/>
      <c r="PIB20" s="9"/>
      <c r="PIC20" s="9"/>
      <c r="PID20" s="10"/>
      <c r="PIE20" s="11"/>
      <c r="PIF20" s="12"/>
      <c r="PIG20" s="12"/>
      <c r="PIH20" s="12"/>
      <c r="PII20" s="13"/>
      <c r="PIJ20" s="9"/>
      <c r="PIK20" s="9"/>
      <c r="PIL20" s="9"/>
      <c r="PIM20" s="9"/>
      <c r="PIN20" s="10"/>
      <c r="PIO20" s="11"/>
      <c r="PIP20" s="12"/>
      <c r="PIQ20" s="12"/>
      <c r="PIR20" s="12"/>
      <c r="PIS20" s="13"/>
      <c r="PIT20" s="9"/>
      <c r="PIU20" s="9"/>
      <c r="PIV20" s="9"/>
      <c r="PIW20" s="9"/>
      <c r="PIX20" s="10"/>
      <c r="PIY20" s="11"/>
      <c r="PIZ20" s="12"/>
      <c r="PJA20" s="12"/>
      <c r="PJB20" s="12"/>
      <c r="PJC20" s="13"/>
      <c r="PJD20" s="9"/>
      <c r="PJE20" s="9"/>
      <c r="PJF20" s="9"/>
      <c r="PJG20" s="9"/>
      <c r="PJH20" s="10"/>
      <c r="PJI20" s="11"/>
      <c r="PJJ20" s="12"/>
      <c r="PJK20" s="12"/>
      <c r="PJL20" s="12"/>
      <c r="PJM20" s="13"/>
      <c r="PJN20" s="9"/>
      <c r="PJO20" s="9"/>
      <c r="PJP20" s="9"/>
      <c r="PJQ20" s="9"/>
      <c r="PJR20" s="10"/>
      <c r="PJS20" s="11"/>
      <c r="PJT20" s="12"/>
      <c r="PJU20" s="12"/>
      <c r="PJV20" s="12"/>
      <c r="PJW20" s="13"/>
      <c r="PJX20" s="9"/>
      <c r="PJY20" s="9"/>
      <c r="PJZ20" s="9"/>
      <c r="PKA20" s="9"/>
      <c r="PKB20" s="10"/>
      <c r="PKC20" s="11"/>
      <c r="PKD20" s="12"/>
      <c r="PKE20" s="12"/>
      <c r="PKF20" s="12"/>
      <c r="PKG20" s="13"/>
      <c r="PKH20" s="9"/>
      <c r="PKI20" s="9"/>
      <c r="PKJ20" s="9"/>
      <c r="PKK20" s="9"/>
      <c r="PKL20" s="10"/>
      <c r="PKM20" s="11"/>
      <c r="PKN20" s="12"/>
      <c r="PKO20" s="12"/>
      <c r="PKP20" s="12"/>
      <c r="PKQ20" s="13"/>
      <c r="PKR20" s="9"/>
      <c r="PKS20" s="9"/>
      <c r="PKT20" s="9"/>
      <c r="PKU20" s="9"/>
      <c r="PKV20" s="10"/>
      <c r="PKW20" s="11"/>
      <c r="PKX20" s="12"/>
      <c r="PKY20" s="12"/>
      <c r="PKZ20" s="12"/>
      <c r="PLA20" s="13"/>
      <c r="PLB20" s="9"/>
      <c r="PLC20" s="9"/>
      <c r="PLD20" s="9"/>
      <c r="PLE20" s="9"/>
      <c r="PLF20" s="10"/>
      <c r="PLG20" s="11"/>
      <c r="PLH20" s="12"/>
      <c r="PLI20" s="12"/>
      <c r="PLJ20" s="12"/>
      <c r="PLK20" s="13"/>
      <c r="PLL20" s="9"/>
      <c r="PLM20" s="9"/>
      <c r="PLN20" s="9"/>
      <c r="PLO20" s="9"/>
      <c r="PLP20" s="10"/>
      <c r="PLQ20" s="11"/>
      <c r="PLR20" s="12"/>
      <c r="PLS20" s="12"/>
      <c r="PLT20" s="12"/>
      <c r="PLU20" s="13"/>
      <c r="PLV20" s="9"/>
      <c r="PLW20" s="9"/>
      <c r="PLX20" s="9"/>
      <c r="PLY20" s="9"/>
      <c r="PLZ20" s="10"/>
      <c r="PMA20" s="11"/>
      <c r="PMB20" s="12"/>
      <c r="PMC20" s="12"/>
      <c r="PMD20" s="12"/>
      <c r="PME20" s="13"/>
      <c r="PMF20" s="9"/>
      <c r="PMG20" s="9"/>
      <c r="PMH20" s="9"/>
      <c r="PMI20" s="9"/>
      <c r="PMJ20" s="10"/>
      <c r="PMK20" s="11"/>
      <c r="PML20" s="12"/>
      <c r="PMM20" s="12"/>
      <c r="PMN20" s="12"/>
      <c r="PMO20" s="13"/>
      <c r="PMP20" s="9"/>
      <c r="PMQ20" s="9"/>
      <c r="PMR20" s="9"/>
      <c r="PMS20" s="9"/>
      <c r="PMT20" s="10"/>
      <c r="PMU20" s="11"/>
      <c r="PMV20" s="12"/>
      <c r="PMW20" s="12"/>
      <c r="PMX20" s="12"/>
      <c r="PMY20" s="13"/>
      <c r="PMZ20" s="9"/>
      <c r="PNA20" s="9"/>
      <c r="PNB20" s="9"/>
      <c r="PNC20" s="9"/>
      <c r="PND20" s="10"/>
      <c r="PNE20" s="11"/>
      <c r="PNF20" s="12"/>
      <c r="PNG20" s="12"/>
      <c r="PNH20" s="12"/>
      <c r="PNI20" s="13"/>
      <c r="PNJ20" s="9"/>
      <c r="PNK20" s="9"/>
      <c r="PNL20" s="9"/>
      <c r="PNM20" s="9"/>
      <c r="PNN20" s="10"/>
      <c r="PNO20" s="11"/>
      <c r="PNP20" s="12"/>
      <c r="PNQ20" s="12"/>
      <c r="PNR20" s="12"/>
      <c r="PNS20" s="13"/>
      <c r="PNT20" s="9"/>
      <c r="PNU20" s="9"/>
      <c r="PNV20" s="9"/>
      <c r="PNW20" s="9"/>
      <c r="PNX20" s="10"/>
      <c r="PNY20" s="11"/>
      <c r="PNZ20" s="12"/>
      <c r="POA20" s="12"/>
      <c r="POB20" s="12"/>
      <c r="POC20" s="13"/>
      <c r="POD20" s="9"/>
      <c r="POE20" s="9"/>
      <c r="POF20" s="9"/>
      <c r="POG20" s="9"/>
      <c r="POH20" s="10"/>
      <c r="POI20" s="11"/>
      <c r="POJ20" s="12"/>
      <c r="POK20" s="12"/>
      <c r="POL20" s="12"/>
      <c r="POM20" s="13"/>
      <c r="PON20" s="9"/>
      <c r="POO20" s="9"/>
      <c r="POP20" s="9"/>
      <c r="POQ20" s="9"/>
      <c r="POR20" s="10"/>
      <c r="POS20" s="11"/>
      <c r="POT20" s="12"/>
      <c r="POU20" s="12"/>
      <c r="POV20" s="12"/>
      <c r="POW20" s="13"/>
      <c r="POX20" s="9"/>
      <c r="POY20" s="9"/>
      <c r="POZ20" s="9"/>
      <c r="PPA20" s="9"/>
      <c r="PPB20" s="10"/>
      <c r="PPC20" s="11"/>
      <c r="PPD20" s="12"/>
      <c r="PPE20" s="12"/>
      <c r="PPF20" s="12"/>
      <c r="PPG20" s="13"/>
      <c r="PPH20" s="9"/>
      <c r="PPI20" s="9"/>
      <c r="PPJ20" s="9"/>
      <c r="PPK20" s="9"/>
      <c r="PPL20" s="10"/>
      <c r="PPM20" s="11"/>
      <c r="PPN20" s="12"/>
      <c r="PPO20" s="12"/>
      <c r="PPP20" s="12"/>
      <c r="PPQ20" s="13"/>
      <c r="PPR20" s="9"/>
      <c r="PPS20" s="9"/>
      <c r="PPT20" s="9"/>
      <c r="PPU20" s="9"/>
      <c r="PPV20" s="10"/>
      <c r="PPW20" s="11"/>
      <c r="PPX20" s="12"/>
      <c r="PPY20" s="12"/>
      <c r="PPZ20" s="12"/>
      <c r="PQA20" s="13"/>
      <c r="PQB20" s="9"/>
      <c r="PQC20" s="9"/>
      <c r="PQD20" s="9"/>
      <c r="PQE20" s="9"/>
      <c r="PQF20" s="10"/>
      <c r="PQG20" s="11"/>
      <c r="PQH20" s="12"/>
      <c r="PQI20" s="12"/>
      <c r="PQJ20" s="12"/>
      <c r="PQK20" s="13"/>
      <c r="PQL20" s="9"/>
      <c r="PQM20" s="9"/>
      <c r="PQN20" s="9"/>
      <c r="PQO20" s="9"/>
      <c r="PQP20" s="10"/>
      <c r="PQQ20" s="11"/>
      <c r="PQR20" s="12"/>
      <c r="PQS20" s="12"/>
      <c r="PQT20" s="12"/>
      <c r="PQU20" s="13"/>
      <c r="PQV20" s="9"/>
      <c r="PQW20" s="9"/>
      <c r="PQX20" s="9"/>
      <c r="PQY20" s="9"/>
      <c r="PQZ20" s="10"/>
      <c r="PRA20" s="11"/>
      <c r="PRB20" s="12"/>
      <c r="PRC20" s="12"/>
      <c r="PRD20" s="12"/>
      <c r="PRE20" s="13"/>
      <c r="PRF20" s="9"/>
      <c r="PRG20" s="9"/>
      <c r="PRH20" s="9"/>
      <c r="PRI20" s="9"/>
      <c r="PRJ20" s="10"/>
      <c r="PRK20" s="11"/>
      <c r="PRL20" s="12"/>
      <c r="PRM20" s="12"/>
      <c r="PRN20" s="12"/>
      <c r="PRO20" s="13"/>
      <c r="PRP20" s="9"/>
      <c r="PRQ20" s="9"/>
      <c r="PRR20" s="9"/>
      <c r="PRS20" s="9"/>
      <c r="PRT20" s="10"/>
      <c r="PRU20" s="11"/>
      <c r="PRV20" s="12"/>
      <c r="PRW20" s="12"/>
      <c r="PRX20" s="12"/>
      <c r="PRY20" s="13"/>
      <c r="PRZ20" s="9"/>
      <c r="PSA20" s="9"/>
      <c r="PSB20" s="9"/>
      <c r="PSC20" s="9"/>
      <c r="PSD20" s="10"/>
      <c r="PSE20" s="11"/>
      <c r="PSF20" s="12"/>
      <c r="PSG20" s="12"/>
      <c r="PSH20" s="12"/>
      <c r="PSI20" s="13"/>
      <c r="PSJ20" s="9"/>
      <c r="PSK20" s="9"/>
      <c r="PSL20" s="9"/>
      <c r="PSM20" s="9"/>
      <c r="PSN20" s="10"/>
      <c r="PSO20" s="11"/>
      <c r="PSP20" s="12"/>
      <c r="PSQ20" s="12"/>
      <c r="PSR20" s="12"/>
      <c r="PSS20" s="13"/>
      <c r="PST20" s="9"/>
      <c r="PSU20" s="9"/>
      <c r="PSV20" s="9"/>
      <c r="PSW20" s="9"/>
      <c r="PSX20" s="10"/>
      <c r="PSY20" s="11"/>
      <c r="PSZ20" s="12"/>
      <c r="PTA20" s="12"/>
      <c r="PTB20" s="12"/>
      <c r="PTC20" s="13"/>
      <c r="PTD20" s="9"/>
      <c r="PTE20" s="9"/>
      <c r="PTF20" s="9"/>
      <c r="PTG20" s="9"/>
      <c r="PTH20" s="10"/>
      <c r="PTI20" s="11"/>
      <c r="PTJ20" s="12"/>
      <c r="PTK20" s="12"/>
      <c r="PTL20" s="12"/>
      <c r="PTM20" s="13"/>
      <c r="PTN20" s="9"/>
      <c r="PTO20" s="9"/>
      <c r="PTP20" s="9"/>
      <c r="PTQ20" s="9"/>
      <c r="PTR20" s="10"/>
      <c r="PTS20" s="11"/>
      <c r="PTT20" s="12"/>
      <c r="PTU20" s="12"/>
      <c r="PTV20" s="12"/>
      <c r="PTW20" s="13"/>
      <c r="PTX20" s="9"/>
      <c r="PTY20" s="9"/>
      <c r="PTZ20" s="9"/>
      <c r="PUA20" s="9"/>
      <c r="PUB20" s="10"/>
      <c r="PUC20" s="11"/>
      <c r="PUD20" s="12"/>
      <c r="PUE20" s="12"/>
      <c r="PUF20" s="12"/>
      <c r="PUG20" s="13"/>
      <c r="PUH20" s="9"/>
      <c r="PUI20" s="9"/>
      <c r="PUJ20" s="9"/>
      <c r="PUK20" s="9"/>
      <c r="PUL20" s="10"/>
      <c r="PUM20" s="11"/>
      <c r="PUN20" s="12"/>
      <c r="PUO20" s="12"/>
      <c r="PUP20" s="12"/>
      <c r="PUQ20" s="13"/>
      <c r="PUR20" s="9"/>
      <c r="PUS20" s="9"/>
      <c r="PUT20" s="9"/>
      <c r="PUU20" s="9"/>
      <c r="PUV20" s="10"/>
      <c r="PUW20" s="11"/>
      <c r="PUX20" s="12"/>
      <c r="PUY20" s="12"/>
      <c r="PUZ20" s="12"/>
      <c r="PVA20" s="13"/>
      <c r="PVB20" s="9"/>
      <c r="PVC20" s="9"/>
      <c r="PVD20" s="9"/>
      <c r="PVE20" s="9"/>
      <c r="PVF20" s="10"/>
      <c r="PVG20" s="11"/>
      <c r="PVH20" s="12"/>
      <c r="PVI20" s="12"/>
      <c r="PVJ20" s="12"/>
      <c r="PVK20" s="13"/>
      <c r="PVL20" s="9"/>
      <c r="PVM20" s="9"/>
      <c r="PVN20" s="9"/>
      <c r="PVO20" s="9"/>
      <c r="PVP20" s="10"/>
      <c r="PVQ20" s="11"/>
      <c r="PVR20" s="12"/>
      <c r="PVS20" s="12"/>
      <c r="PVT20" s="12"/>
      <c r="PVU20" s="13"/>
      <c r="PVV20" s="9"/>
      <c r="PVW20" s="9"/>
      <c r="PVX20" s="9"/>
      <c r="PVY20" s="9"/>
      <c r="PVZ20" s="10"/>
      <c r="PWA20" s="11"/>
      <c r="PWB20" s="12"/>
      <c r="PWC20" s="12"/>
      <c r="PWD20" s="12"/>
      <c r="PWE20" s="13"/>
      <c r="PWF20" s="9"/>
      <c r="PWG20" s="9"/>
      <c r="PWH20" s="9"/>
      <c r="PWI20" s="9"/>
      <c r="PWJ20" s="10"/>
      <c r="PWK20" s="11"/>
      <c r="PWL20" s="12"/>
      <c r="PWM20" s="12"/>
      <c r="PWN20" s="12"/>
      <c r="PWO20" s="13"/>
      <c r="PWP20" s="9"/>
      <c r="PWQ20" s="9"/>
      <c r="PWR20" s="9"/>
      <c r="PWS20" s="9"/>
      <c r="PWT20" s="10"/>
      <c r="PWU20" s="11"/>
      <c r="PWV20" s="12"/>
      <c r="PWW20" s="12"/>
      <c r="PWX20" s="12"/>
      <c r="PWY20" s="13"/>
      <c r="PWZ20" s="9"/>
      <c r="PXA20" s="9"/>
      <c r="PXB20" s="9"/>
      <c r="PXC20" s="9"/>
      <c r="PXD20" s="10"/>
      <c r="PXE20" s="11"/>
      <c r="PXF20" s="12"/>
      <c r="PXG20" s="12"/>
      <c r="PXH20" s="12"/>
      <c r="PXI20" s="13"/>
      <c r="PXJ20" s="9"/>
      <c r="PXK20" s="9"/>
      <c r="PXL20" s="9"/>
      <c r="PXM20" s="9"/>
      <c r="PXN20" s="10"/>
      <c r="PXO20" s="11"/>
      <c r="PXP20" s="12"/>
      <c r="PXQ20" s="12"/>
      <c r="PXR20" s="12"/>
      <c r="PXS20" s="13"/>
      <c r="PXT20" s="9"/>
      <c r="PXU20" s="9"/>
      <c r="PXV20" s="9"/>
      <c r="PXW20" s="9"/>
      <c r="PXX20" s="10"/>
      <c r="PXY20" s="11"/>
      <c r="PXZ20" s="12"/>
      <c r="PYA20" s="12"/>
      <c r="PYB20" s="12"/>
      <c r="PYC20" s="13"/>
      <c r="PYD20" s="9"/>
      <c r="PYE20" s="9"/>
      <c r="PYF20" s="9"/>
      <c r="PYG20" s="9"/>
      <c r="PYH20" s="10"/>
      <c r="PYI20" s="11"/>
      <c r="PYJ20" s="12"/>
      <c r="PYK20" s="12"/>
      <c r="PYL20" s="12"/>
      <c r="PYM20" s="13"/>
      <c r="PYN20" s="9"/>
      <c r="PYO20" s="9"/>
      <c r="PYP20" s="9"/>
      <c r="PYQ20" s="9"/>
      <c r="PYR20" s="10"/>
      <c r="PYS20" s="11"/>
      <c r="PYT20" s="12"/>
      <c r="PYU20" s="12"/>
      <c r="PYV20" s="12"/>
      <c r="PYW20" s="13"/>
      <c r="PYX20" s="9"/>
      <c r="PYY20" s="9"/>
      <c r="PYZ20" s="9"/>
      <c r="PZA20" s="9"/>
      <c r="PZB20" s="10"/>
      <c r="PZC20" s="11"/>
      <c r="PZD20" s="12"/>
      <c r="PZE20" s="12"/>
      <c r="PZF20" s="12"/>
      <c r="PZG20" s="13"/>
      <c r="PZH20" s="9"/>
      <c r="PZI20" s="9"/>
      <c r="PZJ20" s="9"/>
      <c r="PZK20" s="9"/>
      <c r="PZL20" s="10"/>
      <c r="PZM20" s="11"/>
      <c r="PZN20" s="12"/>
      <c r="PZO20" s="12"/>
      <c r="PZP20" s="12"/>
      <c r="PZQ20" s="13"/>
      <c r="PZR20" s="9"/>
      <c r="PZS20" s="9"/>
      <c r="PZT20" s="9"/>
      <c r="PZU20" s="9"/>
      <c r="PZV20" s="10"/>
      <c r="PZW20" s="11"/>
      <c r="PZX20" s="12"/>
      <c r="PZY20" s="12"/>
      <c r="PZZ20" s="12"/>
      <c r="QAA20" s="13"/>
      <c r="QAB20" s="9"/>
      <c r="QAC20" s="9"/>
      <c r="QAD20" s="9"/>
      <c r="QAE20" s="9"/>
      <c r="QAF20" s="10"/>
      <c r="QAG20" s="11"/>
      <c r="QAH20" s="12"/>
      <c r="QAI20" s="12"/>
      <c r="QAJ20" s="12"/>
      <c r="QAK20" s="13"/>
      <c r="QAL20" s="9"/>
      <c r="QAM20" s="9"/>
      <c r="QAN20" s="9"/>
      <c r="QAO20" s="9"/>
      <c r="QAP20" s="10"/>
      <c r="QAQ20" s="11"/>
      <c r="QAR20" s="12"/>
      <c r="QAS20" s="12"/>
      <c r="QAT20" s="12"/>
      <c r="QAU20" s="13"/>
      <c r="QAV20" s="9"/>
      <c r="QAW20" s="9"/>
      <c r="QAX20" s="9"/>
      <c r="QAY20" s="9"/>
      <c r="QAZ20" s="10"/>
      <c r="QBA20" s="11"/>
      <c r="QBB20" s="12"/>
      <c r="QBC20" s="12"/>
      <c r="QBD20" s="12"/>
      <c r="QBE20" s="13"/>
      <c r="QBF20" s="9"/>
      <c r="QBG20" s="9"/>
      <c r="QBH20" s="9"/>
      <c r="QBI20" s="9"/>
      <c r="QBJ20" s="10"/>
      <c r="QBK20" s="11"/>
      <c r="QBL20" s="12"/>
      <c r="QBM20" s="12"/>
      <c r="QBN20" s="12"/>
      <c r="QBO20" s="13"/>
      <c r="QBP20" s="9"/>
      <c r="QBQ20" s="9"/>
      <c r="QBR20" s="9"/>
      <c r="QBS20" s="9"/>
      <c r="QBT20" s="10"/>
      <c r="QBU20" s="11"/>
      <c r="QBV20" s="12"/>
      <c r="QBW20" s="12"/>
      <c r="QBX20" s="12"/>
      <c r="QBY20" s="13"/>
      <c r="QBZ20" s="9"/>
      <c r="QCA20" s="9"/>
      <c r="QCB20" s="9"/>
      <c r="QCC20" s="9"/>
      <c r="QCD20" s="10"/>
      <c r="QCE20" s="11"/>
      <c r="QCF20" s="12"/>
      <c r="QCG20" s="12"/>
      <c r="QCH20" s="12"/>
      <c r="QCI20" s="13"/>
      <c r="QCJ20" s="9"/>
      <c r="QCK20" s="9"/>
      <c r="QCL20" s="9"/>
      <c r="QCM20" s="9"/>
      <c r="QCN20" s="10"/>
      <c r="QCO20" s="11"/>
      <c r="QCP20" s="12"/>
      <c r="QCQ20" s="12"/>
      <c r="QCR20" s="12"/>
      <c r="QCS20" s="13"/>
      <c r="QCT20" s="9"/>
      <c r="QCU20" s="9"/>
      <c r="QCV20" s="9"/>
      <c r="QCW20" s="9"/>
      <c r="QCX20" s="10"/>
      <c r="QCY20" s="11"/>
      <c r="QCZ20" s="12"/>
      <c r="QDA20" s="12"/>
      <c r="QDB20" s="12"/>
      <c r="QDC20" s="13"/>
      <c r="QDD20" s="9"/>
      <c r="QDE20" s="9"/>
      <c r="QDF20" s="9"/>
      <c r="QDG20" s="9"/>
      <c r="QDH20" s="10"/>
      <c r="QDI20" s="11"/>
      <c r="QDJ20" s="12"/>
      <c r="QDK20" s="12"/>
      <c r="QDL20" s="12"/>
      <c r="QDM20" s="13"/>
      <c r="QDN20" s="9"/>
      <c r="QDO20" s="9"/>
      <c r="QDP20" s="9"/>
      <c r="QDQ20" s="9"/>
      <c r="QDR20" s="10"/>
      <c r="QDS20" s="11"/>
      <c r="QDT20" s="12"/>
      <c r="QDU20" s="12"/>
      <c r="QDV20" s="12"/>
      <c r="QDW20" s="13"/>
      <c r="QDX20" s="9"/>
      <c r="QDY20" s="9"/>
      <c r="QDZ20" s="9"/>
      <c r="QEA20" s="9"/>
      <c r="QEB20" s="10"/>
      <c r="QEC20" s="11"/>
      <c r="QED20" s="12"/>
      <c r="QEE20" s="12"/>
      <c r="QEF20" s="12"/>
      <c r="QEG20" s="13"/>
      <c r="QEH20" s="9"/>
      <c r="QEI20" s="9"/>
      <c r="QEJ20" s="9"/>
      <c r="QEK20" s="9"/>
      <c r="QEL20" s="10"/>
      <c r="QEM20" s="11"/>
      <c r="QEN20" s="12"/>
      <c r="QEO20" s="12"/>
      <c r="QEP20" s="12"/>
      <c r="QEQ20" s="13"/>
      <c r="QER20" s="9"/>
      <c r="QES20" s="9"/>
      <c r="QET20" s="9"/>
      <c r="QEU20" s="9"/>
      <c r="QEV20" s="10"/>
      <c r="QEW20" s="11"/>
      <c r="QEX20" s="12"/>
      <c r="QEY20" s="12"/>
      <c r="QEZ20" s="12"/>
      <c r="QFA20" s="13"/>
      <c r="QFB20" s="9"/>
      <c r="QFC20" s="9"/>
      <c r="QFD20" s="9"/>
      <c r="QFE20" s="9"/>
      <c r="QFF20" s="10"/>
      <c r="QFG20" s="11"/>
      <c r="QFH20" s="12"/>
      <c r="QFI20" s="12"/>
      <c r="QFJ20" s="12"/>
      <c r="QFK20" s="13"/>
      <c r="QFL20" s="9"/>
      <c r="QFM20" s="9"/>
      <c r="QFN20" s="9"/>
      <c r="QFO20" s="9"/>
      <c r="QFP20" s="10"/>
      <c r="QFQ20" s="11"/>
      <c r="QFR20" s="12"/>
      <c r="QFS20" s="12"/>
      <c r="QFT20" s="12"/>
      <c r="QFU20" s="13"/>
      <c r="QFV20" s="9"/>
      <c r="QFW20" s="9"/>
      <c r="QFX20" s="9"/>
      <c r="QFY20" s="9"/>
      <c r="QFZ20" s="10"/>
      <c r="QGA20" s="11"/>
      <c r="QGB20" s="12"/>
      <c r="QGC20" s="12"/>
      <c r="QGD20" s="12"/>
      <c r="QGE20" s="13"/>
      <c r="QGF20" s="9"/>
      <c r="QGG20" s="9"/>
      <c r="QGH20" s="9"/>
      <c r="QGI20" s="9"/>
      <c r="QGJ20" s="10"/>
      <c r="QGK20" s="11"/>
      <c r="QGL20" s="12"/>
      <c r="QGM20" s="12"/>
      <c r="QGN20" s="12"/>
      <c r="QGO20" s="13"/>
      <c r="QGP20" s="9"/>
      <c r="QGQ20" s="9"/>
      <c r="QGR20" s="9"/>
      <c r="QGS20" s="9"/>
      <c r="QGT20" s="10"/>
      <c r="QGU20" s="11"/>
      <c r="QGV20" s="12"/>
      <c r="QGW20" s="12"/>
      <c r="QGX20" s="12"/>
      <c r="QGY20" s="13"/>
      <c r="QGZ20" s="9"/>
      <c r="QHA20" s="9"/>
      <c r="QHB20" s="9"/>
      <c r="QHC20" s="9"/>
      <c r="QHD20" s="10"/>
      <c r="QHE20" s="11"/>
      <c r="QHF20" s="12"/>
      <c r="QHG20" s="12"/>
      <c r="QHH20" s="12"/>
      <c r="QHI20" s="13"/>
      <c r="QHJ20" s="9"/>
      <c r="QHK20" s="9"/>
      <c r="QHL20" s="9"/>
      <c r="QHM20" s="9"/>
      <c r="QHN20" s="10"/>
      <c r="QHO20" s="11"/>
      <c r="QHP20" s="12"/>
      <c r="QHQ20" s="12"/>
      <c r="QHR20" s="12"/>
      <c r="QHS20" s="13"/>
      <c r="QHT20" s="9"/>
      <c r="QHU20" s="9"/>
      <c r="QHV20" s="9"/>
      <c r="QHW20" s="9"/>
      <c r="QHX20" s="10"/>
      <c r="QHY20" s="11"/>
      <c r="QHZ20" s="12"/>
      <c r="QIA20" s="12"/>
      <c r="QIB20" s="12"/>
      <c r="QIC20" s="13"/>
      <c r="QID20" s="9"/>
      <c r="QIE20" s="9"/>
      <c r="QIF20" s="9"/>
      <c r="QIG20" s="9"/>
      <c r="QIH20" s="10"/>
      <c r="QII20" s="11"/>
      <c r="QIJ20" s="12"/>
      <c r="QIK20" s="12"/>
      <c r="QIL20" s="12"/>
      <c r="QIM20" s="13"/>
      <c r="QIN20" s="9"/>
      <c r="QIO20" s="9"/>
      <c r="QIP20" s="9"/>
      <c r="QIQ20" s="9"/>
      <c r="QIR20" s="10"/>
      <c r="QIS20" s="11"/>
      <c r="QIT20" s="12"/>
      <c r="QIU20" s="12"/>
      <c r="QIV20" s="12"/>
      <c r="QIW20" s="13"/>
      <c r="QIX20" s="9"/>
      <c r="QIY20" s="9"/>
      <c r="QIZ20" s="9"/>
      <c r="QJA20" s="9"/>
      <c r="QJB20" s="10"/>
      <c r="QJC20" s="11"/>
      <c r="QJD20" s="12"/>
      <c r="QJE20" s="12"/>
      <c r="QJF20" s="12"/>
      <c r="QJG20" s="13"/>
      <c r="QJH20" s="9"/>
      <c r="QJI20" s="9"/>
      <c r="QJJ20" s="9"/>
      <c r="QJK20" s="9"/>
      <c r="QJL20" s="10"/>
      <c r="QJM20" s="11"/>
      <c r="QJN20" s="12"/>
      <c r="QJO20" s="12"/>
      <c r="QJP20" s="12"/>
      <c r="QJQ20" s="13"/>
      <c r="QJR20" s="9"/>
      <c r="QJS20" s="9"/>
      <c r="QJT20" s="9"/>
      <c r="QJU20" s="9"/>
      <c r="QJV20" s="10"/>
      <c r="QJW20" s="11"/>
      <c r="QJX20" s="12"/>
      <c r="QJY20" s="12"/>
      <c r="QJZ20" s="12"/>
      <c r="QKA20" s="13"/>
      <c r="QKB20" s="9"/>
      <c r="QKC20" s="9"/>
      <c r="QKD20" s="9"/>
      <c r="QKE20" s="9"/>
      <c r="QKF20" s="10"/>
      <c r="QKG20" s="11"/>
      <c r="QKH20" s="12"/>
      <c r="QKI20" s="12"/>
      <c r="QKJ20" s="12"/>
      <c r="QKK20" s="13"/>
      <c r="QKL20" s="9"/>
      <c r="QKM20" s="9"/>
      <c r="QKN20" s="9"/>
      <c r="QKO20" s="9"/>
      <c r="QKP20" s="10"/>
      <c r="QKQ20" s="11"/>
      <c r="QKR20" s="12"/>
      <c r="QKS20" s="12"/>
      <c r="QKT20" s="12"/>
      <c r="QKU20" s="13"/>
      <c r="QKV20" s="9"/>
      <c r="QKW20" s="9"/>
      <c r="QKX20" s="9"/>
      <c r="QKY20" s="9"/>
      <c r="QKZ20" s="10"/>
      <c r="QLA20" s="11"/>
      <c r="QLB20" s="12"/>
      <c r="QLC20" s="12"/>
      <c r="QLD20" s="12"/>
      <c r="QLE20" s="13"/>
      <c r="QLF20" s="9"/>
      <c r="QLG20" s="9"/>
      <c r="QLH20" s="9"/>
      <c r="QLI20" s="9"/>
      <c r="QLJ20" s="10"/>
      <c r="QLK20" s="11"/>
      <c r="QLL20" s="12"/>
      <c r="QLM20" s="12"/>
      <c r="QLN20" s="12"/>
      <c r="QLO20" s="13"/>
      <c r="QLP20" s="9"/>
      <c r="QLQ20" s="9"/>
      <c r="QLR20" s="9"/>
      <c r="QLS20" s="9"/>
      <c r="QLT20" s="10"/>
      <c r="QLU20" s="11"/>
      <c r="QLV20" s="12"/>
      <c r="QLW20" s="12"/>
      <c r="QLX20" s="12"/>
      <c r="QLY20" s="13"/>
      <c r="QLZ20" s="9"/>
      <c r="QMA20" s="9"/>
      <c r="QMB20" s="9"/>
      <c r="QMC20" s="9"/>
      <c r="QMD20" s="10"/>
      <c r="QME20" s="11"/>
      <c r="QMF20" s="12"/>
      <c r="QMG20" s="12"/>
      <c r="QMH20" s="12"/>
      <c r="QMI20" s="13"/>
      <c r="QMJ20" s="9"/>
      <c r="QMK20" s="9"/>
      <c r="QML20" s="9"/>
      <c r="QMM20" s="9"/>
      <c r="QMN20" s="10"/>
      <c r="QMO20" s="11"/>
      <c r="QMP20" s="12"/>
      <c r="QMQ20" s="12"/>
      <c r="QMR20" s="12"/>
      <c r="QMS20" s="13"/>
      <c r="QMT20" s="9"/>
      <c r="QMU20" s="9"/>
      <c r="QMV20" s="9"/>
      <c r="QMW20" s="9"/>
      <c r="QMX20" s="10"/>
      <c r="QMY20" s="11"/>
      <c r="QMZ20" s="12"/>
      <c r="QNA20" s="12"/>
      <c r="QNB20" s="12"/>
      <c r="QNC20" s="13"/>
      <c r="QND20" s="9"/>
      <c r="QNE20" s="9"/>
      <c r="QNF20" s="9"/>
      <c r="QNG20" s="9"/>
      <c r="QNH20" s="10"/>
      <c r="QNI20" s="11"/>
      <c r="QNJ20" s="12"/>
      <c r="QNK20" s="12"/>
      <c r="QNL20" s="12"/>
      <c r="QNM20" s="13"/>
      <c r="QNN20" s="9"/>
      <c r="QNO20" s="9"/>
      <c r="QNP20" s="9"/>
      <c r="QNQ20" s="9"/>
      <c r="QNR20" s="10"/>
      <c r="QNS20" s="11"/>
      <c r="QNT20" s="12"/>
      <c r="QNU20" s="12"/>
      <c r="QNV20" s="12"/>
      <c r="QNW20" s="13"/>
      <c r="QNX20" s="9"/>
      <c r="QNY20" s="9"/>
      <c r="QNZ20" s="9"/>
      <c r="QOA20" s="9"/>
      <c r="QOB20" s="10"/>
      <c r="QOC20" s="11"/>
      <c r="QOD20" s="12"/>
      <c r="QOE20" s="12"/>
      <c r="QOF20" s="12"/>
      <c r="QOG20" s="13"/>
      <c r="QOH20" s="9"/>
      <c r="QOI20" s="9"/>
      <c r="QOJ20" s="9"/>
      <c r="QOK20" s="9"/>
      <c r="QOL20" s="10"/>
      <c r="QOM20" s="11"/>
      <c r="QON20" s="12"/>
      <c r="QOO20" s="12"/>
      <c r="QOP20" s="12"/>
      <c r="QOQ20" s="13"/>
      <c r="QOR20" s="9"/>
      <c r="QOS20" s="9"/>
      <c r="QOT20" s="9"/>
      <c r="QOU20" s="9"/>
      <c r="QOV20" s="10"/>
      <c r="QOW20" s="11"/>
      <c r="QOX20" s="12"/>
      <c r="QOY20" s="12"/>
      <c r="QOZ20" s="12"/>
      <c r="QPA20" s="13"/>
      <c r="QPB20" s="9"/>
      <c r="QPC20" s="9"/>
      <c r="QPD20" s="9"/>
      <c r="QPE20" s="9"/>
      <c r="QPF20" s="10"/>
      <c r="QPG20" s="11"/>
      <c r="QPH20" s="12"/>
      <c r="QPI20" s="12"/>
      <c r="QPJ20" s="12"/>
      <c r="QPK20" s="13"/>
      <c r="QPL20" s="9"/>
      <c r="QPM20" s="9"/>
      <c r="QPN20" s="9"/>
      <c r="QPO20" s="9"/>
      <c r="QPP20" s="10"/>
      <c r="QPQ20" s="11"/>
      <c r="QPR20" s="12"/>
      <c r="QPS20" s="12"/>
      <c r="QPT20" s="12"/>
      <c r="QPU20" s="13"/>
      <c r="QPV20" s="9"/>
      <c r="QPW20" s="9"/>
      <c r="QPX20" s="9"/>
      <c r="QPY20" s="9"/>
      <c r="QPZ20" s="10"/>
      <c r="QQA20" s="11"/>
      <c r="QQB20" s="12"/>
      <c r="QQC20" s="12"/>
      <c r="QQD20" s="12"/>
      <c r="QQE20" s="13"/>
      <c r="QQF20" s="9"/>
      <c r="QQG20" s="9"/>
      <c r="QQH20" s="9"/>
      <c r="QQI20" s="9"/>
      <c r="QQJ20" s="10"/>
      <c r="QQK20" s="11"/>
      <c r="QQL20" s="12"/>
      <c r="QQM20" s="12"/>
      <c r="QQN20" s="12"/>
      <c r="QQO20" s="13"/>
      <c r="QQP20" s="9"/>
      <c r="QQQ20" s="9"/>
      <c r="QQR20" s="9"/>
      <c r="QQS20" s="9"/>
      <c r="QQT20" s="10"/>
      <c r="QQU20" s="11"/>
      <c r="QQV20" s="12"/>
      <c r="QQW20" s="12"/>
      <c r="QQX20" s="12"/>
      <c r="QQY20" s="13"/>
      <c r="QQZ20" s="9"/>
      <c r="QRA20" s="9"/>
      <c r="QRB20" s="9"/>
      <c r="QRC20" s="9"/>
      <c r="QRD20" s="10"/>
      <c r="QRE20" s="11"/>
      <c r="QRF20" s="12"/>
      <c r="QRG20" s="12"/>
      <c r="QRH20" s="12"/>
      <c r="QRI20" s="13"/>
      <c r="QRJ20" s="9"/>
      <c r="QRK20" s="9"/>
      <c r="QRL20" s="9"/>
      <c r="QRM20" s="9"/>
      <c r="QRN20" s="10"/>
      <c r="QRO20" s="11"/>
      <c r="QRP20" s="12"/>
      <c r="QRQ20" s="12"/>
      <c r="QRR20" s="12"/>
      <c r="QRS20" s="13"/>
      <c r="QRT20" s="9"/>
      <c r="QRU20" s="9"/>
      <c r="QRV20" s="9"/>
      <c r="QRW20" s="9"/>
      <c r="QRX20" s="10"/>
      <c r="QRY20" s="11"/>
      <c r="QRZ20" s="12"/>
      <c r="QSA20" s="12"/>
      <c r="QSB20" s="12"/>
      <c r="QSC20" s="13"/>
      <c r="QSD20" s="9"/>
      <c r="QSE20" s="9"/>
      <c r="QSF20" s="9"/>
      <c r="QSG20" s="9"/>
      <c r="QSH20" s="10"/>
      <c r="QSI20" s="11"/>
      <c r="QSJ20" s="12"/>
      <c r="QSK20" s="12"/>
      <c r="QSL20" s="12"/>
      <c r="QSM20" s="13"/>
      <c r="QSN20" s="9"/>
      <c r="QSO20" s="9"/>
      <c r="QSP20" s="9"/>
      <c r="QSQ20" s="9"/>
      <c r="QSR20" s="10"/>
      <c r="QSS20" s="11"/>
      <c r="QST20" s="12"/>
      <c r="QSU20" s="12"/>
      <c r="QSV20" s="12"/>
      <c r="QSW20" s="13"/>
      <c r="QSX20" s="9"/>
      <c r="QSY20" s="9"/>
      <c r="QSZ20" s="9"/>
      <c r="QTA20" s="9"/>
      <c r="QTB20" s="10"/>
      <c r="QTC20" s="11"/>
      <c r="QTD20" s="12"/>
      <c r="QTE20" s="12"/>
      <c r="QTF20" s="12"/>
      <c r="QTG20" s="13"/>
      <c r="QTH20" s="9"/>
      <c r="QTI20" s="9"/>
      <c r="QTJ20" s="9"/>
      <c r="QTK20" s="9"/>
      <c r="QTL20" s="10"/>
      <c r="QTM20" s="11"/>
      <c r="QTN20" s="12"/>
      <c r="QTO20" s="12"/>
      <c r="QTP20" s="12"/>
      <c r="QTQ20" s="13"/>
      <c r="QTR20" s="9"/>
      <c r="QTS20" s="9"/>
      <c r="QTT20" s="9"/>
      <c r="QTU20" s="9"/>
      <c r="QTV20" s="10"/>
      <c r="QTW20" s="11"/>
      <c r="QTX20" s="12"/>
      <c r="QTY20" s="12"/>
      <c r="QTZ20" s="12"/>
      <c r="QUA20" s="13"/>
      <c r="QUB20" s="9"/>
      <c r="QUC20" s="9"/>
      <c r="QUD20" s="9"/>
      <c r="QUE20" s="9"/>
      <c r="QUF20" s="10"/>
      <c r="QUG20" s="11"/>
      <c r="QUH20" s="12"/>
      <c r="QUI20" s="12"/>
      <c r="QUJ20" s="12"/>
      <c r="QUK20" s="13"/>
      <c r="QUL20" s="9"/>
      <c r="QUM20" s="9"/>
      <c r="QUN20" s="9"/>
      <c r="QUO20" s="9"/>
      <c r="QUP20" s="10"/>
      <c r="QUQ20" s="11"/>
      <c r="QUR20" s="12"/>
      <c r="QUS20" s="12"/>
      <c r="QUT20" s="12"/>
      <c r="QUU20" s="13"/>
      <c r="QUV20" s="9"/>
      <c r="QUW20" s="9"/>
      <c r="QUX20" s="9"/>
      <c r="QUY20" s="9"/>
      <c r="QUZ20" s="10"/>
      <c r="QVA20" s="11"/>
      <c r="QVB20" s="12"/>
      <c r="QVC20" s="12"/>
      <c r="QVD20" s="12"/>
      <c r="QVE20" s="13"/>
      <c r="QVF20" s="9"/>
      <c r="QVG20" s="9"/>
      <c r="QVH20" s="9"/>
      <c r="QVI20" s="9"/>
      <c r="QVJ20" s="10"/>
      <c r="QVK20" s="11"/>
      <c r="QVL20" s="12"/>
      <c r="QVM20" s="12"/>
      <c r="QVN20" s="12"/>
      <c r="QVO20" s="13"/>
      <c r="QVP20" s="9"/>
      <c r="QVQ20" s="9"/>
      <c r="QVR20" s="9"/>
      <c r="QVS20" s="9"/>
      <c r="QVT20" s="10"/>
      <c r="QVU20" s="11"/>
      <c r="QVV20" s="12"/>
      <c r="QVW20" s="12"/>
      <c r="QVX20" s="12"/>
      <c r="QVY20" s="13"/>
      <c r="QVZ20" s="9"/>
      <c r="QWA20" s="9"/>
      <c r="QWB20" s="9"/>
      <c r="QWC20" s="9"/>
      <c r="QWD20" s="10"/>
      <c r="QWE20" s="11"/>
      <c r="QWF20" s="12"/>
      <c r="QWG20" s="12"/>
      <c r="QWH20" s="12"/>
      <c r="QWI20" s="13"/>
      <c r="QWJ20" s="9"/>
      <c r="QWK20" s="9"/>
      <c r="QWL20" s="9"/>
      <c r="QWM20" s="9"/>
      <c r="QWN20" s="10"/>
      <c r="QWO20" s="11"/>
      <c r="QWP20" s="12"/>
      <c r="QWQ20" s="12"/>
      <c r="QWR20" s="12"/>
      <c r="QWS20" s="13"/>
      <c r="QWT20" s="9"/>
      <c r="QWU20" s="9"/>
      <c r="QWV20" s="9"/>
      <c r="QWW20" s="9"/>
      <c r="QWX20" s="10"/>
      <c r="QWY20" s="11"/>
      <c r="QWZ20" s="12"/>
      <c r="QXA20" s="12"/>
      <c r="QXB20" s="12"/>
      <c r="QXC20" s="13"/>
      <c r="QXD20" s="9"/>
      <c r="QXE20" s="9"/>
      <c r="QXF20" s="9"/>
      <c r="QXG20" s="9"/>
      <c r="QXH20" s="10"/>
      <c r="QXI20" s="11"/>
      <c r="QXJ20" s="12"/>
      <c r="QXK20" s="12"/>
      <c r="QXL20" s="12"/>
      <c r="QXM20" s="13"/>
      <c r="QXN20" s="9"/>
      <c r="QXO20" s="9"/>
      <c r="QXP20" s="9"/>
      <c r="QXQ20" s="9"/>
      <c r="QXR20" s="10"/>
      <c r="QXS20" s="11"/>
      <c r="QXT20" s="12"/>
      <c r="QXU20" s="12"/>
      <c r="QXV20" s="12"/>
      <c r="QXW20" s="13"/>
      <c r="QXX20" s="9"/>
      <c r="QXY20" s="9"/>
      <c r="QXZ20" s="9"/>
      <c r="QYA20" s="9"/>
      <c r="QYB20" s="10"/>
      <c r="QYC20" s="11"/>
      <c r="QYD20" s="12"/>
      <c r="QYE20" s="12"/>
      <c r="QYF20" s="12"/>
      <c r="QYG20" s="13"/>
      <c r="QYH20" s="9"/>
      <c r="QYI20" s="9"/>
      <c r="QYJ20" s="9"/>
      <c r="QYK20" s="9"/>
      <c r="QYL20" s="10"/>
      <c r="QYM20" s="11"/>
      <c r="QYN20" s="12"/>
      <c r="QYO20" s="12"/>
      <c r="QYP20" s="12"/>
      <c r="QYQ20" s="13"/>
      <c r="QYR20" s="9"/>
      <c r="QYS20" s="9"/>
      <c r="QYT20" s="9"/>
      <c r="QYU20" s="9"/>
      <c r="QYV20" s="10"/>
      <c r="QYW20" s="11"/>
      <c r="QYX20" s="12"/>
      <c r="QYY20" s="12"/>
      <c r="QYZ20" s="12"/>
      <c r="QZA20" s="13"/>
      <c r="QZB20" s="9"/>
      <c r="QZC20" s="9"/>
      <c r="QZD20" s="9"/>
      <c r="QZE20" s="9"/>
      <c r="QZF20" s="10"/>
      <c r="QZG20" s="11"/>
      <c r="QZH20" s="12"/>
      <c r="QZI20" s="12"/>
      <c r="QZJ20" s="12"/>
      <c r="QZK20" s="13"/>
      <c r="QZL20" s="9"/>
      <c r="QZM20" s="9"/>
      <c r="QZN20" s="9"/>
      <c r="QZO20" s="9"/>
      <c r="QZP20" s="10"/>
      <c r="QZQ20" s="11"/>
      <c r="QZR20" s="12"/>
      <c r="QZS20" s="12"/>
      <c r="QZT20" s="12"/>
      <c r="QZU20" s="13"/>
      <c r="QZV20" s="9"/>
      <c r="QZW20" s="9"/>
      <c r="QZX20" s="9"/>
      <c r="QZY20" s="9"/>
      <c r="QZZ20" s="10"/>
      <c r="RAA20" s="11"/>
      <c r="RAB20" s="12"/>
      <c r="RAC20" s="12"/>
      <c r="RAD20" s="12"/>
      <c r="RAE20" s="13"/>
      <c r="RAF20" s="9"/>
      <c r="RAG20" s="9"/>
      <c r="RAH20" s="9"/>
      <c r="RAI20" s="9"/>
      <c r="RAJ20" s="10"/>
      <c r="RAK20" s="11"/>
      <c r="RAL20" s="12"/>
      <c r="RAM20" s="12"/>
      <c r="RAN20" s="12"/>
      <c r="RAO20" s="13"/>
      <c r="RAP20" s="9"/>
      <c r="RAQ20" s="9"/>
      <c r="RAR20" s="9"/>
      <c r="RAS20" s="9"/>
      <c r="RAT20" s="10"/>
      <c r="RAU20" s="11"/>
      <c r="RAV20" s="12"/>
      <c r="RAW20" s="12"/>
      <c r="RAX20" s="12"/>
      <c r="RAY20" s="13"/>
      <c r="RAZ20" s="9"/>
      <c r="RBA20" s="9"/>
      <c r="RBB20" s="9"/>
      <c r="RBC20" s="9"/>
      <c r="RBD20" s="10"/>
      <c r="RBE20" s="11"/>
      <c r="RBF20" s="12"/>
      <c r="RBG20" s="12"/>
      <c r="RBH20" s="12"/>
      <c r="RBI20" s="13"/>
      <c r="RBJ20" s="9"/>
      <c r="RBK20" s="9"/>
      <c r="RBL20" s="9"/>
      <c r="RBM20" s="9"/>
      <c r="RBN20" s="10"/>
      <c r="RBO20" s="11"/>
      <c r="RBP20" s="12"/>
      <c r="RBQ20" s="12"/>
      <c r="RBR20" s="12"/>
      <c r="RBS20" s="13"/>
      <c r="RBT20" s="9"/>
      <c r="RBU20" s="9"/>
      <c r="RBV20" s="9"/>
      <c r="RBW20" s="9"/>
      <c r="RBX20" s="10"/>
      <c r="RBY20" s="11"/>
      <c r="RBZ20" s="12"/>
      <c r="RCA20" s="12"/>
      <c r="RCB20" s="12"/>
      <c r="RCC20" s="13"/>
      <c r="RCD20" s="9"/>
      <c r="RCE20" s="9"/>
      <c r="RCF20" s="9"/>
      <c r="RCG20" s="9"/>
      <c r="RCH20" s="10"/>
      <c r="RCI20" s="11"/>
      <c r="RCJ20" s="12"/>
      <c r="RCK20" s="12"/>
      <c r="RCL20" s="12"/>
      <c r="RCM20" s="13"/>
      <c r="RCN20" s="9"/>
      <c r="RCO20" s="9"/>
      <c r="RCP20" s="9"/>
      <c r="RCQ20" s="9"/>
      <c r="RCR20" s="10"/>
      <c r="RCS20" s="11"/>
      <c r="RCT20" s="12"/>
      <c r="RCU20" s="12"/>
      <c r="RCV20" s="12"/>
      <c r="RCW20" s="13"/>
      <c r="RCX20" s="9"/>
      <c r="RCY20" s="9"/>
      <c r="RCZ20" s="9"/>
      <c r="RDA20" s="9"/>
      <c r="RDB20" s="10"/>
      <c r="RDC20" s="11"/>
      <c r="RDD20" s="12"/>
      <c r="RDE20" s="12"/>
      <c r="RDF20" s="12"/>
      <c r="RDG20" s="13"/>
      <c r="RDH20" s="9"/>
      <c r="RDI20" s="9"/>
      <c r="RDJ20" s="9"/>
      <c r="RDK20" s="9"/>
      <c r="RDL20" s="10"/>
      <c r="RDM20" s="11"/>
      <c r="RDN20" s="12"/>
      <c r="RDO20" s="12"/>
      <c r="RDP20" s="12"/>
      <c r="RDQ20" s="13"/>
      <c r="RDR20" s="9"/>
      <c r="RDS20" s="9"/>
      <c r="RDT20" s="9"/>
      <c r="RDU20" s="9"/>
      <c r="RDV20" s="10"/>
      <c r="RDW20" s="11"/>
      <c r="RDX20" s="12"/>
      <c r="RDY20" s="12"/>
      <c r="RDZ20" s="12"/>
      <c r="REA20" s="13"/>
      <c r="REB20" s="9"/>
      <c r="REC20" s="9"/>
      <c r="RED20" s="9"/>
      <c r="REE20" s="9"/>
      <c r="REF20" s="10"/>
      <c r="REG20" s="11"/>
      <c r="REH20" s="12"/>
      <c r="REI20" s="12"/>
      <c r="REJ20" s="12"/>
      <c r="REK20" s="13"/>
      <c r="REL20" s="9"/>
      <c r="REM20" s="9"/>
      <c r="REN20" s="9"/>
      <c r="REO20" s="9"/>
      <c r="REP20" s="10"/>
      <c r="REQ20" s="11"/>
      <c r="RER20" s="12"/>
      <c r="RES20" s="12"/>
      <c r="RET20" s="12"/>
      <c r="REU20" s="13"/>
      <c r="REV20" s="9"/>
      <c r="REW20" s="9"/>
      <c r="REX20" s="9"/>
      <c r="REY20" s="9"/>
      <c r="REZ20" s="10"/>
      <c r="RFA20" s="11"/>
      <c r="RFB20" s="12"/>
      <c r="RFC20" s="12"/>
      <c r="RFD20" s="12"/>
      <c r="RFE20" s="13"/>
      <c r="RFF20" s="9"/>
      <c r="RFG20" s="9"/>
      <c r="RFH20" s="9"/>
      <c r="RFI20" s="9"/>
      <c r="RFJ20" s="10"/>
      <c r="RFK20" s="11"/>
      <c r="RFL20" s="12"/>
      <c r="RFM20" s="12"/>
      <c r="RFN20" s="12"/>
      <c r="RFO20" s="13"/>
      <c r="RFP20" s="9"/>
      <c r="RFQ20" s="9"/>
      <c r="RFR20" s="9"/>
      <c r="RFS20" s="9"/>
      <c r="RFT20" s="10"/>
      <c r="RFU20" s="11"/>
      <c r="RFV20" s="12"/>
      <c r="RFW20" s="12"/>
      <c r="RFX20" s="12"/>
      <c r="RFY20" s="13"/>
      <c r="RFZ20" s="9"/>
      <c r="RGA20" s="9"/>
      <c r="RGB20" s="9"/>
      <c r="RGC20" s="9"/>
      <c r="RGD20" s="10"/>
      <c r="RGE20" s="11"/>
      <c r="RGF20" s="12"/>
      <c r="RGG20" s="12"/>
      <c r="RGH20" s="12"/>
      <c r="RGI20" s="13"/>
      <c r="RGJ20" s="9"/>
      <c r="RGK20" s="9"/>
      <c r="RGL20" s="9"/>
      <c r="RGM20" s="9"/>
      <c r="RGN20" s="10"/>
      <c r="RGO20" s="11"/>
      <c r="RGP20" s="12"/>
      <c r="RGQ20" s="12"/>
      <c r="RGR20" s="12"/>
      <c r="RGS20" s="13"/>
      <c r="RGT20" s="9"/>
      <c r="RGU20" s="9"/>
      <c r="RGV20" s="9"/>
      <c r="RGW20" s="9"/>
      <c r="RGX20" s="10"/>
      <c r="RGY20" s="11"/>
      <c r="RGZ20" s="12"/>
      <c r="RHA20" s="12"/>
      <c r="RHB20" s="12"/>
      <c r="RHC20" s="13"/>
      <c r="RHD20" s="9"/>
      <c r="RHE20" s="9"/>
      <c r="RHF20" s="9"/>
      <c r="RHG20" s="9"/>
      <c r="RHH20" s="10"/>
      <c r="RHI20" s="11"/>
      <c r="RHJ20" s="12"/>
      <c r="RHK20" s="12"/>
      <c r="RHL20" s="12"/>
      <c r="RHM20" s="13"/>
      <c r="RHN20" s="9"/>
      <c r="RHO20" s="9"/>
      <c r="RHP20" s="9"/>
      <c r="RHQ20" s="9"/>
      <c r="RHR20" s="10"/>
      <c r="RHS20" s="11"/>
      <c r="RHT20" s="12"/>
      <c r="RHU20" s="12"/>
      <c r="RHV20" s="12"/>
      <c r="RHW20" s="13"/>
      <c r="RHX20" s="9"/>
      <c r="RHY20" s="9"/>
      <c r="RHZ20" s="9"/>
      <c r="RIA20" s="9"/>
      <c r="RIB20" s="10"/>
      <c r="RIC20" s="11"/>
      <c r="RID20" s="12"/>
      <c r="RIE20" s="12"/>
      <c r="RIF20" s="12"/>
      <c r="RIG20" s="13"/>
      <c r="RIH20" s="9"/>
      <c r="RII20" s="9"/>
      <c r="RIJ20" s="9"/>
      <c r="RIK20" s="9"/>
      <c r="RIL20" s="10"/>
      <c r="RIM20" s="11"/>
      <c r="RIN20" s="12"/>
      <c r="RIO20" s="12"/>
      <c r="RIP20" s="12"/>
      <c r="RIQ20" s="13"/>
      <c r="RIR20" s="9"/>
      <c r="RIS20" s="9"/>
      <c r="RIT20" s="9"/>
      <c r="RIU20" s="9"/>
      <c r="RIV20" s="10"/>
      <c r="RIW20" s="11"/>
      <c r="RIX20" s="12"/>
      <c r="RIY20" s="12"/>
      <c r="RIZ20" s="12"/>
      <c r="RJA20" s="13"/>
      <c r="RJB20" s="9"/>
      <c r="RJC20" s="9"/>
      <c r="RJD20" s="9"/>
      <c r="RJE20" s="9"/>
      <c r="RJF20" s="10"/>
      <c r="RJG20" s="11"/>
      <c r="RJH20" s="12"/>
      <c r="RJI20" s="12"/>
      <c r="RJJ20" s="12"/>
      <c r="RJK20" s="13"/>
      <c r="RJL20" s="9"/>
      <c r="RJM20" s="9"/>
      <c r="RJN20" s="9"/>
      <c r="RJO20" s="9"/>
      <c r="RJP20" s="10"/>
      <c r="RJQ20" s="11"/>
      <c r="RJR20" s="12"/>
      <c r="RJS20" s="12"/>
      <c r="RJT20" s="12"/>
      <c r="RJU20" s="13"/>
      <c r="RJV20" s="9"/>
      <c r="RJW20" s="9"/>
      <c r="RJX20" s="9"/>
      <c r="RJY20" s="9"/>
      <c r="RJZ20" s="10"/>
      <c r="RKA20" s="11"/>
      <c r="RKB20" s="12"/>
      <c r="RKC20" s="12"/>
      <c r="RKD20" s="12"/>
      <c r="RKE20" s="13"/>
      <c r="RKF20" s="9"/>
      <c r="RKG20" s="9"/>
      <c r="RKH20" s="9"/>
      <c r="RKI20" s="9"/>
      <c r="RKJ20" s="10"/>
      <c r="RKK20" s="11"/>
      <c r="RKL20" s="12"/>
      <c r="RKM20" s="12"/>
      <c r="RKN20" s="12"/>
      <c r="RKO20" s="13"/>
      <c r="RKP20" s="9"/>
      <c r="RKQ20" s="9"/>
      <c r="RKR20" s="9"/>
      <c r="RKS20" s="9"/>
      <c r="RKT20" s="10"/>
      <c r="RKU20" s="11"/>
      <c r="RKV20" s="12"/>
      <c r="RKW20" s="12"/>
      <c r="RKX20" s="12"/>
      <c r="RKY20" s="13"/>
      <c r="RKZ20" s="9"/>
      <c r="RLA20" s="9"/>
      <c r="RLB20" s="9"/>
      <c r="RLC20" s="9"/>
      <c r="RLD20" s="10"/>
      <c r="RLE20" s="11"/>
      <c r="RLF20" s="12"/>
      <c r="RLG20" s="12"/>
      <c r="RLH20" s="12"/>
      <c r="RLI20" s="13"/>
      <c r="RLJ20" s="9"/>
      <c r="RLK20" s="9"/>
      <c r="RLL20" s="9"/>
      <c r="RLM20" s="9"/>
      <c r="RLN20" s="10"/>
      <c r="RLO20" s="11"/>
      <c r="RLP20" s="12"/>
      <c r="RLQ20" s="12"/>
      <c r="RLR20" s="12"/>
      <c r="RLS20" s="13"/>
      <c r="RLT20" s="9"/>
      <c r="RLU20" s="9"/>
      <c r="RLV20" s="9"/>
      <c r="RLW20" s="9"/>
      <c r="RLX20" s="10"/>
      <c r="RLY20" s="11"/>
      <c r="RLZ20" s="12"/>
      <c r="RMA20" s="12"/>
      <c r="RMB20" s="12"/>
      <c r="RMC20" s="13"/>
      <c r="RMD20" s="9"/>
      <c r="RME20" s="9"/>
      <c r="RMF20" s="9"/>
      <c r="RMG20" s="9"/>
      <c r="RMH20" s="10"/>
      <c r="RMI20" s="11"/>
      <c r="RMJ20" s="12"/>
      <c r="RMK20" s="12"/>
      <c r="RML20" s="12"/>
      <c r="RMM20" s="13"/>
      <c r="RMN20" s="9"/>
      <c r="RMO20" s="9"/>
      <c r="RMP20" s="9"/>
      <c r="RMQ20" s="9"/>
      <c r="RMR20" s="10"/>
      <c r="RMS20" s="11"/>
      <c r="RMT20" s="12"/>
      <c r="RMU20" s="12"/>
      <c r="RMV20" s="12"/>
      <c r="RMW20" s="13"/>
      <c r="RMX20" s="9"/>
      <c r="RMY20" s="9"/>
      <c r="RMZ20" s="9"/>
      <c r="RNA20" s="9"/>
      <c r="RNB20" s="10"/>
      <c r="RNC20" s="11"/>
      <c r="RND20" s="12"/>
      <c r="RNE20" s="12"/>
      <c r="RNF20" s="12"/>
      <c r="RNG20" s="13"/>
      <c r="RNH20" s="9"/>
      <c r="RNI20" s="9"/>
      <c r="RNJ20" s="9"/>
      <c r="RNK20" s="9"/>
      <c r="RNL20" s="10"/>
      <c r="RNM20" s="11"/>
      <c r="RNN20" s="12"/>
      <c r="RNO20" s="12"/>
      <c r="RNP20" s="12"/>
      <c r="RNQ20" s="13"/>
      <c r="RNR20" s="9"/>
      <c r="RNS20" s="9"/>
      <c r="RNT20" s="9"/>
      <c r="RNU20" s="9"/>
      <c r="RNV20" s="10"/>
      <c r="RNW20" s="11"/>
      <c r="RNX20" s="12"/>
      <c r="RNY20" s="12"/>
      <c r="RNZ20" s="12"/>
      <c r="ROA20" s="13"/>
      <c r="ROB20" s="9"/>
      <c r="ROC20" s="9"/>
      <c r="ROD20" s="9"/>
      <c r="ROE20" s="9"/>
      <c r="ROF20" s="10"/>
      <c r="ROG20" s="11"/>
      <c r="ROH20" s="12"/>
      <c r="ROI20" s="12"/>
      <c r="ROJ20" s="12"/>
      <c r="ROK20" s="13"/>
      <c r="ROL20" s="9"/>
      <c r="ROM20" s="9"/>
      <c r="RON20" s="9"/>
      <c r="ROO20" s="9"/>
      <c r="ROP20" s="10"/>
      <c r="ROQ20" s="11"/>
      <c r="ROR20" s="12"/>
      <c r="ROS20" s="12"/>
      <c r="ROT20" s="12"/>
      <c r="ROU20" s="13"/>
      <c r="ROV20" s="9"/>
      <c r="ROW20" s="9"/>
      <c r="ROX20" s="9"/>
      <c r="ROY20" s="9"/>
      <c r="ROZ20" s="10"/>
      <c r="RPA20" s="11"/>
      <c r="RPB20" s="12"/>
      <c r="RPC20" s="12"/>
      <c r="RPD20" s="12"/>
      <c r="RPE20" s="13"/>
      <c r="RPF20" s="9"/>
      <c r="RPG20" s="9"/>
      <c r="RPH20" s="9"/>
      <c r="RPI20" s="9"/>
      <c r="RPJ20" s="10"/>
      <c r="RPK20" s="11"/>
      <c r="RPL20" s="12"/>
      <c r="RPM20" s="12"/>
      <c r="RPN20" s="12"/>
      <c r="RPO20" s="13"/>
      <c r="RPP20" s="9"/>
      <c r="RPQ20" s="9"/>
      <c r="RPR20" s="9"/>
      <c r="RPS20" s="9"/>
      <c r="RPT20" s="10"/>
      <c r="RPU20" s="11"/>
      <c r="RPV20" s="12"/>
      <c r="RPW20" s="12"/>
      <c r="RPX20" s="12"/>
      <c r="RPY20" s="13"/>
      <c r="RPZ20" s="9"/>
      <c r="RQA20" s="9"/>
      <c r="RQB20" s="9"/>
      <c r="RQC20" s="9"/>
      <c r="RQD20" s="10"/>
      <c r="RQE20" s="11"/>
      <c r="RQF20" s="12"/>
      <c r="RQG20" s="12"/>
      <c r="RQH20" s="12"/>
      <c r="RQI20" s="13"/>
      <c r="RQJ20" s="9"/>
      <c r="RQK20" s="9"/>
      <c r="RQL20" s="9"/>
      <c r="RQM20" s="9"/>
      <c r="RQN20" s="10"/>
      <c r="RQO20" s="11"/>
      <c r="RQP20" s="12"/>
      <c r="RQQ20" s="12"/>
      <c r="RQR20" s="12"/>
      <c r="RQS20" s="13"/>
      <c r="RQT20" s="9"/>
      <c r="RQU20" s="9"/>
      <c r="RQV20" s="9"/>
      <c r="RQW20" s="9"/>
      <c r="RQX20" s="10"/>
      <c r="RQY20" s="11"/>
      <c r="RQZ20" s="12"/>
      <c r="RRA20" s="12"/>
      <c r="RRB20" s="12"/>
      <c r="RRC20" s="13"/>
      <c r="RRD20" s="9"/>
      <c r="RRE20" s="9"/>
      <c r="RRF20" s="9"/>
      <c r="RRG20" s="9"/>
      <c r="RRH20" s="10"/>
      <c r="RRI20" s="11"/>
      <c r="RRJ20" s="12"/>
      <c r="RRK20" s="12"/>
      <c r="RRL20" s="12"/>
      <c r="RRM20" s="13"/>
      <c r="RRN20" s="9"/>
      <c r="RRO20" s="9"/>
      <c r="RRP20" s="9"/>
      <c r="RRQ20" s="9"/>
      <c r="RRR20" s="10"/>
      <c r="RRS20" s="11"/>
      <c r="RRT20" s="12"/>
      <c r="RRU20" s="12"/>
      <c r="RRV20" s="12"/>
      <c r="RRW20" s="13"/>
      <c r="RRX20" s="9"/>
      <c r="RRY20" s="9"/>
      <c r="RRZ20" s="9"/>
      <c r="RSA20" s="9"/>
      <c r="RSB20" s="10"/>
      <c r="RSC20" s="11"/>
      <c r="RSD20" s="12"/>
      <c r="RSE20" s="12"/>
      <c r="RSF20" s="12"/>
      <c r="RSG20" s="13"/>
      <c r="RSH20" s="9"/>
      <c r="RSI20" s="9"/>
      <c r="RSJ20" s="9"/>
      <c r="RSK20" s="9"/>
      <c r="RSL20" s="10"/>
      <c r="RSM20" s="11"/>
      <c r="RSN20" s="12"/>
      <c r="RSO20" s="12"/>
      <c r="RSP20" s="12"/>
      <c r="RSQ20" s="13"/>
      <c r="RSR20" s="9"/>
      <c r="RSS20" s="9"/>
      <c r="RST20" s="9"/>
      <c r="RSU20" s="9"/>
      <c r="RSV20" s="10"/>
      <c r="RSW20" s="11"/>
      <c r="RSX20" s="12"/>
      <c r="RSY20" s="12"/>
      <c r="RSZ20" s="12"/>
      <c r="RTA20" s="13"/>
      <c r="RTB20" s="9"/>
      <c r="RTC20" s="9"/>
      <c r="RTD20" s="9"/>
      <c r="RTE20" s="9"/>
      <c r="RTF20" s="10"/>
      <c r="RTG20" s="11"/>
      <c r="RTH20" s="12"/>
      <c r="RTI20" s="12"/>
      <c r="RTJ20" s="12"/>
      <c r="RTK20" s="13"/>
      <c r="RTL20" s="9"/>
      <c r="RTM20" s="9"/>
      <c r="RTN20" s="9"/>
      <c r="RTO20" s="9"/>
      <c r="RTP20" s="10"/>
      <c r="RTQ20" s="11"/>
      <c r="RTR20" s="12"/>
      <c r="RTS20" s="12"/>
      <c r="RTT20" s="12"/>
      <c r="RTU20" s="13"/>
      <c r="RTV20" s="9"/>
      <c r="RTW20" s="9"/>
      <c r="RTX20" s="9"/>
      <c r="RTY20" s="9"/>
      <c r="RTZ20" s="10"/>
      <c r="RUA20" s="11"/>
      <c r="RUB20" s="12"/>
      <c r="RUC20" s="12"/>
      <c r="RUD20" s="12"/>
      <c r="RUE20" s="13"/>
      <c r="RUF20" s="9"/>
      <c r="RUG20" s="9"/>
      <c r="RUH20" s="9"/>
      <c r="RUI20" s="9"/>
      <c r="RUJ20" s="10"/>
      <c r="RUK20" s="11"/>
      <c r="RUL20" s="12"/>
      <c r="RUM20" s="12"/>
      <c r="RUN20" s="12"/>
      <c r="RUO20" s="13"/>
      <c r="RUP20" s="9"/>
      <c r="RUQ20" s="9"/>
      <c r="RUR20" s="9"/>
      <c r="RUS20" s="9"/>
      <c r="RUT20" s="10"/>
      <c r="RUU20" s="11"/>
      <c r="RUV20" s="12"/>
      <c r="RUW20" s="12"/>
      <c r="RUX20" s="12"/>
      <c r="RUY20" s="13"/>
      <c r="RUZ20" s="9"/>
      <c r="RVA20" s="9"/>
      <c r="RVB20" s="9"/>
      <c r="RVC20" s="9"/>
      <c r="RVD20" s="10"/>
      <c r="RVE20" s="11"/>
      <c r="RVF20" s="12"/>
      <c r="RVG20" s="12"/>
      <c r="RVH20" s="12"/>
      <c r="RVI20" s="13"/>
      <c r="RVJ20" s="9"/>
      <c r="RVK20" s="9"/>
      <c r="RVL20" s="9"/>
      <c r="RVM20" s="9"/>
      <c r="RVN20" s="10"/>
      <c r="RVO20" s="11"/>
      <c r="RVP20" s="12"/>
      <c r="RVQ20" s="12"/>
      <c r="RVR20" s="12"/>
      <c r="RVS20" s="13"/>
      <c r="RVT20" s="9"/>
      <c r="RVU20" s="9"/>
      <c r="RVV20" s="9"/>
      <c r="RVW20" s="9"/>
      <c r="RVX20" s="10"/>
      <c r="RVY20" s="11"/>
      <c r="RVZ20" s="12"/>
      <c r="RWA20" s="12"/>
      <c r="RWB20" s="12"/>
      <c r="RWC20" s="13"/>
      <c r="RWD20" s="9"/>
      <c r="RWE20" s="9"/>
      <c r="RWF20" s="9"/>
      <c r="RWG20" s="9"/>
      <c r="RWH20" s="10"/>
      <c r="RWI20" s="11"/>
      <c r="RWJ20" s="12"/>
      <c r="RWK20" s="12"/>
      <c r="RWL20" s="12"/>
      <c r="RWM20" s="13"/>
      <c r="RWN20" s="9"/>
      <c r="RWO20" s="9"/>
      <c r="RWP20" s="9"/>
      <c r="RWQ20" s="9"/>
      <c r="RWR20" s="10"/>
      <c r="RWS20" s="11"/>
      <c r="RWT20" s="12"/>
      <c r="RWU20" s="12"/>
      <c r="RWV20" s="12"/>
      <c r="RWW20" s="13"/>
      <c r="RWX20" s="9"/>
      <c r="RWY20" s="9"/>
      <c r="RWZ20" s="9"/>
      <c r="RXA20" s="9"/>
      <c r="RXB20" s="10"/>
      <c r="RXC20" s="11"/>
      <c r="RXD20" s="12"/>
      <c r="RXE20" s="12"/>
      <c r="RXF20" s="12"/>
      <c r="RXG20" s="13"/>
      <c r="RXH20" s="9"/>
      <c r="RXI20" s="9"/>
      <c r="RXJ20" s="9"/>
      <c r="RXK20" s="9"/>
      <c r="RXL20" s="10"/>
      <c r="RXM20" s="11"/>
      <c r="RXN20" s="12"/>
      <c r="RXO20" s="12"/>
      <c r="RXP20" s="12"/>
      <c r="RXQ20" s="13"/>
      <c r="RXR20" s="9"/>
      <c r="RXS20" s="9"/>
      <c r="RXT20" s="9"/>
      <c r="RXU20" s="9"/>
      <c r="RXV20" s="10"/>
      <c r="RXW20" s="11"/>
      <c r="RXX20" s="12"/>
      <c r="RXY20" s="12"/>
      <c r="RXZ20" s="12"/>
      <c r="RYA20" s="13"/>
      <c r="RYB20" s="9"/>
      <c r="RYC20" s="9"/>
      <c r="RYD20" s="9"/>
      <c r="RYE20" s="9"/>
      <c r="RYF20" s="10"/>
      <c r="RYG20" s="11"/>
      <c r="RYH20" s="12"/>
      <c r="RYI20" s="12"/>
      <c r="RYJ20" s="12"/>
      <c r="RYK20" s="13"/>
      <c r="RYL20" s="9"/>
      <c r="RYM20" s="9"/>
      <c r="RYN20" s="9"/>
      <c r="RYO20" s="9"/>
      <c r="RYP20" s="10"/>
      <c r="RYQ20" s="11"/>
      <c r="RYR20" s="12"/>
      <c r="RYS20" s="12"/>
      <c r="RYT20" s="12"/>
      <c r="RYU20" s="13"/>
      <c r="RYV20" s="9"/>
      <c r="RYW20" s="9"/>
      <c r="RYX20" s="9"/>
      <c r="RYY20" s="9"/>
      <c r="RYZ20" s="10"/>
      <c r="RZA20" s="11"/>
      <c r="RZB20" s="12"/>
      <c r="RZC20" s="12"/>
      <c r="RZD20" s="12"/>
      <c r="RZE20" s="13"/>
      <c r="RZF20" s="9"/>
      <c r="RZG20" s="9"/>
      <c r="RZH20" s="9"/>
      <c r="RZI20" s="9"/>
      <c r="RZJ20" s="10"/>
      <c r="RZK20" s="11"/>
      <c r="RZL20" s="12"/>
      <c r="RZM20" s="12"/>
      <c r="RZN20" s="12"/>
      <c r="RZO20" s="13"/>
      <c r="RZP20" s="9"/>
      <c r="RZQ20" s="9"/>
      <c r="RZR20" s="9"/>
      <c r="RZS20" s="9"/>
      <c r="RZT20" s="10"/>
      <c r="RZU20" s="11"/>
      <c r="RZV20" s="12"/>
      <c r="RZW20" s="12"/>
      <c r="RZX20" s="12"/>
      <c r="RZY20" s="13"/>
      <c r="RZZ20" s="9"/>
      <c r="SAA20" s="9"/>
      <c r="SAB20" s="9"/>
      <c r="SAC20" s="9"/>
      <c r="SAD20" s="10"/>
      <c r="SAE20" s="11"/>
      <c r="SAF20" s="12"/>
      <c r="SAG20" s="12"/>
      <c r="SAH20" s="12"/>
      <c r="SAI20" s="13"/>
      <c r="SAJ20" s="9"/>
      <c r="SAK20" s="9"/>
      <c r="SAL20" s="9"/>
      <c r="SAM20" s="9"/>
      <c r="SAN20" s="10"/>
      <c r="SAO20" s="11"/>
      <c r="SAP20" s="12"/>
      <c r="SAQ20" s="12"/>
      <c r="SAR20" s="12"/>
      <c r="SAS20" s="13"/>
      <c r="SAT20" s="9"/>
      <c r="SAU20" s="9"/>
      <c r="SAV20" s="9"/>
      <c r="SAW20" s="9"/>
      <c r="SAX20" s="10"/>
      <c r="SAY20" s="11"/>
      <c r="SAZ20" s="12"/>
      <c r="SBA20" s="12"/>
      <c r="SBB20" s="12"/>
      <c r="SBC20" s="13"/>
      <c r="SBD20" s="9"/>
      <c r="SBE20" s="9"/>
      <c r="SBF20" s="9"/>
      <c r="SBG20" s="9"/>
      <c r="SBH20" s="10"/>
      <c r="SBI20" s="11"/>
      <c r="SBJ20" s="12"/>
      <c r="SBK20" s="12"/>
      <c r="SBL20" s="12"/>
      <c r="SBM20" s="13"/>
      <c r="SBN20" s="9"/>
      <c r="SBO20" s="9"/>
      <c r="SBP20" s="9"/>
      <c r="SBQ20" s="9"/>
      <c r="SBR20" s="10"/>
      <c r="SBS20" s="11"/>
      <c r="SBT20" s="12"/>
      <c r="SBU20" s="12"/>
      <c r="SBV20" s="12"/>
      <c r="SBW20" s="13"/>
      <c r="SBX20" s="9"/>
      <c r="SBY20" s="9"/>
      <c r="SBZ20" s="9"/>
      <c r="SCA20" s="9"/>
      <c r="SCB20" s="10"/>
      <c r="SCC20" s="11"/>
      <c r="SCD20" s="12"/>
      <c r="SCE20" s="12"/>
      <c r="SCF20" s="12"/>
      <c r="SCG20" s="13"/>
      <c r="SCH20" s="9"/>
      <c r="SCI20" s="9"/>
      <c r="SCJ20" s="9"/>
      <c r="SCK20" s="9"/>
      <c r="SCL20" s="10"/>
      <c r="SCM20" s="11"/>
      <c r="SCN20" s="12"/>
      <c r="SCO20" s="12"/>
      <c r="SCP20" s="12"/>
      <c r="SCQ20" s="13"/>
      <c r="SCR20" s="9"/>
      <c r="SCS20" s="9"/>
      <c r="SCT20" s="9"/>
      <c r="SCU20" s="9"/>
      <c r="SCV20" s="10"/>
      <c r="SCW20" s="11"/>
      <c r="SCX20" s="12"/>
      <c r="SCY20" s="12"/>
      <c r="SCZ20" s="12"/>
      <c r="SDA20" s="13"/>
      <c r="SDB20" s="9"/>
      <c r="SDC20" s="9"/>
      <c r="SDD20" s="9"/>
      <c r="SDE20" s="9"/>
      <c r="SDF20" s="10"/>
      <c r="SDG20" s="11"/>
      <c r="SDH20" s="12"/>
      <c r="SDI20" s="12"/>
      <c r="SDJ20" s="12"/>
      <c r="SDK20" s="13"/>
      <c r="SDL20" s="9"/>
      <c r="SDM20" s="9"/>
      <c r="SDN20" s="9"/>
      <c r="SDO20" s="9"/>
      <c r="SDP20" s="10"/>
      <c r="SDQ20" s="11"/>
      <c r="SDR20" s="12"/>
      <c r="SDS20" s="12"/>
      <c r="SDT20" s="12"/>
      <c r="SDU20" s="13"/>
      <c r="SDV20" s="9"/>
      <c r="SDW20" s="9"/>
      <c r="SDX20" s="9"/>
      <c r="SDY20" s="9"/>
      <c r="SDZ20" s="10"/>
      <c r="SEA20" s="11"/>
      <c r="SEB20" s="12"/>
      <c r="SEC20" s="12"/>
      <c r="SED20" s="12"/>
      <c r="SEE20" s="13"/>
      <c r="SEF20" s="9"/>
      <c r="SEG20" s="9"/>
      <c r="SEH20" s="9"/>
      <c r="SEI20" s="9"/>
      <c r="SEJ20" s="10"/>
      <c r="SEK20" s="11"/>
      <c r="SEL20" s="12"/>
      <c r="SEM20" s="12"/>
      <c r="SEN20" s="12"/>
      <c r="SEO20" s="13"/>
      <c r="SEP20" s="9"/>
      <c r="SEQ20" s="9"/>
      <c r="SER20" s="9"/>
      <c r="SES20" s="9"/>
      <c r="SET20" s="10"/>
      <c r="SEU20" s="11"/>
      <c r="SEV20" s="12"/>
      <c r="SEW20" s="12"/>
      <c r="SEX20" s="12"/>
      <c r="SEY20" s="13"/>
      <c r="SEZ20" s="9"/>
      <c r="SFA20" s="9"/>
      <c r="SFB20" s="9"/>
      <c r="SFC20" s="9"/>
      <c r="SFD20" s="10"/>
      <c r="SFE20" s="11"/>
      <c r="SFF20" s="12"/>
      <c r="SFG20" s="12"/>
      <c r="SFH20" s="12"/>
      <c r="SFI20" s="13"/>
      <c r="SFJ20" s="9"/>
      <c r="SFK20" s="9"/>
      <c r="SFL20" s="9"/>
      <c r="SFM20" s="9"/>
      <c r="SFN20" s="10"/>
      <c r="SFO20" s="11"/>
      <c r="SFP20" s="12"/>
      <c r="SFQ20" s="12"/>
      <c r="SFR20" s="12"/>
      <c r="SFS20" s="13"/>
      <c r="SFT20" s="9"/>
      <c r="SFU20" s="9"/>
      <c r="SFV20" s="9"/>
      <c r="SFW20" s="9"/>
      <c r="SFX20" s="10"/>
      <c r="SFY20" s="11"/>
      <c r="SFZ20" s="12"/>
      <c r="SGA20" s="12"/>
      <c r="SGB20" s="12"/>
      <c r="SGC20" s="13"/>
      <c r="SGD20" s="9"/>
      <c r="SGE20" s="9"/>
      <c r="SGF20" s="9"/>
      <c r="SGG20" s="9"/>
      <c r="SGH20" s="10"/>
      <c r="SGI20" s="11"/>
      <c r="SGJ20" s="12"/>
      <c r="SGK20" s="12"/>
      <c r="SGL20" s="12"/>
      <c r="SGM20" s="13"/>
      <c r="SGN20" s="9"/>
      <c r="SGO20" s="9"/>
      <c r="SGP20" s="9"/>
      <c r="SGQ20" s="9"/>
      <c r="SGR20" s="10"/>
      <c r="SGS20" s="11"/>
      <c r="SGT20" s="12"/>
      <c r="SGU20" s="12"/>
      <c r="SGV20" s="12"/>
      <c r="SGW20" s="13"/>
      <c r="SGX20" s="9"/>
      <c r="SGY20" s="9"/>
      <c r="SGZ20" s="9"/>
      <c r="SHA20" s="9"/>
      <c r="SHB20" s="10"/>
      <c r="SHC20" s="11"/>
      <c r="SHD20" s="12"/>
      <c r="SHE20" s="12"/>
      <c r="SHF20" s="12"/>
      <c r="SHG20" s="13"/>
      <c r="SHH20" s="9"/>
      <c r="SHI20" s="9"/>
      <c r="SHJ20" s="9"/>
      <c r="SHK20" s="9"/>
      <c r="SHL20" s="10"/>
      <c r="SHM20" s="11"/>
      <c r="SHN20" s="12"/>
      <c r="SHO20" s="12"/>
      <c r="SHP20" s="12"/>
      <c r="SHQ20" s="13"/>
      <c r="SHR20" s="9"/>
      <c r="SHS20" s="9"/>
      <c r="SHT20" s="9"/>
      <c r="SHU20" s="9"/>
      <c r="SHV20" s="10"/>
      <c r="SHW20" s="11"/>
      <c r="SHX20" s="12"/>
      <c r="SHY20" s="12"/>
      <c r="SHZ20" s="12"/>
      <c r="SIA20" s="13"/>
      <c r="SIB20" s="9"/>
      <c r="SIC20" s="9"/>
      <c r="SID20" s="9"/>
      <c r="SIE20" s="9"/>
      <c r="SIF20" s="10"/>
      <c r="SIG20" s="11"/>
      <c r="SIH20" s="12"/>
      <c r="SII20" s="12"/>
      <c r="SIJ20" s="12"/>
      <c r="SIK20" s="13"/>
      <c r="SIL20" s="9"/>
      <c r="SIM20" s="9"/>
      <c r="SIN20" s="9"/>
      <c r="SIO20" s="9"/>
      <c r="SIP20" s="10"/>
      <c r="SIQ20" s="11"/>
      <c r="SIR20" s="12"/>
      <c r="SIS20" s="12"/>
      <c r="SIT20" s="12"/>
      <c r="SIU20" s="13"/>
      <c r="SIV20" s="9"/>
      <c r="SIW20" s="9"/>
      <c r="SIX20" s="9"/>
      <c r="SIY20" s="9"/>
      <c r="SIZ20" s="10"/>
      <c r="SJA20" s="11"/>
      <c r="SJB20" s="12"/>
      <c r="SJC20" s="12"/>
      <c r="SJD20" s="12"/>
      <c r="SJE20" s="13"/>
      <c r="SJF20" s="9"/>
      <c r="SJG20" s="9"/>
      <c r="SJH20" s="9"/>
      <c r="SJI20" s="9"/>
      <c r="SJJ20" s="10"/>
      <c r="SJK20" s="11"/>
      <c r="SJL20" s="12"/>
      <c r="SJM20" s="12"/>
      <c r="SJN20" s="12"/>
      <c r="SJO20" s="13"/>
      <c r="SJP20" s="9"/>
      <c r="SJQ20" s="9"/>
      <c r="SJR20" s="9"/>
      <c r="SJS20" s="9"/>
      <c r="SJT20" s="10"/>
      <c r="SJU20" s="11"/>
      <c r="SJV20" s="12"/>
      <c r="SJW20" s="12"/>
      <c r="SJX20" s="12"/>
      <c r="SJY20" s="13"/>
      <c r="SJZ20" s="9"/>
      <c r="SKA20" s="9"/>
      <c r="SKB20" s="9"/>
      <c r="SKC20" s="9"/>
      <c r="SKD20" s="10"/>
      <c r="SKE20" s="11"/>
      <c r="SKF20" s="12"/>
      <c r="SKG20" s="12"/>
      <c r="SKH20" s="12"/>
      <c r="SKI20" s="13"/>
      <c r="SKJ20" s="9"/>
      <c r="SKK20" s="9"/>
      <c r="SKL20" s="9"/>
      <c r="SKM20" s="9"/>
      <c r="SKN20" s="10"/>
      <c r="SKO20" s="11"/>
      <c r="SKP20" s="12"/>
      <c r="SKQ20" s="12"/>
      <c r="SKR20" s="12"/>
      <c r="SKS20" s="13"/>
      <c r="SKT20" s="9"/>
      <c r="SKU20" s="9"/>
      <c r="SKV20" s="9"/>
      <c r="SKW20" s="9"/>
      <c r="SKX20" s="10"/>
      <c r="SKY20" s="11"/>
      <c r="SKZ20" s="12"/>
      <c r="SLA20" s="12"/>
      <c r="SLB20" s="12"/>
      <c r="SLC20" s="13"/>
      <c r="SLD20" s="9"/>
      <c r="SLE20" s="9"/>
      <c r="SLF20" s="9"/>
      <c r="SLG20" s="9"/>
      <c r="SLH20" s="10"/>
      <c r="SLI20" s="11"/>
      <c r="SLJ20" s="12"/>
      <c r="SLK20" s="12"/>
      <c r="SLL20" s="12"/>
      <c r="SLM20" s="13"/>
      <c r="SLN20" s="9"/>
      <c r="SLO20" s="9"/>
      <c r="SLP20" s="9"/>
      <c r="SLQ20" s="9"/>
      <c r="SLR20" s="10"/>
      <c r="SLS20" s="11"/>
      <c r="SLT20" s="12"/>
      <c r="SLU20" s="12"/>
      <c r="SLV20" s="12"/>
      <c r="SLW20" s="13"/>
      <c r="SLX20" s="9"/>
      <c r="SLY20" s="9"/>
      <c r="SLZ20" s="9"/>
      <c r="SMA20" s="9"/>
      <c r="SMB20" s="10"/>
      <c r="SMC20" s="11"/>
      <c r="SMD20" s="12"/>
      <c r="SME20" s="12"/>
      <c r="SMF20" s="12"/>
      <c r="SMG20" s="13"/>
      <c r="SMH20" s="9"/>
      <c r="SMI20" s="9"/>
      <c r="SMJ20" s="9"/>
      <c r="SMK20" s="9"/>
      <c r="SML20" s="10"/>
      <c r="SMM20" s="11"/>
      <c r="SMN20" s="12"/>
      <c r="SMO20" s="12"/>
      <c r="SMP20" s="12"/>
      <c r="SMQ20" s="13"/>
      <c r="SMR20" s="9"/>
      <c r="SMS20" s="9"/>
      <c r="SMT20" s="9"/>
      <c r="SMU20" s="9"/>
      <c r="SMV20" s="10"/>
      <c r="SMW20" s="11"/>
      <c r="SMX20" s="12"/>
      <c r="SMY20" s="12"/>
      <c r="SMZ20" s="12"/>
      <c r="SNA20" s="13"/>
      <c r="SNB20" s="9"/>
      <c r="SNC20" s="9"/>
      <c r="SND20" s="9"/>
      <c r="SNE20" s="9"/>
      <c r="SNF20" s="10"/>
      <c r="SNG20" s="11"/>
      <c r="SNH20" s="12"/>
      <c r="SNI20" s="12"/>
      <c r="SNJ20" s="12"/>
      <c r="SNK20" s="13"/>
      <c r="SNL20" s="9"/>
      <c r="SNM20" s="9"/>
      <c r="SNN20" s="9"/>
      <c r="SNO20" s="9"/>
      <c r="SNP20" s="10"/>
      <c r="SNQ20" s="11"/>
      <c r="SNR20" s="12"/>
      <c r="SNS20" s="12"/>
      <c r="SNT20" s="12"/>
      <c r="SNU20" s="13"/>
      <c r="SNV20" s="9"/>
      <c r="SNW20" s="9"/>
      <c r="SNX20" s="9"/>
      <c r="SNY20" s="9"/>
      <c r="SNZ20" s="10"/>
      <c r="SOA20" s="11"/>
      <c r="SOB20" s="12"/>
      <c r="SOC20" s="12"/>
      <c r="SOD20" s="12"/>
      <c r="SOE20" s="13"/>
      <c r="SOF20" s="9"/>
      <c r="SOG20" s="9"/>
      <c r="SOH20" s="9"/>
      <c r="SOI20" s="9"/>
      <c r="SOJ20" s="10"/>
      <c r="SOK20" s="11"/>
      <c r="SOL20" s="12"/>
      <c r="SOM20" s="12"/>
      <c r="SON20" s="12"/>
      <c r="SOO20" s="13"/>
      <c r="SOP20" s="9"/>
      <c r="SOQ20" s="9"/>
      <c r="SOR20" s="9"/>
      <c r="SOS20" s="9"/>
      <c r="SOT20" s="10"/>
      <c r="SOU20" s="11"/>
      <c r="SOV20" s="12"/>
      <c r="SOW20" s="12"/>
      <c r="SOX20" s="12"/>
      <c r="SOY20" s="13"/>
      <c r="SOZ20" s="9"/>
      <c r="SPA20" s="9"/>
      <c r="SPB20" s="9"/>
      <c r="SPC20" s="9"/>
      <c r="SPD20" s="10"/>
      <c r="SPE20" s="11"/>
      <c r="SPF20" s="12"/>
      <c r="SPG20" s="12"/>
      <c r="SPH20" s="12"/>
      <c r="SPI20" s="13"/>
      <c r="SPJ20" s="9"/>
      <c r="SPK20" s="9"/>
      <c r="SPL20" s="9"/>
      <c r="SPM20" s="9"/>
      <c r="SPN20" s="10"/>
      <c r="SPO20" s="11"/>
      <c r="SPP20" s="12"/>
      <c r="SPQ20" s="12"/>
      <c r="SPR20" s="12"/>
      <c r="SPS20" s="13"/>
      <c r="SPT20" s="9"/>
      <c r="SPU20" s="9"/>
      <c r="SPV20" s="9"/>
      <c r="SPW20" s="9"/>
      <c r="SPX20" s="10"/>
      <c r="SPY20" s="11"/>
      <c r="SPZ20" s="12"/>
      <c r="SQA20" s="12"/>
      <c r="SQB20" s="12"/>
      <c r="SQC20" s="13"/>
      <c r="SQD20" s="9"/>
      <c r="SQE20" s="9"/>
      <c r="SQF20" s="9"/>
      <c r="SQG20" s="9"/>
      <c r="SQH20" s="10"/>
      <c r="SQI20" s="11"/>
      <c r="SQJ20" s="12"/>
      <c r="SQK20" s="12"/>
      <c r="SQL20" s="12"/>
      <c r="SQM20" s="13"/>
      <c r="SQN20" s="9"/>
      <c r="SQO20" s="9"/>
      <c r="SQP20" s="9"/>
      <c r="SQQ20" s="9"/>
      <c r="SQR20" s="10"/>
      <c r="SQS20" s="11"/>
      <c r="SQT20" s="12"/>
      <c r="SQU20" s="12"/>
      <c r="SQV20" s="12"/>
      <c r="SQW20" s="13"/>
      <c r="SQX20" s="9"/>
      <c r="SQY20" s="9"/>
      <c r="SQZ20" s="9"/>
      <c r="SRA20" s="9"/>
      <c r="SRB20" s="10"/>
      <c r="SRC20" s="11"/>
      <c r="SRD20" s="12"/>
      <c r="SRE20" s="12"/>
      <c r="SRF20" s="12"/>
      <c r="SRG20" s="13"/>
      <c r="SRH20" s="9"/>
      <c r="SRI20" s="9"/>
      <c r="SRJ20" s="9"/>
      <c r="SRK20" s="9"/>
      <c r="SRL20" s="10"/>
      <c r="SRM20" s="11"/>
      <c r="SRN20" s="12"/>
      <c r="SRO20" s="12"/>
      <c r="SRP20" s="12"/>
      <c r="SRQ20" s="13"/>
      <c r="SRR20" s="9"/>
      <c r="SRS20" s="9"/>
      <c r="SRT20" s="9"/>
      <c r="SRU20" s="9"/>
      <c r="SRV20" s="10"/>
      <c r="SRW20" s="11"/>
      <c r="SRX20" s="12"/>
      <c r="SRY20" s="12"/>
      <c r="SRZ20" s="12"/>
      <c r="SSA20" s="13"/>
      <c r="SSB20" s="9"/>
      <c r="SSC20" s="9"/>
      <c r="SSD20" s="9"/>
      <c r="SSE20" s="9"/>
      <c r="SSF20" s="10"/>
      <c r="SSG20" s="11"/>
      <c r="SSH20" s="12"/>
      <c r="SSI20" s="12"/>
      <c r="SSJ20" s="12"/>
      <c r="SSK20" s="13"/>
      <c r="SSL20" s="9"/>
      <c r="SSM20" s="9"/>
      <c r="SSN20" s="9"/>
      <c r="SSO20" s="9"/>
      <c r="SSP20" s="10"/>
      <c r="SSQ20" s="11"/>
      <c r="SSR20" s="12"/>
      <c r="SSS20" s="12"/>
      <c r="SST20" s="12"/>
      <c r="SSU20" s="13"/>
      <c r="SSV20" s="9"/>
      <c r="SSW20" s="9"/>
      <c r="SSX20" s="9"/>
      <c r="SSY20" s="9"/>
      <c r="SSZ20" s="10"/>
      <c r="STA20" s="11"/>
      <c r="STB20" s="12"/>
      <c r="STC20" s="12"/>
      <c r="STD20" s="12"/>
      <c r="STE20" s="13"/>
      <c r="STF20" s="9"/>
      <c r="STG20" s="9"/>
      <c r="STH20" s="9"/>
      <c r="STI20" s="9"/>
      <c r="STJ20" s="10"/>
      <c r="STK20" s="11"/>
      <c r="STL20" s="12"/>
      <c r="STM20" s="12"/>
      <c r="STN20" s="12"/>
      <c r="STO20" s="13"/>
      <c r="STP20" s="9"/>
      <c r="STQ20" s="9"/>
      <c r="STR20" s="9"/>
      <c r="STS20" s="9"/>
      <c r="STT20" s="10"/>
      <c r="STU20" s="11"/>
      <c r="STV20" s="12"/>
      <c r="STW20" s="12"/>
      <c r="STX20" s="12"/>
      <c r="STY20" s="13"/>
      <c r="STZ20" s="9"/>
      <c r="SUA20" s="9"/>
      <c r="SUB20" s="9"/>
      <c r="SUC20" s="9"/>
      <c r="SUD20" s="10"/>
      <c r="SUE20" s="11"/>
      <c r="SUF20" s="12"/>
      <c r="SUG20" s="12"/>
      <c r="SUH20" s="12"/>
      <c r="SUI20" s="13"/>
      <c r="SUJ20" s="9"/>
      <c r="SUK20" s="9"/>
      <c r="SUL20" s="9"/>
      <c r="SUM20" s="9"/>
      <c r="SUN20" s="10"/>
      <c r="SUO20" s="11"/>
      <c r="SUP20" s="12"/>
      <c r="SUQ20" s="12"/>
      <c r="SUR20" s="12"/>
      <c r="SUS20" s="13"/>
      <c r="SUT20" s="9"/>
      <c r="SUU20" s="9"/>
      <c r="SUV20" s="9"/>
      <c r="SUW20" s="9"/>
      <c r="SUX20" s="10"/>
      <c r="SUY20" s="11"/>
      <c r="SUZ20" s="12"/>
      <c r="SVA20" s="12"/>
      <c r="SVB20" s="12"/>
      <c r="SVC20" s="13"/>
      <c r="SVD20" s="9"/>
      <c r="SVE20" s="9"/>
      <c r="SVF20" s="9"/>
      <c r="SVG20" s="9"/>
      <c r="SVH20" s="10"/>
      <c r="SVI20" s="11"/>
      <c r="SVJ20" s="12"/>
      <c r="SVK20" s="12"/>
      <c r="SVL20" s="12"/>
      <c r="SVM20" s="13"/>
      <c r="SVN20" s="9"/>
      <c r="SVO20" s="9"/>
      <c r="SVP20" s="9"/>
      <c r="SVQ20" s="9"/>
      <c r="SVR20" s="10"/>
      <c r="SVS20" s="11"/>
      <c r="SVT20" s="12"/>
      <c r="SVU20" s="12"/>
      <c r="SVV20" s="12"/>
      <c r="SVW20" s="13"/>
      <c r="SVX20" s="9"/>
      <c r="SVY20" s="9"/>
      <c r="SVZ20" s="9"/>
      <c r="SWA20" s="9"/>
      <c r="SWB20" s="10"/>
      <c r="SWC20" s="11"/>
      <c r="SWD20" s="12"/>
      <c r="SWE20" s="12"/>
      <c r="SWF20" s="12"/>
      <c r="SWG20" s="13"/>
      <c r="SWH20" s="9"/>
      <c r="SWI20" s="9"/>
      <c r="SWJ20" s="9"/>
      <c r="SWK20" s="9"/>
      <c r="SWL20" s="10"/>
      <c r="SWM20" s="11"/>
      <c r="SWN20" s="12"/>
      <c r="SWO20" s="12"/>
      <c r="SWP20" s="12"/>
      <c r="SWQ20" s="13"/>
      <c r="SWR20" s="9"/>
      <c r="SWS20" s="9"/>
      <c r="SWT20" s="9"/>
      <c r="SWU20" s="9"/>
      <c r="SWV20" s="10"/>
      <c r="SWW20" s="11"/>
      <c r="SWX20" s="12"/>
      <c r="SWY20" s="12"/>
      <c r="SWZ20" s="12"/>
      <c r="SXA20" s="13"/>
      <c r="SXB20" s="9"/>
      <c r="SXC20" s="9"/>
      <c r="SXD20" s="9"/>
      <c r="SXE20" s="9"/>
      <c r="SXF20" s="10"/>
      <c r="SXG20" s="11"/>
      <c r="SXH20" s="12"/>
      <c r="SXI20" s="12"/>
      <c r="SXJ20" s="12"/>
      <c r="SXK20" s="13"/>
      <c r="SXL20" s="9"/>
      <c r="SXM20" s="9"/>
      <c r="SXN20" s="9"/>
      <c r="SXO20" s="9"/>
      <c r="SXP20" s="10"/>
      <c r="SXQ20" s="11"/>
      <c r="SXR20" s="12"/>
      <c r="SXS20" s="12"/>
      <c r="SXT20" s="12"/>
      <c r="SXU20" s="13"/>
      <c r="SXV20" s="9"/>
      <c r="SXW20" s="9"/>
      <c r="SXX20" s="9"/>
      <c r="SXY20" s="9"/>
      <c r="SXZ20" s="10"/>
      <c r="SYA20" s="11"/>
      <c r="SYB20" s="12"/>
      <c r="SYC20" s="12"/>
      <c r="SYD20" s="12"/>
      <c r="SYE20" s="13"/>
      <c r="SYF20" s="9"/>
      <c r="SYG20" s="9"/>
      <c r="SYH20" s="9"/>
      <c r="SYI20" s="9"/>
      <c r="SYJ20" s="10"/>
      <c r="SYK20" s="11"/>
      <c r="SYL20" s="12"/>
      <c r="SYM20" s="12"/>
      <c r="SYN20" s="12"/>
      <c r="SYO20" s="13"/>
      <c r="SYP20" s="9"/>
      <c r="SYQ20" s="9"/>
      <c r="SYR20" s="9"/>
      <c r="SYS20" s="9"/>
      <c r="SYT20" s="10"/>
      <c r="SYU20" s="11"/>
      <c r="SYV20" s="12"/>
      <c r="SYW20" s="12"/>
      <c r="SYX20" s="12"/>
      <c r="SYY20" s="13"/>
      <c r="SYZ20" s="9"/>
      <c r="SZA20" s="9"/>
      <c r="SZB20" s="9"/>
      <c r="SZC20" s="9"/>
      <c r="SZD20" s="10"/>
      <c r="SZE20" s="11"/>
      <c r="SZF20" s="12"/>
      <c r="SZG20" s="12"/>
      <c r="SZH20" s="12"/>
      <c r="SZI20" s="13"/>
      <c r="SZJ20" s="9"/>
      <c r="SZK20" s="9"/>
      <c r="SZL20" s="9"/>
      <c r="SZM20" s="9"/>
      <c r="SZN20" s="10"/>
      <c r="SZO20" s="11"/>
      <c r="SZP20" s="12"/>
      <c r="SZQ20" s="12"/>
      <c r="SZR20" s="12"/>
      <c r="SZS20" s="13"/>
      <c r="SZT20" s="9"/>
      <c r="SZU20" s="9"/>
      <c r="SZV20" s="9"/>
      <c r="SZW20" s="9"/>
      <c r="SZX20" s="10"/>
      <c r="SZY20" s="11"/>
      <c r="SZZ20" s="12"/>
      <c r="TAA20" s="12"/>
      <c r="TAB20" s="12"/>
      <c r="TAC20" s="13"/>
      <c r="TAD20" s="9"/>
      <c r="TAE20" s="9"/>
      <c r="TAF20" s="9"/>
      <c r="TAG20" s="9"/>
      <c r="TAH20" s="10"/>
      <c r="TAI20" s="11"/>
      <c r="TAJ20" s="12"/>
      <c r="TAK20" s="12"/>
      <c r="TAL20" s="12"/>
      <c r="TAM20" s="13"/>
      <c r="TAN20" s="9"/>
      <c r="TAO20" s="9"/>
      <c r="TAP20" s="9"/>
      <c r="TAQ20" s="9"/>
      <c r="TAR20" s="10"/>
      <c r="TAS20" s="11"/>
      <c r="TAT20" s="12"/>
      <c r="TAU20" s="12"/>
      <c r="TAV20" s="12"/>
      <c r="TAW20" s="13"/>
      <c r="TAX20" s="9"/>
      <c r="TAY20" s="9"/>
      <c r="TAZ20" s="9"/>
      <c r="TBA20" s="9"/>
      <c r="TBB20" s="10"/>
      <c r="TBC20" s="11"/>
      <c r="TBD20" s="12"/>
      <c r="TBE20" s="12"/>
      <c r="TBF20" s="12"/>
      <c r="TBG20" s="13"/>
      <c r="TBH20" s="9"/>
      <c r="TBI20" s="9"/>
      <c r="TBJ20" s="9"/>
      <c r="TBK20" s="9"/>
      <c r="TBL20" s="10"/>
      <c r="TBM20" s="11"/>
      <c r="TBN20" s="12"/>
      <c r="TBO20" s="12"/>
      <c r="TBP20" s="12"/>
      <c r="TBQ20" s="13"/>
      <c r="TBR20" s="9"/>
      <c r="TBS20" s="9"/>
      <c r="TBT20" s="9"/>
      <c r="TBU20" s="9"/>
      <c r="TBV20" s="10"/>
      <c r="TBW20" s="11"/>
      <c r="TBX20" s="12"/>
      <c r="TBY20" s="12"/>
      <c r="TBZ20" s="12"/>
      <c r="TCA20" s="13"/>
      <c r="TCB20" s="9"/>
      <c r="TCC20" s="9"/>
      <c r="TCD20" s="9"/>
      <c r="TCE20" s="9"/>
      <c r="TCF20" s="10"/>
      <c r="TCG20" s="11"/>
      <c r="TCH20" s="12"/>
      <c r="TCI20" s="12"/>
      <c r="TCJ20" s="12"/>
      <c r="TCK20" s="13"/>
      <c r="TCL20" s="9"/>
      <c r="TCM20" s="9"/>
      <c r="TCN20" s="9"/>
      <c r="TCO20" s="9"/>
      <c r="TCP20" s="10"/>
      <c r="TCQ20" s="11"/>
      <c r="TCR20" s="12"/>
      <c r="TCS20" s="12"/>
      <c r="TCT20" s="12"/>
      <c r="TCU20" s="13"/>
      <c r="TCV20" s="9"/>
      <c r="TCW20" s="9"/>
      <c r="TCX20" s="9"/>
      <c r="TCY20" s="9"/>
      <c r="TCZ20" s="10"/>
      <c r="TDA20" s="11"/>
      <c r="TDB20" s="12"/>
      <c r="TDC20" s="12"/>
      <c r="TDD20" s="12"/>
      <c r="TDE20" s="13"/>
      <c r="TDF20" s="9"/>
      <c r="TDG20" s="9"/>
      <c r="TDH20" s="9"/>
      <c r="TDI20" s="9"/>
      <c r="TDJ20" s="10"/>
      <c r="TDK20" s="11"/>
      <c r="TDL20" s="12"/>
      <c r="TDM20" s="12"/>
      <c r="TDN20" s="12"/>
      <c r="TDO20" s="13"/>
      <c r="TDP20" s="9"/>
      <c r="TDQ20" s="9"/>
      <c r="TDR20" s="9"/>
      <c r="TDS20" s="9"/>
      <c r="TDT20" s="10"/>
      <c r="TDU20" s="11"/>
      <c r="TDV20" s="12"/>
      <c r="TDW20" s="12"/>
      <c r="TDX20" s="12"/>
      <c r="TDY20" s="13"/>
      <c r="TDZ20" s="9"/>
      <c r="TEA20" s="9"/>
      <c r="TEB20" s="9"/>
      <c r="TEC20" s="9"/>
      <c r="TED20" s="10"/>
      <c r="TEE20" s="11"/>
      <c r="TEF20" s="12"/>
      <c r="TEG20" s="12"/>
      <c r="TEH20" s="12"/>
      <c r="TEI20" s="13"/>
      <c r="TEJ20" s="9"/>
      <c r="TEK20" s="9"/>
      <c r="TEL20" s="9"/>
      <c r="TEM20" s="9"/>
      <c r="TEN20" s="10"/>
      <c r="TEO20" s="11"/>
      <c r="TEP20" s="12"/>
      <c r="TEQ20" s="12"/>
      <c r="TER20" s="12"/>
      <c r="TES20" s="13"/>
      <c r="TET20" s="9"/>
      <c r="TEU20" s="9"/>
      <c r="TEV20" s="9"/>
      <c r="TEW20" s="9"/>
      <c r="TEX20" s="10"/>
      <c r="TEY20" s="11"/>
      <c r="TEZ20" s="12"/>
      <c r="TFA20" s="12"/>
      <c r="TFB20" s="12"/>
      <c r="TFC20" s="13"/>
      <c r="TFD20" s="9"/>
      <c r="TFE20" s="9"/>
      <c r="TFF20" s="9"/>
      <c r="TFG20" s="9"/>
      <c r="TFH20" s="10"/>
      <c r="TFI20" s="11"/>
      <c r="TFJ20" s="12"/>
      <c r="TFK20" s="12"/>
      <c r="TFL20" s="12"/>
      <c r="TFM20" s="13"/>
      <c r="TFN20" s="9"/>
      <c r="TFO20" s="9"/>
      <c r="TFP20" s="9"/>
      <c r="TFQ20" s="9"/>
      <c r="TFR20" s="10"/>
      <c r="TFS20" s="11"/>
      <c r="TFT20" s="12"/>
      <c r="TFU20" s="12"/>
      <c r="TFV20" s="12"/>
      <c r="TFW20" s="13"/>
      <c r="TFX20" s="9"/>
      <c r="TFY20" s="9"/>
      <c r="TFZ20" s="9"/>
      <c r="TGA20" s="9"/>
      <c r="TGB20" s="10"/>
      <c r="TGC20" s="11"/>
      <c r="TGD20" s="12"/>
      <c r="TGE20" s="12"/>
      <c r="TGF20" s="12"/>
      <c r="TGG20" s="13"/>
      <c r="TGH20" s="9"/>
      <c r="TGI20" s="9"/>
      <c r="TGJ20" s="9"/>
      <c r="TGK20" s="9"/>
      <c r="TGL20" s="10"/>
      <c r="TGM20" s="11"/>
      <c r="TGN20" s="12"/>
      <c r="TGO20" s="12"/>
      <c r="TGP20" s="12"/>
      <c r="TGQ20" s="13"/>
      <c r="TGR20" s="9"/>
      <c r="TGS20" s="9"/>
      <c r="TGT20" s="9"/>
      <c r="TGU20" s="9"/>
      <c r="TGV20" s="10"/>
      <c r="TGW20" s="11"/>
      <c r="TGX20" s="12"/>
      <c r="TGY20" s="12"/>
      <c r="TGZ20" s="12"/>
      <c r="THA20" s="13"/>
      <c r="THB20" s="9"/>
      <c r="THC20" s="9"/>
      <c r="THD20" s="9"/>
      <c r="THE20" s="9"/>
      <c r="THF20" s="10"/>
      <c r="THG20" s="11"/>
      <c r="THH20" s="12"/>
      <c r="THI20" s="12"/>
      <c r="THJ20" s="12"/>
      <c r="THK20" s="13"/>
      <c r="THL20" s="9"/>
      <c r="THM20" s="9"/>
      <c r="THN20" s="9"/>
      <c r="THO20" s="9"/>
      <c r="THP20" s="10"/>
      <c r="THQ20" s="11"/>
      <c r="THR20" s="12"/>
      <c r="THS20" s="12"/>
      <c r="THT20" s="12"/>
      <c r="THU20" s="13"/>
      <c r="THV20" s="9"/>
      <c r="THW20" s="9"/>
      <c r="THX20" s="9"/>
      <c r="THY20" s="9"/>
      <c r="THZ20" s="10"/>
      <c r="TIA20" s="11"/>
      <c r="TIB20" s="12"/>
      <c r="TIC20" s="12"/>
      <c r="TID20" s="12"/>
      <c r="TIE20" s="13"/>
      <c r="TIF20" s="9"/>
      <c r="TIG20" s="9"/>
      <c r="TIH20" s="9"/>
      <c r="TII20" s="9"/>
      <c r="TIJ20" s="10"/>
      <c r="TIK20" s="11"/>
      <c r="TIL20" s="12"/>
      <c r="TIM20" s="12"/>
      <c r="TIN20" s="12"/>
      <c r="TIO20" s="13"/>
      <c r="TIP20" s="9"/>
      <c r="TIQ20" s="9"/>
      <c r="TIR20" s="9"/>
      <c r="TIS20" s="9"/>
      <c r="TIT20" s="10"/>
      <c r="TIU20" s="11"/>
      <c r="TIV20" s="12"/>
      <c r="TIW20" s="12"/>
      <c r="TIX20" s="12"/>
      <c r="TIY20" s="13"/>
      <c r="TIZ20" s="9"/>
      <c r="TJA20" s="9"/>
      <c r="TJB20" s="9"/>
      <c r="TJC20" s="9"/>
      <c r="TJD20" s="10"/>
      <c r="TJE20" s="11"/>
      <c r="TJF20" s="12"/>
      <c r="TJG20" s="12"/>
      <c r="TJH20" s="12"/>
      <c r="TJI20" s="13"/>
      <c r="TJJ20" s="9"/>
      <c r="TJK20" s="9"/>
      <c r="TJL20" s="9"/>
      <c r="TJM20" s="9"/>
      <c r="TJN20" s="10"/>
      <c r="TJO20" s="11"/>
      <c r="TJP20" s="12"/>
      <c r="TJQ20" s="12"/>
      <c r="TJR20" s="12"/>
      <c r="TJS20" s="13"/>
      <c r="TJT20" s="9"/>
      <c r="TJU20" s="9"/>
      <c r="TJV20" s="9"/>
      <c r="TJW20" s="9"/>
      <c r="TJX20" s="10"/>
      <c r="TJY20" s="11"/>
      <c r="TJZ20" s="12"/>
      <c r="TKA20" s="12"/>
      <c r="TKB20" s="12"/>
      <c r="TKC20" s="13"/>
      <c r="TKD20" s="9"/>
      <c r="TKE20" s="9"/>
      <c r="TKF20" s="9"/>
      <c r="TKG20" s="9"/>
      <c r="TKH20" s="10"/>
      <c r="TKI20" s="11"/>
      <c r="TKJ20" s="12"/>
      <c r="TKK20" s="12"/>
      <c r="TKL20" s="12"/>
      <c r="TKM20" s="13"/>
      <c r="TKN20" s="9"/>
      <c r="TKO20" s="9"/>
      <c r="TKP20" s="9"/>
      <c r="TKQ20" s="9"/>
      <c r="TKR20" s="10"/>
      <c r="TKS20" s="11"/>
      <c r="TKT20" s="12"/>
      <c r="TKU20" s="12"/>
      <c r="TKV20" s="12"/>
      <c r="TKW20" s="13"/>
      <c r="TKX20" s="9"/>
      <c r="TKY20" s="9"/>
      <c r="TKZ20" s="9"/>
      <c r="TLA20" s="9"/>
      <c r="TLB20" s="10"/>
      <c r="TLC20" s="11"/>
      <c r="TLD20" s="12"/>
      <c r="TLE20" s="12"/>
      <c r="TLF20" s="12"/>
      <c r="TLG20" s="13"/>
      <c r="TLH20" s="9"/>
      <c r="TLI20" s="9"/>
      <c r="TLJ20" s="9"/>
      <c r="TLK20" s="9"/>
      <c r="TLL20" s="10"/>
      <c r="TLM20" s="11"/>
      <c r="TLN20" s="12"/>
      <c r="TLO20" s="12"/>
      <c r="TLP20" s="12"/>
      <c r="TLQ20" s="13"/>
      <c r="TLR20" s="9"/>
      <c r="TLS20" s="9"/>
      <c r="TLT20" s="9"/>
      <c r="TLU20" s="9"/>
      <c r="TLV20" s="10"/>
      <c r="TLW20" s="11"/>
      <c r="TLX20" s="12"/>
      <c r="TLY20" s="12"/>
      <c r="TLZ20" s="12"/>
      <c r="TMA20" s="13"/>
      <c r="TMB20" s="9"/>
      <c r="TMC20" s="9"/>
      <c r="TMD20" s="9"/>
      <c r="TME20" s="9"/>
      <c r="TMF20" s="10"/>
      <c r="TMG20" s="11"/>
      <c r="TMH20" s="12"/>
      <c r="TMI20" s="12"/>
      <c r="TMJ20" s="12"/>
      <c r="TMK20" s="13"/>
      <c r="TML20" s="9"/>
      <c r="TMM20" s="9"/>
      <c r="TMN20" s="9"/>
      <c r="TMO20" s="9"/>
      <c r="TMP20" s="10"/>
      <c r="TMQ20" s="11"/>
      <c r="TMR20" s="12"/>
      <c r="TMS20" s="12"/>
      <c r="TMT20" s="12"/>
      <c r="TMU20" s="13"/>
      <c r="TMV20" s="9"/>
      <c r="TMW20" s="9"/>
      <c r="TMX20" s="9"/>
      <c r="TMY20" s="9"/>
      <c r="TMZ20" s="10"/>
      <c r="TNA20" s="11"/>
      <c r="TNB20" s="12"/>
      <c r="TNC20" s="12"/>
      <c r="TND20" s="12"/>
      <c r="TNE20" s="13"/>
      <c r="TNF20" s="9"/>
      <c r="TNG20" s="9"/>
      <c r="TNH20" s="9"/>
      <c r="TNI20" s="9"/>
      <c r="TNJ20" s="10"/>
      <c r="TNK20" s="11"/>
      <c r="TNL20" s="12"/>
      <c r="TNM20" s="12"/>
      <c r="TNN20" s="12"/>
      <c r="TNO20" s="13"/>
      <c r="TNP20" s="9"/>
      <c r="TNQ20" s="9"/>
      <c r="TNR20" s="9"/>
      <c r="TNS20" s="9"/>
      <c r="TNT20" s="10"/>
      <c r="TNU20" s="11"/>
      <c r="TNV20" s="12"/>
      <c r="TNW20" s="12"/>
      <c r="TNX20" s="12"/>
      <c r="TNY20" s="13"/>
      <c r="TNZ20" s="9"/>
      <c r="TOA20" s="9"/>
      <c r="TOB20" s="9"/>
      <c r="TOC20" s="9"/>
      <c r="TOD20" s="10"/>
      <c r="TOE20" s="11"/>
      <c r="TOF20" s="12"/>
      <c r="TOG20" s="12"/>
      <c r="TOH20" s="12"/>
      <c r="TOI20" s="13"/>
      <c r="TOJ20" s="9"/>
      <c r="TOK20" s="9"/>
      <c r="TOL20" s="9"/>
      <c r="TOM20" s="9"/>
      <c r="TON20" s="10"/>
      <c r="TOO20" s="11"/>
      <c r="TOP20" s="12"/>
      <c r="TOQ20" s="12"/>
      <c r="TOR20" s="12"/>
      <c r="TOS20" s="13"/>
      <c r="TOT20" s="9"/>
      <c r="TOU20" s="9"/>
      <c r="TOV20" s="9"/>
      <c r="TOW20" s="9"/>
      <c r="TOX20" s="10"/>
      <c r="TOY20" s="11"/>
      <c r="TOZ20" s="12"/>
      <c r="TPA20" s="12"/>
      <c r="TPB20" s="12"/>
      <c r="TPC20" s="13"/>
      <c r="TPD20" s="9"/>
      <c r="TPE20" s="9"/>
      <c r="TPF20" s="9"/>
      <c r="TPG20" s="9"/>
      <c r="TPH20" s="10"/>
      <c r="TPI20" s="11"/>
      <c r="TPJ20" s="12"/>
      <c r="TPK20" s="12"/>
      <c r="TPL20" s="12"/>
      <c r="TPM20" s="13"/>
      <c r="TPN20" s="9"/>
      <c r="TPO20" s="9"/>
      <c r="TPP20" s="9"/>
      <c r="TPQ20" s="9"/>
      <c r="TPR20" s="10"/>
      <c r="TPS20" s="11"/>
      <c r="TPT20" s="12"/>
      <c r="TPU20" s="12"/>
      <c r="TPV20" s="12"/>
      <c r="TPW20" s="13"/>
      <c r="TPX20" s="9"/>
      <c r="TPY20" s="9"/>
      <c r="TPZ20" s="9"/>
      <c r="TQA20" s="9"/>
      <c r="TQB20" s="10"/>
      <c r="TQC20" s="11"/>
      <c r="TQD20" s="12"/>
      <c r="TQE20" s="12"/>
      <c r="TQF20" s="12"/>
      <c r="TQG20" s="13"/>
      <c r="TQH20" s="9"/>
      <c r="TQI20" s="9"/>
      <c r="TQJ20" s="9"/>
      <c r="TQK20" s="9"/>
      <c r="TQL20" s="10"/>
      <c r="TQM20" s="11"/>
      <c r="TQN20" s="12"/>
      <c r="TQO20" s="12"/>
      <c r="TQP20" s="12"/>
      <c r="TQQ20" s="13"/>
      <c r="TQR20" s="9"/>
      <c r="TQS20" s="9"/>
      <c r="TQT20" s="9"/>
      <c r="TQU20" s="9"/>
      <c r="TQV20" s="10"/>
      <c r="TQW20" s="11"/>
      <c r="TQX20" s="12"/>
      <c r="TQY20" s="12"/>
      <c r="TQZ20" s="12"/>
      <c r="TRA20" s="13"/>
      <c r="TRB20" s="9"/>
      <c r="TRC20" s="9"/>
      <c r="TRD20" s="9"/>
      <c r="TRE20" s="9"/>
      <c r="TRF20" s="10"/>
      <c r="TRG20" s="11"/>
      <c r="TRH20" s="12"/>
      <c r="TRI20" s="12"/>
      <c r="TRJ20" s="12"/>
      <c r="TRK20" s="13"/>
      <c r="TRL20" s="9"/>
      <c r="TRM20" s="9"/>
      <c r="TRN20" s="9"/>
      <c r="TRO20" s="9"/>
      <c r="TRP20" s="10"/>
      <c r="TRQ20" s="11"/>
      <c r="TRR20" s="12"/>
      <c r="TRS20" s="12"/>
      <c r="TRT20" s="12"/>
      <c r="TRU20" s="13"/>
      <c r="TRV20" s="9"/>
      <c r="TRW20" s="9"/>
      <c r="TRX20" s="9"/>
      <c r="TRY20" s="9"/>
      <c r="TRZ20" s="10"/>
      <c r="TSA20" s="11"/>
      <c r="TSB20" s="12"/>
      <c r="TSC20" s="12"/>
      <c r="TSD20" s="12"/>
      <c r="TSE20" s="13"/>
      <c r="TSF20" s="9"/>
      <c r="TSG20" s="9"/>
      <c r="TSH20" s="9"/>
      <c r="TSI20" s="9"/>
      <c r="TSJ20" s="10"/>
      <c r="TSK20" s="11"/>
      <c r="TSL20" s="12"/>
      <c r="TSM20" s="12"/>
      <c r="TSN20" s="12"/>
      <c r="TSO20" s="13"/>
      <c r="TSP20" s="9"/>
      <c r="TSQ20" s="9"/>
      <c r="TSR20" s="9"/>
      <c r="TSS20" s="9"/>
      <c r="TST20" s="10"/>
      <c r="TSU20" s="11"/>
      <c r="TSV20" s="12"/>
      <c r="TSW20" s="12"/>
      <c r="TSX20" s="12"/>
      <c r="TSY20" s="13"/>
      <c r="TSZ20" s="9"/>
      <c r="TTA20" s="9"/>
      <c r="TTB20" s="9"/>
      <c r="TTC20" s="9"/>
      <c r="TTD20" s="10"/>
      <c r="TTE20" s="11"/>
      <c r="TTF20" s="12"/>
      <c r="TTG20" s="12"/>
      <c r="TTH20" s="12"/>
      <c r="TTI20" s="13"/>
      <c r="TTJ20" s="9"/>
      <c r="TTK20" s="9"/>
      <c r="TTL20" s="9"/>
      <c r="TTM20" s="9"/>
      <c r="TTN20" s="10"/>
      <c r="TTO20" s="11"/>
      <c r="TTP20" s="12"/>
      <c r="TTQ20" s="12"/>
      <c r="TTR20" s="12"/>
      <c r="TTS20" s="13"/>
      <c r="TTT20" s="9"/>
      <c r="TTU20" s="9"/>
      <c r="TTV20" s="9"/>
      <c r="TTW20" s="9"/>
      <c r="TTX20" s="10"/>
      <c r="TTY20" s="11"/>
      <c r="TTZ20" s="12"/>
      <c r="TUA20" s="12"/>
      <c r="TUB20" s="12"/>
      <c r="TUC20" s="13"/>
      <c r="TUD20" s="9"/>
      <c r="TUE20" s="9"/>
      <c r="TUF20" s="9"/>
      <c r="TUG20" s="9"/>
      <c r="TUH20" s="10"/>
      <c r="TUI20" s="11"/>
      <c r="TUJ20" s="12"/>
      <c r="TUK20" s="12"/>
      <c r="TUL20" s="12"/>
      <c r="TUM20" s="13"/>
      <c r="TUN20" s="9"/>
      <c r="TUO20" s="9"/>
      <c r="TUP20" s="9"/>
      <c r="TUQ20" s="9"/>
      <c r="TUR20" s="10"/>
      <c r="TUS20" s="11"/>
      <c r="TUT20" s="12"/>
      <c r="TUU20" s="12"/>
      <c r="TUV20" s="12"/>
      <c r="TUW20" s="13"/>
      <c r="TUX20" s="9"/>
      <c r="TUY20" s="9"/>
      <c r="TUZ20" s="9"/>
      <c r="TVA20" s="9"/>
      <c r="TVB20" s="10"/>
      <c r="TVC20" s="11"/>
      <c r="TVD20" s="12"/>
      <c r="TVE20" s="12"/>
      <c r="TVF20" s="12"/>
      <c r="TVG20" s="13"/>
      <c r="TVH20" s="9"/>
      <c r="TVI20" s="9"/>
      <c r="TVJ20" s="9"/>
      <c r="TVK20" s="9"/>
      <c r="TVL20" s="10"/>
      <c r="TVM20" s="11"/>
      <c r="TVN20" s="12"/>
      <c r="TVO20" s="12"/>
      <c r="TVP20" s="12"/>
      <c r="TVQ20" s="13"/>
      <c r="TVR20" s="9"/>
      <c r="TVS20" s="9"/>
      <c r="TVT20" s="9"/>
      <c r="TVU20" s="9"/>
      <c r="TVV20" s="10"/>
      <c r="TVW20" s="11"/>
      <c r="TVX20" s="12"/>
      <c r="TVY20" s="12"/>
      <c r="TVZ20" s="12"/>
      <c r="TWA20" s="13"/>
      <c r="TWB20" s="9"/>
      <c r="TWC20" s="9"/>
      <c r="TWD20" s="9"/>
      <c r="TWE20" s="9"/>
      <c r="TWF20" s="10"/>
      <c r="TWG20" s="11"/>
      <c r="TWH20" s="12"/>
      <c r="TWI20" s="12"/>
      <c r="TWJ20" s="12"/>
      <c r="TWK20" s="13"/>
      <c r="TWL20" s="9"/>
      <c r="TWM20" s="9"/>
      <c r="TWN20" s="9"/>
      <c r="TWO20" s="9"/>
      <c r="TWP20" s="10"/>
      <c r="TWQ20" s="11"/>
      <c r="TWR20" s="12"/>
      <c r="TWS20" s="12"/>
      <c r="TWT20" s="12"/>
      <c r="TWU20" s="13"/>
      <c r="TWV20" s="9"/>
      <c r="TWW20" s="9"/>
      <c r="TWX20" s="9"/>
      <c r="TWY20" s="9"/>
      <c r="TWZ20" s="10"/>
      <c r="TXA20" s="11"/>
      <c r="TXB20" s="12"/>
      <c r="TXC20" s="12"/>
      <c r="TXD20" s="12"/>
      <c r="TXE20" s="13"/>
      <c r="TXF20" s="9"/>
      <c r="TXG20" s="9"/>
      <c r="TXH20" s="9"/>
      <c r="TXI20" s="9"/>
      <c r="TXJ20" s="10"/>
      <c r="TXK20" s="11"/>
      <c r="TXL20" s="12"/>
      <c r="TXM20" s="12"/>
      <c r="TXN20" s="12"/>
      <c r="TXO20" s="13"/>
      <c r="TXP20" s="9"/>
      <c r="TXQ20" s="9"/>
      <c r="TXR20" s="9"/>
      <c r="TXS20" s="9"/>
      <c r="TXT20" s="10"/>
      <c r="TXU20" s="11"/>
      <c r="TXV20" s="12"/>
      <c r="TXW20" s="12"/>
      <c r="TXX20" s="12"/>
      <c r="TXY20" s="13"/>
      <c r="TXZ20" s="9"/>
      <c r="TYA20" s="9"/>
      <c r="TYB20" s="9"/>
      <c r="TYC20" s="9"/>
      <c r="TYD20" s="10"/>
      <c r="TYE20" s="11"/>
      <c r="TYF20" s="12"/>
      <c r="TYG20" s="12"/>
      <c r="TYH20" s="12"/>
      <c r="TYI20" s="13"/>
      <c r="TYJ20" s="9"/>
      <c r="TYK20" s="9"/>
      <c r="TYL20" s="9"/>
      <c r="TYM20" s="9"/>
      <c r="TYN20" s="10"/>
      <c r="TYO20" s="11"/>
      <c r="TYP20" s="12"/>
      <c r="TYQ20" s="12"/>
      <c r="TYR20" s="12"/>
      <c r="TYS20" s="13"/>
      <c r="TYT20" s="9"/>
      <c r="TYU20" s="9"/>
      <c r="TYV20" s="9"/>
      <c r="TYW20" s="9"/>
      <c r="TYX20" s="10"/>
      <c r="TYY20" s="11"/>
      <c r="TYZ20" s="12"/>
      <c r="TZA20" s="12"/>
      <c r="TZB20" s="12"/>
      <c r="TZC20" s="13"/>
      <c r="TZD20" s="9"/>
      <c r="TZE20" s="9"/>
      <c r="TZF20" s="9"/>
      <c r="TZG20" s="9"/>
      <c r="TZH20" s="10"/>
      <c r="TZI20" s="11"/>
      <c r="TZJ20" s="12"/>
      <c r="TZK20" s="12"/>
      <c r="TZL20" s="12"/>
      <c r="TZM20" s="13"/>
      <c r="TZN20" s="9"/>
      <c r="TZO20" s="9"/>
      <c r="TZP20" s="9"/>
      <c r="TZQ20" s="9"/>
      <c r="TZR20" s="10"/>
      <c r="TZS20" s="11"/>
      <c r="TZT20" s="12"/>
      <c r="TZU20" s="12"/>
      <c r="TZV20" s="12"/>
      <c r="TZW20" s="13"/>
      <c r="TZX20" s="9"/>
      <c r="TZY20" s="9"/>
      <c r="TZZ20" s="9"/>
      <c r="UAA20" s="9"/>
      <c r="UAB20" s="10"/>
      <c r="UAC20" s="11"/>
      <c r="UAD20" s="12"/>
      <c r="UAE20" s="12"/>
      <c r="UAF20" s="12"/>
      <c r="UAG20" s="13"/>
      <c r="UAH20" s="9"/>
      <c r="UAI20" s="9"/>
      <c r="UAJ20" s="9"/>
      <c r="UAK20" s="9"/>
      <c r="UAL20" s="10"/>
      <c r="UAM20" s="11"/>
      <c r="UAN20" s="12"/>
      <c r="UAO20" s="12"/>
      <c r="UAP20" s="12"/>
      <c r="UAQ20" s="13"/>
      <c r="UAR20" s="9"/>
      <c r="UAS20" s="9"/>
      <c r="UAT20" s="9"/>
      <c r="UAU20" s="9"/>
      <c r="UAV20" s="10"/>
      <c r="UAW20" s="11"/>
      <c r="UAX20" s="12"/>
      <c r="UAY20" s="12"/>
      <c r="UAZ20" s="12"/>
      <c r="UBA20" s="13"/>
      <c r="UBB20" s="9"/>
      <c r="UBC20" s="9"/>
      <c r="UBD20" s="9"/>
      <c r="UBE20" s="9"/>
      <c r="UBF20" s="10"/>
      <c r="UBG20" s="11"/>
      <c r="UBH20" s="12"/>
      <c r="UBI20" s="12"/>
      <c r="UBJ20" s="12"/>
      <c r="UBK20" s="13"/>
      <c r="UBL20" s="9"/>
      <c r="UBM20" s="9"/>
      <c r="UBN20" s="9"/>
      <c r="UBO20" s="9"/>
      <c r="UBP20" s="10"/>
      <c r="UBQ20" s="11"/>
      <c r="UBR20" s="12"/>
      <c r="UBS20" s="12"/>
      <c r="UBT20" s="12"/>
      <c r="UBU20" s="13"/>
      <c r="UBV20" s="9"/>
      <c r="UBW20" s="9"/>
      <c r="UBX20" s="9"/>
      <c r="UBY20" s="9"/>
      <c r="UBZ20" s="10"/>
      <c r="UCA20" s="11"/>
      <c r="UCB20" s="12"/>
      <c r="UCC20" s="12"/>
      <c r="UCD20" s="12"/>
      <c r="UCE20" s="13"/>
      <c r="UCF20" s="9"/>
      <c r="UCG20" s="9"/>
      <c r="UCH20" s="9"/>
      <c r="UCI20" s="9"/>
      <c r="UCJ20" s="10"/>
      <c r="UCK20" s="11"/>
      <c r="UCL20" s="12"/>
      <c r="UCM20" s="12"/>
      <c r="UCN20" s="12"/>
      <c r="UCO20" s="13"/>
      <c r="UCP20" s="9"/>
      <c r="UCQ20" s="9"/>
      <c r="UCR20" s="9"/>
      <c r="UCS20" s="9"/>
      <c r="UCT20" s="10"/>
      <c r="UCU20" s="11"/>
      <c r="UCV20" s="12"/>
      <c r="UCW20" s="12"/>
      <c r="UCX20" s="12"/>
      <c r="UCY20" s="13"/>
      <c r="UCZ20" s="9"/>
      <c r="UDA20" s="9"/>
      <c r="UDB20" s="9"/>
      <c r="UDC20" s="9"/>
      <c r="UDD20" s="10"/>
      <c r="UDE20" s="11"/>
      <c r="UDF20" s="12"/>
      <c r="UDG20" s="12"/>
      <c r="UDH20" s="12"/>
      <c r="UDI20" s="13"/>
      <c r="UDJ20" s="9"/>
      <c r="UDK20" s="9"/>
      <c r="UDL20" s="9"/>
      <c r="UDM20" s="9"/>
      <c r="UDN20" s="10"/>
      <c r="UDO20" s="11"/>
      <c r="UDP20" s="12"/>
      <c r="UDQ20" s="12"/>
      <c r="UDR20" s="12"/>
      <c r="UDS20" s="13"/>
      <c r="UDT20" s="9"/>
      <c r="UDU20" s="9"/>
      <c r="UDV20" s="9"/>
      <c r="UDW20" s="9"/>
      <c r="UDX20" s="10"/>
      <c r="UDY20" s="11"/>
      <c r="UDZ20" s="12"/>
      <c r="UEA20" s="12"/>
      <c r="UEB20" s="12"/>
      <c r="UEC20" s="13"/>
      <c r="UED20" s="9"/>
      <c r="UEE20" s="9"/>
      <c r="UEF20" s="9"/>
      <c r="UEG20" s="9"/>
      <c r="UEH20" s="10"/>
      <c r="UEI20" s="11"/>
      <c r="UEJ20" s="12"/>
      <c r="UEK20" s="12"/>
      <c r="UEL20" s="12"/>
      <c r="UEM20" s="13"/>
      <c r="UEN20" s="9"/>
      <c r="UEO20" s="9"/>
      <c r="UEP20" s="9"/>
      <c r="UEQ20" s="9"/>
      <c r="UER20" s="10"/>
      <c r="UES20" s="11"/>
      <c r="UET20" s="12"/>
      <c r="UEU20" s="12"/>
      <c r="UEV20" s="12"/>
      <c r="UEW20" s="13"/>
      <c r="UEX20" s="9"/>
      <c r="UEY20" s="9"/>
      <c r="UEZ20" s="9"/>
      <c r="UFA20" s="9"/>
      <c r="UFB20" s="10"/>
      <c r="UFC20" s="11"/>
      <c r="UFD20" s="12"/>
      <c r="UFE20" s="12"/>
      <c r="UFF20" s="12"/>
      <c r="UFG20" s="13"/>
      <c r="UFH20" s="9"/>
      <c r="UFI20" s="9"/>
      <c r="UFJ20" s="9"/>
      <c r="UFK20" s="9"/>
      <c r="UFL20" s="10"/>
      <c r="UFM20" s="11"/>
      <c r="UFN20" s="12"/>
      <c r="UFO20" s="12"/>
      <c r="UFP20" s="12"/>
      <c r="UFQ20" s="13"/>
      <c r="UFR20" s="9"/>
      <c r="UFS20" s="9"/>
      <c r="UFT20" s="9"/>
      <c r="UFU20" s="9"/>
      <c r="UFV20" s="10"/>
      <c r="UFW20" s="11"/>
      <c r="UFX20" s="12"/>
      <c r="UFY20" s="12"/>
      <c r="UFZ20" s="12"/>
      <c r="UGA20" s="13"/>
      <c r="UGB20" s="9"/>
      <c r="UGC20" s="9"/>
      <c r="UGD20" s="9"/>
      <c r="UGE20" s="9"/>
      <c r="UGF20" s="10"/>
      <c r="UGG20" s="11"/>
      <c r="UGH20" s="12"/>
      <c r="UGI20" s="12"/>
      <c r="UGJ20" s="12"/>
      <c r="UGK20" s="13"/>
      <c r="UGL20" s="9"/>
      <c r="UGM20" s="9"/>
      <c r="UGN20" s="9"/>
      <c r="UGO20" s="9"/>
      <c r="UGP20" s="10"/>
      <c r="UGQ20" s="11"/>
      <c r="UGR20" s="12"/>
      <c r="UGS20" s="12"/>
      <c r="UGT20" s="12"/>
      <c r="UGU20" s="13"/>
      <c r="UGV20" s="9"/>
      <c r="UGW20" s="9"/>
      <c r="UGX20" s="9"/>
      <c r="UGY20" s="9"/>
      <c r="UGZ20" s="10"/>
      <c r="UHA20" s="11"/>
      <c r="UHB20" s="12"/>
      <c r="UHC20" s="12"/>
      <c r="UHD20" s="12"/>
      <c r="UHE20" s="13"/>
      <c r="UHF20" s="9"/>
      <c r="UHG20" s="9"/>
      <c r="UHH20" s="9"/>
      <c r="UHI20" s="9"/>
      <c r="UHJ20" s="10"/>
      <c r="UHK20" s="11"/>
      <c r="UHL20" s="12"/>
      <c r="UHM20" s="12"/>
      <c r="UHN20" s="12"/>
      <c r="UHO20" s="13"/>
      <c r="UHP20" s="9"/>
      <c r="UHQ20" s="9"/>
      <c r="UHR20" s="9"/>
      <c r="UHS20" s="9"/>
      <c r="UHT20" s="10"/>
      <c r="UHU20" s="11"/>
      <c r="UHV20" s="12"/>
      <c r="UHW20" s="12"/>
      <c r="UHX20" s="12"/>
      <c r="UHY20" s="13"/>
      <c r="UHZ20" s="9"/>
      <c r="UIA20" s="9"/>
      <c r="UIB20" s="9"/>
      <c r="UIC20" s="9"/>
      <c r="UID20" s="10"/>
      <c r="UIE20" s="11"/>
      <c r="UIF20" s="12"/>
      <c r="UIG20" s="12"/>
      <c r="UIH20" s="12"/>
      <c r="UII20" s="13"/>
      <c r="UIJ20" s="9"/>
      <c r="UIK20" s="9"/>
      <c r="UIL20" s="9"/>
      <c r="UIM20" s="9"/>
      <c r="UIN20" s="10"/>
      <c r="UIO20" s="11"/>
      <c r="UIP20" s="12"/>
      <c r="UIQ20" s="12"/>
      <c r="UIR20" s="12"/>
      <c r="UIS20" s="13"/>
      <c r="UIT20" s="9"/>
      <c r="UIU20" s="9"/>
      <c r="UIV20" s="9"/>
      <c r="UIW20" s="9"/>
      <c r="UIX20" s="10"/>
      <c r="UIY20" s="11"/>
      <c r="UIZ20" s="12"/>
      <c r="UJA20" s="12"/>
      <c r="UJB20" s="12"/>
      <c r="UJC20" s="13"/>
      <c r="UJD20" s="9"/>
      <c r="UJE20" s="9"/>
      <c r="UJF20" s="9"/>
      <c r="UJG20" s="9"/>
      <c r="UJH20" s="10"/>
      <c r="UJI20" s="11"/>
      <c r="UJJ20" s="12"/>
      <c r="UJK20" s="12"/>
      <c r="UJL20" s="12"/>
      <c r="UJM20" s="13"/>
      <c r="UJN20" s="9"/>
      <c r="UJO20" s="9"/>
      <c r="UJP20" s="9"/>
      <c r="UJQ20" s="9"/>
      <c r="UJR20" s="10"/>
      <c r="UJS20" s="11"/>
      <c r="UJT20" s="12"/>
      <c r="UJU20" s="12"/>
      <c r="UJV20" s="12"/>
      <c r="UJW20" s="13"/>
      <c r="UJX20" s="9"/>
      <c r="UJY20" s="9"/>
      <c r="UJZ20" s="9"/>
      <c r="UKA20" s="9"/>
      <c r="UKB20" s="10"/>
      <c r="UKC20" s="11"/>
      <c r="UKD20" s="12"/>
      <c r="UKE20" s="12"/>
      <c r="UKF20" s="12"/>
      <c r="UKG20" s="13"/>
      <c r="UKH20" s="9"/>
      <c r="UKI20" s="9"/>
      <c r="UKJ20" s="9"/>
      <c r="UKK20" s="9"/>
      <c r="UKL20" s="10"/>
      <c r="UKM20" s="11"/>
      <c r="UKN20" s="12"/>
      <c r="UKO20" s="12"/>
      <c r="UKP20" s="12"/>
      <c r="UKQ20" s="13"/>
      <c r="UKR20" s="9"/>
      <c r="UKS20" s="9"/>
      <c r="UKT20" s="9"/>
      <c r="UKU20" s="9"/>
      <c r="UKV20" s="10"/>
      <c r="UKW20" s="11"/>
      <c r="UKX20" s="12"/>
      <c r="UKY20" s="12"/>
      <c r="UKZ20" s="12"/>
      <c r="ULA20" s="13"/>
      <c r="ULB20" s="9"/>
      <c r="ULC20" s="9"/>
      <c r="ULD20" s="9"/>
      <c r="ULE20" s="9"/>
      <c r="ULF20" s="10"/>
      <c r="ULG20" s="11"/>
      <c r="ULH20" s="12"/>
      <c r="ULI20" s="12"/>
      <c r="ULJ20" s="12"/>
      <c r="ULK20" s="13"/>
      <c r="ULL20" s="9"/>
      <c r="ULM20" s="9"/>
      <c r="ULN20" s="9"/>
      <c r="ULO20" s="9"/>
      <c r="ULP20" s="10"/>
      <c r="ULQ20" s="11"/>
      <c r="ULR20" s="12"/>
      <c r="ULS20" s="12"/>
      <c r="ULT20" s="12"/>
      <c r="ULU20" s="13"/>
      <c r="ULV20" s="9"/>
      <c r="ULW20" s="9"/>
      <c r="ULX20" s="9"/>
      <c r="ULY20" s="9"/>
      <c r="ULZ20" s="10"/>
      <c r="UMA20" s="11"/>
      <c r="UMB20" s="12"/>
      <c r="UMC20" s="12"/>
      <c r="UMD20" s="12"/>
      <c r="UME20" s="13"/>
      <c r="UMF20" s="9"/>
      <c r="UMG20" s="9"/>
      <c r="UMH20" s="9"/>
      <c r="UMI20" s="9"/>
      <c r="UMJ20" s="10"/>
      <c r="UMK20" s="11"/>
      <c r="UML20" s="12"/>
      <c r="UMM20" s="12"/>
      <c r="UMN20" s="12"/>
      <c r="UMO20" s="13"/>
      <c r="UMP20" s="9"/>
      <c r="UMQ20" s="9"/>
      <c r="UMR20" s="9"/>
      <c r="UMS20" s="9"/>
      <c r="UMT20" s="10"/>
      <c r="UMU20" s="11"/>
      <c r="UMV20" s="12"/>
      <c r="UMW20" s="12"/>
      <c r="UMX20" s="12"/>
      <c r="UMY20" s="13"/>
      <c r="UMZ20" s="9"/>
      <c r="UNA20" s="9"/>
      <c r="UNB20" s="9"/>
      <c r="UNC20" s="9"/>
      <c r="UND20" s="10"/>
      <c r="UNE20" s="11"/>
      <c r="UNF20" s="12"/>
      <c r="UNG20" s="12"/>
      <c r="UNH20" s="12"/>
      <c r="UNI20" s="13"/>
      <c r="UNJ20" s="9"/>
      <c r="UNK20" s="9"/>
      <c r="UNL20" s="9"/>
      <c r="UNM20" s="9"/>
      <c r="UNN20" s="10"/>
      <c r="UNO20" s="11"/>
      <c r="UNP20" s="12"/>
      <c r="UNQ20" s="12"/>
      <c r="UNR20" s="12"/>
      <c r="UNS20" s="13"/>
      <c r="UNT20" s="9"/>
      <c r="UNU20" s="9"/>
      <c r="UNV20" s="9"/>
      <c r="UNW20" s="9"/>
      <c r="UNX20" s="10"/>
      <c r="UNY20" s="11"/>
      <c r="UNZ20" s="12"/>
      <c r="UOA20" s="12"/>
      <c r="UOB20" s="12"/>
      <c r="UOC20" s="13"/>
      <c r="UOD20" s="9"/>
      <c r="UOE20" s="9"/>
      <c r="UOF20" s="9"/>
      <c r="UOG20" s="9"/>
      <c r="UOH20" s="10"/>
      <c r="UOI20" s="11"/>
      <c r="UOJ20" s="12"/>
      <c r="UOK20" s="12"/>
      <c r="UOL20" s="12"/>
      <c r="UOM20" s="13"/>
      <c r="UON20" s="9"/>
      <c r="UOO20" s="9"/>
      <c r="UOP20" s="9"/>
      <c r="UOQ20" s="9"/>
      <c r="UOR20" s="10"/>
      <c r="UOS20" s="11"/>
      <c r="UOT20" s="12"/>
      <c r="UOU20" s="12"/>
      <c r="UOV20" s="12"/>
      <c r="UOW20" s="13"/>
      <c r="UOX20" s="9"/>
      <c r="UOY20" s="9"/>
      <c r="UOZ20" s="9"/>
      <c r="UPA20" s="9"/>
      <c r="UPB20" s="10"/>
      <c r="UPC20" s="11"/>
      <c r="UPD20" s="12"/>
      <c r="UPE20" s="12"/>
      <c r="UPF20" s="12"/>
      <c r="UPG20" s="13"/>
      <c r="UPH20" s="9"/>
      <c r="UPI20" s="9"/>
      <c r="UPJ20" s="9"/>
      <c r="UPK20" s="9"/>
      <c r="UPL20" s="10"/>
      <c r="UPM20" s="11"/>
      <c r="UPN20" s="12"/>
      <c r="UPO20" s="12"/>
      <c r="UPP20" s="12"/>
      <c r="UPQ20" s="13"/>
      <c r="UPR20" s="9"/>
      <c r="UPS20" s="9"/>
      <c r="UPT20" s="9"/>
      <c r="UPU20" s="9"/>
      <c r="UPV20" s="10"/>
      <c r="UPW20" s="11"/>
      <c r="UPX20" s="12"/>
      <c r="UPY20" s="12"/>
      <c r="UPZ20" s="12"/>
      <c r="UQA20" s="13"/>
      <c r="UQB20" s="9"/>
      <c r="UQC20" s="9"/>
      <c r="UQD20" s="9"/>
      <c r="UQE20" s="9"/>
      <c r="UQF20" s="10"/>
      <c r="UQG20" s="11"/>
      <c r="UQH20" s="12"/>
      <c r="UQI20" s="12"/>
      <c r="UQJ20" s="12"/>
      <c r="UQK20" s="13"/>
      <c r="UQL20" s="9"/>
      <c r="UQM20" s="9"/>
      <c r="UQN20" s="9"/>
      <c r="UQO20" s="9"/>
      <c r="UQP20" s="10"/>
      <c r="UQQ20" s="11"/>
      <c r="UQR20" s="12"/>
      <c r="UQS20" s="12"/>
      <c r="UQT20" s="12"/>
      <c r="UQU20" s="13"/>
      <c r="UQV20" s="9"/>
      <c r="UQW20" s="9"/>
      <c r="UQX20" s="9"/>
      <c r="UQY20" s="9"/>
      <c r="UQZ20" s="10"/>
      <c r="URA20" s="11"/>
      <c r="URB20" s="12"/>
      <c r="URC20" s="12"/>
      <c r="URD20" s="12"/>
      <c r="URE20" s="13"/>
      <c r="URF20" s="9"/>
      <c r="URG20" s="9"/>
      <c r="URH20" s="9"/>
      <c r="URI20" s="9"/>
      <c r="URJ20" s="10"/>
      <c r="URK20" s="11"/>
      <c r="URL20" s="12"/>
      <c r="URM20" s="12"/>
      <c r="URN20" s="12"/>
      <c r="URO20" s="13"/>
      <c r="URP20" s="9"/>
      <c r="URQ20" s="9"/>
      <c r="URR20" s="9"/>
      <c r="URS20" s="9"/>
      <c r="URT20" s="10"/>
      <c r="URU20" s="11"/>
      <c r="URV20" s="12"/>
      <c r="URW20" s="12"/>
      <c r="URX20" s="12"/>
      <c r="URY20" s="13"/>
      <c r="URZ20" s="9"/>
      <c r="USA20" s="9"/>
      <c r="USB20" s="9"/>
      <c r="USC20" s="9"/>
      <c r="USD20" s="10"/>
      <c r="USE20" s="11"/>
      <c r="USF20" s="12"/>
      <c r="USG20" s="12"/>
      <c r="USH20" s="12"/>
      <c r="USI20" s="13"/>
      <c r="USJ20" s="9"/>
      <c r="USK20" s="9"/>
      <c r="USL20" s="9"/>
      <c r="USM20" s="9"/>
      <c r="USN20" s="10"/>
      <c r="USO20" s="11"/>
      <c r="USP20" s="12"/>
      <c r="USQ20" s="12"/>
      <c r="USR20" s="12"/>
      <c r="USS20" s="13"/>
      <c r="UST20" s="9"/>
      <c r="USU20" s="9"/>
      <c r="USV20" s="9"/>
      <c r="USW20" s="9"/>
      <c r="USX20" s="10"/>
      <c r="USY20" s="11"/>
      <c r="USZ20" s="12"/>
      <c r="UTA20" s="12"/>
      <c r="UTB20" s="12"/>
      <c r="UTC20" s="13"/>
      <c r="UTD20" s="9"/>
      <c r="UTE20" s="9"/>
      <c r="UTF20" s="9"/>
      <c r="UTG20" s="9"/>
      <c r="UTH20" s="10"/>
      <c r="UTI20" s="11"/>
      <c r="UTJ20" s="12"/>
      <c r="UTK20" s="12"/>
      <c r="UTL20" s="12"/>
      <c r="UTM20" s="13"/>
      <c r="UTN20" s="9"/>
      <c r="UTO20" s="9"/>
      <c r="UTP20" s="9"/>
      <c r="UTQ20" s="9"/>
      <c r="UTR20" s="10"/>
      <c r="UTS20" s="11"/>
      <c r="UTT20" s="12"/>
      <c r="UTU20" s="12"/>
      <c r="UTV20" s="12"/>
      <c r="UTW20" s="13"/>
      <c r="UTX20" s="9"/>
      <c r="UTY20" s="9"/>
      <c r="UTZ20" s="9"/>
      <c r="UUA20" s="9"/>
      <c r="UUB20" s="10"/>
      <c r="UUC20" s="11"/>
      <c r="UUD20" s="12"/>
      <c r="UUE20" s="12"/>
      <c r="UUF20" s="12"/>
      <c r="UUG20" s="13"/>
      <c r="UUH20" s="9"/>
      <c r="UUI20" s="9"/>
      <c r="UUJ20" s="9"/>
      <c r="UUK20" s="9"/>
      <c r="UUL20" s="10"/>
      <c r="UUM20" s="11"/>
      <c r="UUN20" s="12"/>
      <c r="UUO20" s="12"/>
      <c r="UUP20" s="12"/>
      <c r="UUQ20" s="13"/>
      <c r="UUR20" s="9"/>
      <c r="UUS20" s="9"/>
      <c r="UUT20" s="9"/>
      <c r="UUU20" s="9"/>
      <c r="UUV20" s="10"/>
      <c r="UUW20" s="11"/>
      <c r="UUX20" s="12"/>
      <c r="UUY20" s="12"/>
      <c r="UUZ20" s="12"/>
      <c r="UVA20" s="13"/>
      <c r="UVB20" s="9"/>
      <c r="UVC20" s="9"/>
      <c r="UVD20" s="9"/>
      <c r="UVE20" s="9"/>
      <c r="UVF20" s="10"/>
      <c r="UVG20" s="11"/>
      <c r="UVH20" s="12"/>
      <c r="UVI20" s="12"/>
      <c r="UVJ20" s="12"/>
      <c r="UVK20" s="13"/>
      <c r="UVL20" s="9"/>
      <c r="UVM20" s="9"/>
      <c r="UVN20" s="9"/>
      <c r="UVO20" s="9"/>
      <c r="UVP20" s="10"/>
      <c r="UVQ20" s="11"/>
      <c r="UVR20" s="12"/>
      <c r="UVS20" s="12"/>
      <c r="UVT20" s="12"/>
      <c r="UVU20" s="13"/>
      <c r="UVV20" s="9"/>
      <c r="UVW20" s="9"/>
      <c r="UVX20" s="9"/>
      <c r="UVY20" s="9"/>
      <c r="UVZ20" s="10"/>
      <c r="UWA20" s="11"/>
      <c r="UWB20" s="12"/>
      <c r="UWC20" s="12"/>
      <c r="UWD20" s="12"/>
      <c r="UWE20" s="13"/>
      <c r="UWF20" s="9"/>
      <c r="UWG20" s="9"/>
      <c r="UWH20" s="9"/>
      <c r="UWI20" s="9"/>
      <c r="UWJ20" s="10"/>
      <c r="UWK20" s="11"/>
      <c r="UWL20" s="12"/>
      <c r="UWM20" s="12"/>
      <c r="UWN20" s="12"/>
      <c r="UWO20" s="13"/>
      <c r="UWP20" s="9"/>
      <c r="UWQ20" s="9"/>
      <c r="UWR20" s="9"/>
      <c r="UWS20" s="9"/>
      <c r="UWT20" s="10"/>
      <c r="UWU20" s="11"/>
      <c r="UWV20" s="12"/>
      <c r="UWW20" s="12"/>
      <c r="UWX20" s="12"/>
      <c r="UWY20" s="13"/>
      <c r="UWZ20" s="9"/>
      <c r="UXA20" s="9"/>
      <c r="UXB20" s="9"/>
      <c r="UXC20" s="9"/>
      <c r="UXD20" s="10"/>
      <c r="UXE20" s="11"/>
      <c r="UXF20" s="12"/>
      <c r="UXG20" s="12"/>
      <c r="UXH20" s="12"/>
      <c r="UXI20" s="13"/>
      <c r="UXJ20" s="9"/>
      <c r="UXK20" s="9"/>
      <c r="UXL20" s="9"/>
      <c r="UXM20" s="9"/>
      <c r="UXN20" s="10"/>
      <c r="UXO20" s="11"/>
      <c r="UXP20" s="12"/>
      <c r="UXQ20" s="12"/>
      <c r="UXR20" s="12"/>
      <c r="UXS20" s="13"/>
      <c r="UXT20" s="9"/>
      <c r="UXU20" s="9"/>
      <c r="UXV20" s="9"/>
      <c r="UXW20" s="9"/>
      <c r="UXX20" s="10"/>
      <c r="UXY20" s="11"/>
      <c r="UXZ20" s="12"/>
      <c r="UYA20" s="12"/>
      <c r="UYB20" s="12"/>
      <c r="UYC20" s="13"/>
      <c r="UYD20" s="9"/>
      <c r="UYE20" s="9"/>
      <c r="UYF20" s="9"/>
      <c r="UYG20" s="9"/>
      <c r="UYH20" s="10"/>
      <c r="UYI20" s="11"/>
      <c r="UYJ20" s="12"/>
      <c r="UYK20" s="12"/>
      <c r="UYL20" s="12"/>
      <c r="UYM20" s="13"/>
      <c r="UYN20" s="9"/>
      <c r="UYO20" s="9"/>
      <c r="UYP20" s="9"/>
      <c r="UYQ20" s="9"/>
      <c r="UYR20" s="10"/>
      <c r="UYS20" s="11"/>
      <c r="UYT20" s="12"/>
      <c r="UYU20" s="12"/>
      <c r="UYV20" s="12"/>
      <c r="UYW20" s="13"/>
      <c r="UYX20" s="9"/>
      <c r="UYY20" s="9"/>
      <c r="UYZ20" s="9"/>
      <c r="UZA20" s="9"/>
      <c r="UZB20" s="10"/>
      <c r="UZC20" s="11"/>
      <c r="UZD20" s="12"/>
      <c r="UZE20" s="12"/>
      <c r="UZF20" s="12"/>
      <c r="UZG20" s="13"/>
      <c r="UZH20" s="9"/>
      <c r="UZI20" s="9"/>
      <c r="UZJ20" s="9"/>
      <c r="UZK20" s="9"/>
      <c r="UZL20" s="10"/>
      <c r="UZM20" s="11"/>
      <c r="UZN20" s="12"/>
      <c r="UZO20" s="12"/>
      <c r="UZP20" s="12"/>
      <c r="UZQ20" s="13"/>
      <c r="UZR20" s="9"/>
      <c r="UZS20" s="9"/>
      <c r="UZT20" s="9"/>
      <c r="UZU20" s="9"/>
      <c r="UZV20" s="10"/>
      <c r="UZW20" s="11"/>
      <c r="UZX20" s="12"/>
      <c r="UZY20" s="12"/>
      <c r="UZZ20" s="12"/>
      <c r="VAA20" s="13"/>
      <c r="VAB20" s="9"/>
      <c r="VAC20" s="9"/>
      <c r="VAD20" s="9"/>
      <c r="VAE20" s="9"/>
      <c r="VAF20" s="10"/>
      <c r="VAG20" s="11"/>
      <c r="VAH20" s="12"/>
      <c r="VAI20" s="12"/>
      <c r="VAJ20" s="12"/>
      <c r="VAK20" s="13"/>
      <c r="VAL20" s="9"/>
      <c r="VAM20" s="9"/>
      <c r="VAN20" s="9"/>
      <c r="VAO20" s="9"/>
      <c r="VAP20" s="10"/>
      <c r="VAQ20" s="11"/>
      <c r="VAR20" s="12"/>
      <c r="VAS20" s="12"/>
      <c r="VAT20" s="12"/>
      <c r="VAU20" s="13"/>
      <c r="VAV20" s="9"/>
      <c r="VAW20" s="9"/>
      <c r="VAX20" s="9"/>
      <c r="VAY20" s="9"/>
      <c r="VAZ20" s="10"/>
      <c r="VBA20" s="11"/>
      <c r="VBB20" s="12"/>
      <c r="VBC20" s="12"/>
      <c r="VBD20" s="12"/>
      <c r="VBE20" s="13"/>
      <c r="VBF20" s="9"/>
      <c r="VBG20" s="9"/>
      <c r="VBH20" s="9"/>
      <c r="VBI20" s="9"/>
      <c r="VBJ20" s="10"/>
      <c r="VBK20" s="11"/>
      <c r="VBL20" s="12"/>
      <c r="VBM20" s="12"/>
      <c r="VBN20" s="12"/>
      <c r="VBO20" s="13"/>
      <c r="VBP20" s="9"/>
      <c r="VBQ20" s="9"/>
      <c r="VBR20" s="9"/>
      <c r="VBS20" s="9"/>
      <c r="VBT20" s="10"/>
      <c r="VBU20" s="11"/>
      <c r="VBV20" s="12"/>
      <c r="VBW20" s="12"/>
      <c r="VBX20" s="12"/>
      <c r="VBY20" s="13"/>
      <c r="VBZ20" s="9"/>
      <c r="VCA20" s="9"/>
      <c r="VCB20" s="9"/>
      <c r="VCC20" s="9"/>
      <c r="VCD20" s="10"/>
      <c r="VCE20" s="11"/>
      <c r="VCF20" s="12"/>
      <c r="VCG20" s="12"/>
      <c r="VCH20" s="12"/>
      <c r="VCI20" s="13"/>
      <c r="VCJ20" s="9"/>
      <c r="VCK20" s="9"/>
      <c r="VCL20" s="9"/>
      <c r="VCM20" s="9"/>
      <c r="VCN20" s="10"/>
      <c r="VCO20" s="11"/>
      <c r="VCP20" s="12"/>
      <c r="VCQ20" s="12"/>
      <c r="VCR20" s="12"/>
      <c r="VCS20" s="13"/>
      <c r="VCT20" s="9"/>
      <c r="VCU20" s="9"/>
      <c r="VCV20" s="9"/>
      <c r="VCW20" s="9"/>
      <c r="VCX20" s="10"/>
      <c r="VCY20" s="11"/>
      <c r="VCZ20" s="12"/>
      <c r="VDA20" s="12"/>
      <c r="VDB20" s="12"/>
      <c r="VDC20" s="13"/>
      <c r="VDD20" s="9"/>
      <c r="VDE20" s="9"/>
      <c r="VDF20" s="9"/>
      <c r="VDG20" s="9"/>
      <c r="VDH20" s="10"/>
      <c r="VDI20" s="11"/>
      <c r="VDJ20" s="12"/>
      <c r="VDK20" s="12"/>
      <c r="VDL20" s="12"/>
      <c r="VDM20" s="13"/>
      <c r="VDN20" s="9"/>
      <c r="VDO20" s="9"/>
      <c r="VDP20" s="9"/>
      <c r="VDQ20" s="9"/>
      <c r="VDR20" s="10"/>
      <c r="VDS20" s="11"/>
      <c r="VDT20" s="12"/>
      <c r="VDU20" s="12"/>
      <c r="VDV20" s="12"/>
      <c r="VDW20" s="13"/>
      <c r="VDX20" s="9"/>
      <c r="VDY20" s="9"/>
      <c r="VDZ20" s="9"/>
      <c r="VEA20" s="9"/>
      <c r="VEB20" s="10"/>
      <c r="VEC20" s="11"/>
      <c r="VED20" s="12"/>
      <c r="VEE20" s="12"/>
      <c r="VEF20" s="12"/>
      <c r="VEG20" s="13"/>
      <c r="VEH20" s="9"/>
      <c r="VEI20" s="9"/>
      <c r="VEJ20" s="9"/>
      <c r="VEK20" s="9"/>
      <c r="VEL20" s="10"/>
      <c r="VEM20" s="11"/>
      <c r="VEN20" s="12"/>
      <c r="VEO20" s="12"/>
      <c r="VEP20" s="12"/>
      <c r="VEQ20" s="13"/>
      <c r="VER20" s="9"/>
      <c r="VES20" s="9"/>
      <c r="VET20" s="9"/>
      <c r="VEU20" s="9"/>
      <c r="VEV20" s="10"/>
      <c r="VEW20" s="11"/>
      <c r="VEX20" s="12"/>
      <c r="VEY20" s="12"/>
      <c r="VEZ20" s="12"/>
      <c r="VFA20" s="13"/>
      <c r="VFB20" s="9"/>
      <c r="VFC20" s="9"/>
      <c r="VFD20" s="9"/>
      <c r="VFE20" s="9"/>
      <c r="VFF20" s="10"/>
      <c r="VFG20" s="11"/>
      <c r="VFH20" s="12"/>
      <c r="VFI20" s="12"/>
      <c r="VFJ20" s="12"/>
      <c r="VFK20" s="13"/>
      <c r="VFL20" s="9"/>
      <c r="VFM20" s="9"/>
      <c r="VFN20" s="9"/>
      <c r="VFO20" s="9"/>
      <c r="VFP20" s="10"/>
      <c r="VFQ20" s="11"/>
      <c r="VFR20" s="12"/>
      <c r="VFS20" s="12"/>
      <c r="VFT20" s="12"/>
      <c r="VFU20" s="13"/>
      <c r="VFV20" s="9"/>
      <c r="VFW20" s="9"/>
      <c r="VFX20" s="9"/>
      <c r="VFY20" s="9"/>
      <c r="VFZ20" s="10"/>
      <c r="VGA20" s="11"/>
      <c r="VGB20" s="12"/>
      <c r="VGC20" s="12"/>
      <c r="VGD20" s="12"/>
      <c r="VGE20" s="13"/>
      <c r="VGF20" s="9"/>
      <c r="VGG20" s="9"/>
      <c r="VGH20" s="9"/>
      <c r="VGI20" s="9"/>
      <c r="VGJ20" s="10"/>
      <c r="VGK20" s="11"/>
      <c r="VGL20" s="12"/>
      <c r="VGM20" s="12"/>
      <c r="VGN20" s="12"/>
      <c r="VGO20" s="13"/>
      <c r="VGP20" s="9"/>
      <c r="VGQ20" s="9"/>
      <c r="VGR20" s="9"/>
      <c r="VGS20" s="9"/>
      <c r="VGT20" s="10"/>
      <c r="VGU20" s="11"/>
      <c r="VGV20" s="12"/>
      <c r="VGW20" s="12"/>
      <c r="VGX20" s="12"/>
      <c r="VGY20" s="13"/>
      <c r="VGZ20" s="9"/>
      <c r="VHA20" s="9"/>
      <c r="VHB20" s="9"/>
      <c r="VHC20" s="9"/>
      <c r="VHD20" s="10"/>
      <c r="VHE20" s="11"/>
      <c r="VHF20" s="12"/>
      <c r="VHG20" s="12"/>
      <c r="VHH20" s="12"/>
      <c r="VHI20" s="13"/>
      <c r="VHJ20" s="9"/>
      <c r="VHK20" s="9"/>
      <c r="VHL20" s="9"/>
      <c r="VHM20" s="9"/>
      <c r="VHN20" s="10"/>
      <c r="VHO20" s="11"/>
      <c r="VHP20" s="12"/>
      <c r="VHQ20" s="12"/>
      <c r="VHR20" s="12"/>
      <c r="VHS20" s="13"/>
      <c r="VHT20" s="9"/>
      <c r="VHU20" s="9"/>
      <c r="VHV20" s="9"/>
      <c r="VHW20" s="9"/>
      <c r="VHX20" s="10"/>
      <c r="VHY20" s="11"/>
      <c r="VHZ20" s="12"/>
      <c r="VIA20" s="12"/>
      <c r="VIB20" s="12"/>
      <c r="VIC20" s="13"/>
      <c r="VID20" s="9"/>
      <c r="VIE20" s="9"/>
      <c r="VIF20" s="9"/>
      <c r="VIG20" s="9"/>
      <c r="VIH20" s="10"/>
      <c r="VII20" s="11"/>
      <c r="VIJ20" s="12"/>
      <c r="VIK20" s="12"/>
      <c r="VIL20" s="12"/>
      <c r="VIM20" s="13"/>
      <c r="VIN20" s="9"/>
      <c r="VIO20" s="9"/>
      <c r="VIP20" s="9"/>
      <c r="VIQ20" s="9"/>
      <c r="VIR20" s="10"/>
      <c r="VIS20" s="11"/>
      <c r="VIT20" s="12"/>
      <c r="VIU20" s="12"/>
      <c r="VIV20" s="12"/>
      <c r="VIW20" s="13"/>
      <c r="VIX20" s="9"/>
      <c r="VIY20" s="9"/>
      <c r="VIZ20" s="9"/>
      <c r="VJA20" s="9"/>
      <c r="VJB20" s="10"/>
      <c r="VJC20" s="11"/>
      <c r="VJD20" s="12"/>
      <c r="VJE20" s="12"/>
      <c r="VJF20" s="12"/>
      <c r="VJG20" s="13"/>
      <c r="VJH20" s="9"/>
      <c r="VJI20" s="9"/>
      <c r="VJJ20" s="9"/>
      <c r="VJK20" s="9"/>
      <c r="VJL20" s="10"/>
      <c r="VJM20" s="11"/>
      <c r="VJN20" s="12"/>
      <c r="VJO20" s="12"/>
      <c r="VJP20" s="12"/>
      <c r="VJQ20" s="13"/>
      <c r="VJR20" s="9"/>
      <c r="VJS20" s="9"/>
      <c r="VJT20" s="9"/>
      <c r="VJU20" s="9"/>
      <c r="VJV20" s="10"/>
      <c r="VJW20" s="11"/>
      <c r="VJX20" s="12"/>
      <c r="VJY20" s="12"/>
      <c r="VJZ20" s="12"/>
      <c r="VKA20" s="13"/>
      <c r="VKB20" s="9"/>
      <c r="VKC20" s="9"/>
      <c r="VKD20" s="9"/>
      <c r="VKE20" s="9"/>
      <c r="VKF20" s="10"/>
      <c r="VKG20" s="11"/>
      <c r="VKH20" s="12"/>
      <c r="VKI20" s="12"/>
      <c r="VKJ20" s="12"/>
      <c r="VKK20" s="13"/>
      <c r="VKL20" s="9"/>
      <c r="VKM20" s="9"/>
      <c r="VKN20" s="9"/>
      <c r="VKO20" s="9"/>
      <c r="VKP20" s="10"/>
      <c r="VKQ20" s="11"/>
      <c r="VKR20" s="12"/>
      <c r="VKS20" s="12"/>
      <c r="VKT20" s="12"/>
      <c r="VKU20" s="13"/>
      <c r="VKV20" s="9"/>
      <c r="VKW20" s="9"/>
      <c r="VKX20" s="9"/>
      <c r="VKY20" s="9"/>
      <c r="VKZ20" s="10"/>
      <c r="VLA20" s="11"/>
      <c r="VLB20" s="12"/>
      <c r="VLC20" s="12"/>
      <c r="VLD20" s="12"/>
      <c r="VLE20" s="13"/>
      <c r="VLF20" s="9"/>
      <c r="VLG20" s="9"/>
      <c r="VLH20" s="9"/>
      <c r="VLI20" s="9"/>
      <c r="VLJ20" s="10"/>
      <c r="VLK20" s="11"/>
      <c r="VLL20" s="12"/>
      <c r="VLM20" s="12"/>
      <c r="VLN20" s="12"/>
      <c r="VLO20" s="13"/>
      <c r="VLP20" s="9"/>
      <c r="VLQ20" s="9"/>
      <c r="VLR20" s="9"/>
      <c r="VLS20" s="9"/>
      <c r="VLT20" s="10"/>
      <c r="VLU20" s="11"/>
      <c r="VLV20" s="12"/>
      <c r="VLW20" s="12"/>
      <c r="VLX20" s="12"/>
      <c r="VLY20" s="13"/>
      <c r="VLZ20" s="9"/>
      <c r="VMA20" s="9"/>
      <c r="VMB20" s="9"/>
      <c r="VMC20" s="9"/>
      <c r="VMD20" s="10"/>
      <c r="VME20" s="11"/>
      <c r="VMF20" s="12"/>
      <c r="VMG20" s="12"/>
      <c r="VMH20" s="12"/>
      <c r="VMI20" s="13"/>
      <c r="VMJ20" s="9"/>
      <c r="VMK20" s="9"/>
      <c r="VML20" s="9"/>
      <c r="VMM20" s="9"/>
      <c r="VMN20" s="10"/>
      <c r="VMO20" s="11"/>
      <c r="VMP20" s="12"/>
      <c r="VMQ20" s="12"/>
      <c r="VMR20" s="12"/>
      <c r="VMS20" s="13"/>
      <c r="VMT20" s="9"/>
      <c r="VMU20" s="9"/>
      <c r="VMV20" s="9"/>
      <c r="VMW20" s="9"/>
      <c r="VMX20" s="10"/>
      <c r="VMY20" s="11"/>
      <c r="VMZ20" s="12"/>
      <c r="VNA20" s="12"/>
      <c r="VNB20" s="12"/>
      <c r="VNC20" s="13"/>
      <c r="VND20" s="9"/>
      <c r="VNE20" s="9"/>
      <c r="VNF20" s="9"/>
      <c r="VNG20" s="9"/>
      <c r="VNH20" s="10"/>
      <c r="VNI20" s="11"/>
      <c r="VNJ20" s="12"/>
      <c r="VNK20" s="12"/>
      <c r="VNL20" s="12"/>
      <c r="VNM20" s="13"/>
      <c r="VNN20" s="9"/>
      <c r="VNO20" s="9"/>
      <c r="VNP20" s="9"/>
      <c r="VNQ20" s="9"/>
      <c r="VNR20" s="10"/>
      <c r="VNS20" s="11"/>
      <c r="VNT20" s="12"/>
      <c r="VNU20" s="12"/>
      <c r="VNV20" s="12"/>
      <c r="VNW20" s="13"/>
      <c r="VNX20" s="9"/>
      <c r="VNY20" s="9"/>
      <c r="VNZ20" s="9"/>
      <c r="VOA20" s="9"/>
      <c r="VOB20" s="10"/>
      <c r="VOC20" s="11"/>
      <c r="VOD20" s="12"/>
      <c r="VOE20" s="12"/>
      <c r="VOF20" s="12"/>
      <c r="VOG20" s="13"/>
      <c r="VOH20" s="9"/>
      <c r="VOI20" s="9"/>
      <c r="VOJ20" s="9"/>
      <c r="VOK20" s="9"/>
      <c r="VOL20" s="10"/>
      <c r="VOM20" s="11"/>
      <c r="VON20" s="12"/>
      <c r="VOO20" s="12"/>
      <c r="VOP20" s="12"/>
      <c r="VOQ20" s="13"/>
      <c r="VOR20" s="9"/>
      <c r="VOS20" s="9"/>
      <c r="VOT20" s="9"/>
      <c r="VOU20" s="9"/>
      <c r="VOV20" s="10"/>
      <c r="VOW20" s="11"/>
      <c r="VOX20" s="12"/>
      <c r="VOY20" s="12"/>
      <c r="VOZ20" s="12"/>
      <c r="VPA20" s="13"/>
      <c r="VPB20" s="9"/>
      <c r="VPC20" s="9"/>
      <c r="VPD20" s="9"/>
      <c r="VPE20" s="9"/>
      <c r="VPF20" s="10"/>
      <c r="VPG20" s="11"/>
      <c r="VPH20" s="12"/>
      <c r="VPI20" s="12"/>
      <c r="VPJ20" s="12"/>
      <c r="VPK20" s="13"/>
      <c r="VPL20" s="9"/>
      <c r="VPM20" s="9"/>
      <c r="VPN20" s="9"/>
      <c r="VPO20" s="9"/>
      <c r="VPP20" s="10"/>
      <c r="VPQ20" s="11"/>
      <c r="VPR20" s="12"/>
      <c r="VPS20" s="12"/>
      <c r="VPT20" s="12"/>
      <c r="VPU20" s="13"/>
      <c r="VPV20" s="9"/>
      <c r="VPW20" s="9"/>
      <c r="VPX20" s="9"/>
      <c r="VPY20" s="9"/>
      <c r="VPZ20" s="10"/>
      <c r="VQA20" s="11"/>
      <c r="VQB20" s="12"/>
      <c r="VQC20" s="12"/>
      <c r="VQD20" s="12"/>
      <c r="VQE20" s="13"/>
      <c r="VQF20" s="9"/>
      <c r="VQG20" s="9"/>
      <c r="VQH20" s="9"/>
      <c r="VQI20" s="9"/>
      <c r="VQJ20" s="10"/>
      <c r="VQK20" s="11"/>
      <c r="VQL20" s="12"/>
      <c r="VQM20" s="12"/>
      <c r="VQN20" s="12"/>
      <c r="VQO20" s="13"/>
      <c r="VQP20" s="9"/>
      <c r="VQQ20" s="9"/>
      <c r="VQR20" s="9"/>
      <c r="VQS20" s="9"/>
      <c r="VQT20" s="10"/>
      <c r="VQU20" s="11"/>
      <c r="VQV20" s="12"/>
      <c r="VQW20" s="12"/>
      <c r="VQX20" s="12"/>
      <c r="VQY20" s="13"/>
      <c r="VQZ20" s="9"/>
      <c r="VRA20" s="9"/>
      <c r="VRB20" s="9"/>
      <c r="VRC20" s="9"/>
      <c r="VRD20" s="10"/>
      <c r="VRE20" s="11"/>
      <c r="VRF20" s="12"/>
      <c r="VRG20" s="12"/>
      <c r="VRH20" s="12"/>
      <c r="VRI20" s="13"/>
      <c r="VRJ20" s="9"/>
      <c r="VRK20" s="9"/>
      <c r="VRL20" s="9"/>
      <c r="VRM20" s="9"/>
      <c r="VRN20" s="10"/>
      <c r="VRO20" s="11"/>
      <c r="VRP20" s="12"/>
      <c r="VRQ20" s="12"/>
      <c r="VRR20" s="12"/>
      <c r="VRS20" s="13"/>
      <c r="VRT20" s="9"/>
      <c r="VRU20" s="9"/>
      <c r="VRV20" s="9"/>
      <c r="VRW20" s="9"/>
      <c r="VRX20" s="10"/>
      <c r="VRY20" s="11"/>
      <c r="VRZ20" s="12"/>
      <c r="VSA20" s="12"/>
      <c r="VSB20" s="12"/>
      <c r="VSC20" s="13"/>
      <c r="VSD20" s="9"/>
      <c r="VSE20" s="9"/>
      <c r="VSF20" s="9"/>
      <c r="VSG20" s="9"/>
      <c r="VSH20" s="10"/>
      <c r="VSI20" s="11"/>
      <c r="VSJ20" s="12"/>
      <c r="VSK20" s="12"/>
      <c r="VSL20" s="12"/>
      <c r="VSM20" s="13"/>
      <c r="VSN20" s="9"/>
      <c r="VSO20" s="9"/>
      <c r="VSP20" s="9"/>
      <c r="VSQ20" s="9"/>
      <c r="VSR20" s="10"/>
      <c r="VSS20" s="11"/>
      <c r="VST20" s="12"/>
      <c r="VSU20" s="12"/>
      <c r="VSV20" s="12"/>
      <c r="VSW20" s="13"/>
      <c r="VSX20" s="9"/>
      <c r="VSY20" s="9"/>
      <c r="VSZ20" s="9"/>
      <c r="VTA20" s="9"/>
      <c r="VTB20" s="10"/>
      <c r="VTC20" s="11"/>
      <c r="VTD20" s="12"/>
      <c r="VTE20" s="12"/>
      <c r="VTF20" s="12"/>
      <c r="VTG20" s="13"/>
      <c r="VTH20" s="9"/>
      <c r="VTI20" s="9"/>
      <c r="VTJ20" s="9"/>
      <c r="VTK20" s="9"/>
      <c r="VTL20" s="10"/>
      <c r="VTM20" s="11"/>
      <c r="VTN20" s="12"/>
      <c r="VTO20" s="12"/>
      <c r="VTP20" s="12"/>
      <c r="VTQ20" s="13"/>
      <c r="VTR20" s="9"/>
      <c r="VTS20" s="9"/>
      <c r="VTT20" s="9"/>
      <c r="VTU20" s="9"/>
      <c r="VTV20" s="10"/>
      <c r="VTW20" s="11"/>
      <c r="VTX20" s="12"/>
      <c r="VTY20" s="12"/>
      <c r="VTZ20" s="12"/>
      <c r="VUA20" s="13"/>
      <c r="VUB20" s="9"/>
      <c r="VUC20" s="9"/>
      <c r="VUD20" s="9"/>
      <c r="VUE20" s="9"/>
      <c r="VUF20" s="10"/>
      <c r="VUG20" s="11"/>
      <c r="VUH20" s="12"/>
      <c r="VUI20" s="12"/>
      <c r="VUJ20" s="12"/>
      <c r="VUK20" s="13"/>
      <c r="VUL20" s="9"/>
      <c r="VUM20" s="9"/>
      <c r="VUN20" s="9"/>
      <c r="VUO20" s="9"/>
      <c r="VUP20" s="10"/>
      <c r="VUQ20" s="11"/>
      <c r="VUR20" s="12"/>
      <c r="VUS20" s="12"/>
      <c r="VUT20" s="12"/>
      <c r="VUU20" s="13"/>
      <c r="VUV20" s="9"/>
      <c r="VUW20" s="9"/>
      <c r="VUX20" s="9"/>
      <c r="VUY20" s="9"/>
      <c r="VUZ20" s="10"/>
      <c r="VVA20" s="11"/>
      <c r="VVB20" s="12"/>
      <c r="VVC20" s="12"/>
      <c r="VVD20" s="12"/>
      <c r="VVE20" s="13"/>
      <c r="VVF20" s="9"/>
      <c r="VVG20" s="9"/>
      <c r="VVH20" s="9"/>
      <c r="VVI20" s="9"/>
      <c r="VVJ20" s="10"/>
      <c r="VVK20" s="11"/>
      <c r="VVL20" s="12"/>
      <c r="VVM20" s="12"/>
      <c r="VVN20" s="12"/>
      <c r="VVO20" s="13"/>
      <c r="VVP20" s="9"/>
      <c r="VVQ20" s="9"/>
      <c r="VVR20" s="9"/>
      <c r="VVS20" s="9"/>
      <c r="VVT20" s="10"/>
      <c r="VVU20" s="11"/>
      <c r="VVV20" s="12"/>
      <c r="VVW20" s="12"/>
      <c r="VVX20" s="12"/>
      <c r="VVY20" s="13"/>
      <c r="VVZ20" s="9"/>
      <c r="VWA20" s="9"/>
      <c r="VWB20" s="9"/>
      <c r="VWC20" s="9"/>
      <c r="VWD20" s="10"/>
      <c r="VWE20" s="11"/>
      <c r="VWF20" s="12"/>
      <c r="VWG20" s="12"/>
      <c r="VWH20" s="12"/>
      <c r="VWI20" s="13"/>
      <c r="VWJ20" s="9"/>
      <c r="VWK20" s="9"/>
      <c r="VWL20" s="9"/>
      <c r="VWM20" s="9"/>
      <c r="VWN20" s="10"/>
      <c r="VWO20" s="11"/>
      <c r="VWP20" s="12"/>
      <c r="VWQ20" s="12"/>
      <c r="VWR20" s="12"/>
      <c r="VWS20" s="13"/>
      <c r="VWT20" s="9"/>
      <c r="VWU20" s="9"/>
      <c r="VWV20" s="9"/>
      <c r="VWW20" s="9"/>
      <c r="VWX20" s="10"/>
      <c r="VWY20" s="11"/>
      <c r="VWZ20" s="12"/>
      <c r="VXA20" s="12"/>
      <c r="VXB20" s="12"/>
      <c r="VXC20" s="13"/>
      <c r="VXD20" s="9"/>
      <c r="VXE20" s="9"/>
      <c r="VXF20" s="9"/>
      <c r="VXG20" s="9"/>
      <c r="VXH20" s="10"/>
      <c r="VXI20" s="11"/>
      <c r="VXJ20" s="12"/>
      <c r="VXK20" s="12"/>
      <c r="VXL20" s="12"/>
      <c r="VXM20" s="13"/>
      <c r="VXN20" s="9"/>
      <c r="VXO20" s="9"/>
      <c r="VXP20" s="9"/>
      <c r="VXQ20" s="9"/>
      <c r="VXR20" s="10"/>
      <c r="VXS20" s="11"/>
      <c r="VXT20" s="12"/>
      <c r="VXU20" s="12"/>
      <c r="VXV20" s="12"/>
      <c r="VXW20" s="13"/>
      <c r="VXX20" s="9"/>
      <c r="VXY20" s="9"/>
      <c r="VXZ20" s="9"/>
      <c r="VYA20" s="9"/>
      <c r="VYB20" s="10"/>
      <c r="VYC20" s="11"/>
      <c r="VYD20" s="12"/>
      <c r="VYE20" s="12"/>
      <c r="VYF20" s="12"/>
      <c r="VYG20" s="13"/>
      <c r="VYH20" s="9"/>
      <c r="VYI20" s="9"/>
      <c r="VYJ20" s="9"/>
      <c r="VYK20" s="9"/>
      <c r="VYL20" s="10"/>
      <c r="VYM20" s="11"/>
      <c r="VYN20" s="12"/>
      <c r="VYO20" s="12"/>
      <c r="VYP20" s="12"/>
      <c r="VYQ20" s="13"/>
      <c r="VYR20" s="9"/>
      <c r="VYS20" s="9"/>
      <c r="VYT20" s="9"/>
      <c r="VYU20" s="9"/>
      <c r="VYV20" s="10"/>
      <c r="VYW20" s="11"/>
      <c r="VYX20" s="12"/>
      <c r="VYY20" s="12"/>
      <c r="VYZ20" s="12"/>
      <c r="VZA20" s="13"/>
      <c r="VZB20" s="9"/>
      <c r="VZC20" s="9"/>
      <c r="VZD20" s="9"/>
      <c r="VZE20" s="9"/>
      <c r="VZF20" s="10"/>
      <c r="VZG20" s="11"/>
      <c r="VZH20" s="12"/>
      <c r="VZI20" s="12"/>
      <c r="VZJ20" s="12"/>
      <c r="VZK20" s="13"/>
      <c r="VZL20" s="9"/>
      <c r="VZM20" s="9"/>
      <c r="VZN20" s="9"/>
      <c r="VZO20" s="9"/>
      <c r="VZP20" s="10"/>
      <c r="VZQ20" s="11"/>
      <c r="VZR20" s="12"/>
      <c r="VZS20" s="12"/>
      <c r="VZT20" s="12"/>
      <c r="VZU20" s="13"/>
      <c r="VZV20" s="9"/>
      <c r="VZW20" s="9"/>
      <c r="VZX20" s="9"/>
      <c r="VZY20" s="9"/>
      <c r="VZZ20" s="10"/>
      <c r="WAA20" s="11"/>
      <c r="WAB20" s="12"/>
      <c r="WAC20" s="12"/>
      <c r="WAD20" s="12"/>
      <c r="WAE20" s="13"/>
      <c r="WAF20" s="9"/>
      <c r="WAG20" s="9"/>
      <c r="WAH20" s="9"/>
      <c r="WAI20" s="9"/>
      <c r="WAJ20" s="10"/>
      <c r="WAK20" s="11"/>
      <c r="WAL20" s="12"/>
      <c r="WAM20" s="12"/>
      <c r="WAN20" s="12"/>
      <c r="WAO20" s="13"/>
      <c r="WAP20" s="9"/>
      <c r="WAQ20" s="9"/>
      <c r="WAR20" s="9"/>
      <c r="WAS20" s="9"/>
      <c r="WAT20" s="10"/>
      <c r="WAU20" s="11"/>
      <c r="WAV20" s="12"/>
      <c r="WAW20" s="12"/>
      <c r="WAX20" s="12"/>
      <c r="WAY20" s="13"/>
      <c r="WAZ20" s="9"/>
      <c r="WBA20" s="9"/>
      <c r="WBB20" s="9"/>
      <c r="WBC20" s="9"/>
      <c r="WBD20" s="10"/>
      <c r="WBE20" s="11"/>
      <c r="WBF20" s="12"/>
      <c r="WBG20" s="12"/>
      <c r="WBH20" s="12"/>
      <c r="WBI20" s="13"/>
      <c r="WBJ20" s="9"/>
      <c r="WBK20" s="9"/>
      <c r="WBL20" s="9"/>
      <c r="WBM20" s="9"/>
      <c r="WBN20" s="10"/>
      <c r="WBO20" s="11"/>
      <c r="WBP20" s="12"/>
      <c r="WBQ20" s="12"/>
      <c r="WBR20" s="12"/>
      <c r="WBS20" s="13"/>
      <c r="WBT20" s="9"/>
      <c r="WBU20" s="9"/>
      <c r="WBV20" s="9"/>
      <c r="WBW20" s="9"/>
      <c r="WBX20" s="10"/>
      <c r="WBY20" s="11"/>
      <c r="WBZ20" s="12"/>
      <c r="WCA20" s="12"/>
      <c r="WCB20" s="12"/>
      <c r="WCC20" s="13"/>
      <c r="WCD20" s="9"/>
      <c r="WCE20" s="9"/>
      <c r="WCF20" s="9"/>
      <c r="WCG20" s="9"/>
      <c r="WCH20" s="10"/>
      <c r="WCI20" s="11"/>
      <c r="WCJ20" s="12"/>
      <c r="WCK20" s="12"/>
      <c r="WCL20" s="12"/>
      <c r="WCM20" s="13"/>
      <c r="WCN20" s="9"/>
      <c r="WCO20" s="9"/>
      <c r="WCP20" s="9"/>
      <c r="WCQ20" s="9"/>
      <c r="WCR20" s="10"/>
      <c r="WCS20" s="11"/>
      <c r="WCT20" s="12"/>
      <c r="WCU20" s="12"/>
      <c r="WCV20" s="12"/>
      <c r="WCW20" s="13"/>
      <c r="WCX20" s="9"/>
      <c r="WCY20" s="9"/>
      <c r="WCZ20" s="9"/>
      <c r="WDA20" s="9"/>
      <c r="WDB20" s="10"/>
      <c r="WDC20" s="11"/>
      <c r="WDD20" s="12"/>
      <c r="WDE20" s="12"/>
      <c r="WDF20" s="12"/>
      <c r="WDG20" s="13"/>
      <c r="WDH20" s="9"/>
      <c r="WDI20" s="9"/>
      <c r="WDJ20" s="9"/>
      <c r="WDK20" s="9"/>
      <c r="WDL20" s="10"/>
      <c r="WDM20" s="11"/>
      <c r="WDN20" s="12"/>
      <c r="WDO20" s="12"/>
      <c r="WDP20" s="12"/>
      <c r="WDQ20" s="13"/>
      <c r="WDR20" s="9"/>
      <c r="WDS20" s="9"/>
      <c r="WDT20" s="9"/>
      <c r="WDU20" s="9"/>
      <c r="WDV20" s="10"/>
      <c r="WDW20" s="11"/>
      <c r="WDX20" s="12"/>
      <c r="WDY20" s="12"/>
      <c r="WDZ20" s="12"/>
      <c r="WEA20" s="13"/>
      <c r="WEB20" s="9"/>
      <c r="WEC20" s="9"/>
      <c r="WED20" s="9"/>
      <c r="WEE20" s="9"/>
      <c r="WEF20" s="10"/>
      <c r="WEG20" s="11"/>
      <c r="WEH20" s="12"/>
      <c r="WEI20" s="12"/>
      <c r="WEJ20" s="12"/>
      <c r="WEK20" s="13"/>
      <c r="WEL20" s="9"/>
      <c r="WEM20" s="9"/>
      <c r="WEN20" s="9"/>
      <c r="WEO20" s="9"/>
      <c r="WEP20" s="10"/>
      <c r="WEQ20" s="11"/>
      <c r="WER20" s="12"/>
      <c r="WES20" s="12"/>
      <c r="WET20" s="12"/>
      <c r="WEU20" s="13"/>
      <c r="WEV20" s="9"/>
      <c r="WEW20" s="9"/>
      <c r="WEX20" s="9"/>
      <c r="WEY20" s="9"/>
      <c r="WEZ20" s="10"/>
      <c r="WFA20" s="11"/>
      <c r="WFB20" s="12"/>
      <c r="WFC20" s="12"/>
      <c r="WFD20" s="12"/>
      <c r="WFE20" s="13"/>
      <c r="WFF20" s="9"/>
      <c r="WFG20" s="9"/>
      <c r="WFH20" s="9"/>
      <c r="WFI20" s="9"/>
      <c r="WFJ20" s="10"/>
      <c r="WFK20" s="11"/>
      <c r="WFL20" s="12"/>
      <c r="WFM20" s="12"/>
      <c r="WFN20" s="12"/>
      <c r="WFO20" s="13"/>
      <c r="WFP20" s="9"/>
      <c r="WFQ20" s="9"/>
      <c r="WFR20" s="9"/>
      <c r="WFS20" s="9"/>
      <c r="WFT20" s="10"/>
      <c r="WFU20" s="11"/>
      <c r="WFV20" s="12"/>
      <c r="WFW20" s="12"/>
      <c r="WFX20" s="12"/>
      <c r="WFY20" s="13"/>
      <c r="WFZ20" s="9"/>
      <c r="WGA20" s="9"/>
      <c r="WGB20" s="9"/>
      <c r="WGC20" s="9"/>
      <c r="WGD20" s="10"/>
      <c r="WGE20" s="11"/>
      <c r="WGF20" s="12"/>
      <c r="WGG20" s="12"/>
      <c r="WGH20" s="12"/>
      <c r="WGI20" s="13"/>
      <c r="WGJ20" s="9"/>
      <c r="WGK20" s="9"/>
      <c r="WGL20" s="9"/>
      <c r="WGM20" s="9"/>
      <c r="WGN20" s="10"/>
      <c r="WGO20" s="11"/>
      <c r="WGP20" s="12"/>
      <c r="WGQ20" s="12"/>
      <c r="WGR20" s="12"/>
      <c r="WGS20" s="13"/>
      <c r="WGT20" s="9"/>
      <c r="WGU20" s="9"/>
      <c r="WGV20" s="9"/>
      <c r="WGW20" s="9"/>
      <c r="WGX20" s="10"/>
      <c r="WGY20" s="11"/>
      <c r="WGZ20" s="12"/>
      <c r="WHA20" s="12"/>
      <c r="WHB20" s="12"/>
      <c r="WHC20" s="13"/>
      <c r="WHD20" s="9"/>
      <c r="WHE20" s="9"/>
      <c r="WHF20" s="9"/>
      <c r="WHG20" s="9"/>
      <c r="WHH20" s="10"/>
      <c r="WHI20" s="11"/>
      <c r="WHJ20" s="12"/>
      <c r="WHK20" s="12"/>
      <c r="WHL20" s="12"/>
      <c r="WHM20" s="13"/>
      <c r="WHN20" s="9"/>
      <c r="WHO20" s="9"/>
      <c r="WHP20" s="9"/>
      <c r="WHQ20" s="9"/>
      <c r="WHR20" s="10"/>
      <c r="WHS20" s="11"/>
      <c r="WHT20" s="12"/>
      <c r="WHU20" s="12"/>
      <c r="WHV20" s="12"/>
      <c r="WHW20" s="13"/>
      <c r="WHX20" s="9"/>
      <c r="WHY20" s="9"/>
      <c r="WHZ20" s="9"/>
      <c r="WIA20" s="9"/>
      <c r="WIB20" s="10"/>
      <c r="WIC20" s="11"/>
      <c r="WID20" s="12"/>
      <c r="WIE20" s="12"/>
      <c r="WIF20" s="12"/>
      <c r="WIG20" s="13"/>
      <c r="WIH20" s="9"/>
      <c r="WII20" s="9"/>
      <c r="WIJ20" s="9"/>
      <c r="WIK20" s="9"/>
      <c r="WIL20" s="10"/>
      <c r="WIM20" s="11"/>
      <c r="WIN20" s="12"/>
      <c r="WIO20" s="12"/>
      <c r="WIP20" s="12"/>
      <c r="WIQ20" s="13"/>
      <c r="WIR20" s="9"/>
      <c r="WIS20" s="9"/>
      <c r="WIT20" s="9"/>
      <c r="WIU20" s="9"/>
      <c r="WIV20" s="10"/>
      <c r="WIW20" s="11"/>
      <c r="WIX20" s="12"/>
      <c r="WIY20" s="12"/>
      <c r="WIZ20" s="12"/>
      <c r="WJA20" s="13"/>
      <c r="WJB20" s="9"/>
      <c r="WJC20" s="9"/>
      <c r="WJD20" s="9"/>
      <c r="WJE20" s="9"/>
      <c r="WJF20" s="10"/>
      <c r="WJG20" s="11"/>
      <c r="WJH20" s="12"/>
      <c r="WJI20" s="12"/>
      <c r="WJJ20" s="12"/>
      <c r="WJK20" s="13"/>
      <c r="WJL20" s="9"/>
      <c r="WJM20" s="9"/>
      <c r="WJN20" s="9"/>
      <c r="WJO20" s="9"/>
      <c r="WJP20" s="10"/>
      <c r="WJQ20" s="11"/>
      <c r="WJR20" s="12"/>
      <c r="WJS20" s="12"/>
      <c r="WJT20" s="12"/>
      <c r="WJU20" s="13"/>
      <c r="WJV20" s="9"/>
      <c r="WJW20" s="9"/>
      <c r="WJX20" s="9"/>
      <c r="WJY20" s="9"/>
      <c r="WJZ20" s="10"/>
      <c r="WKA20" s="11"/>
      <c r="WKB20" s="12"/>
      <c r="WKC20" s="12"/>
      <c r="WKD20" s="12"/>
      <c r="WKE20" s="13"/>
      <c r="WKF20" s="9"/>
      <c r="WKG20" s="9"/>
      <c r="WKH20" s="9"/>
      <c r="WKI20" s="9"/>
      <c r="WKJ20" s="10"/>
      <c r="WKK20" s="11"/>
      <c r="WKL20" s="12"/>
      <c r="WKM20" s="12"/>
      <c r="WKN20" s="12"/>
      <c r="WKO20" s="13"/>
      <c r="WKP20" s="9"/>
      <c r="WKQ20" s="9"/>
      <c r="WKR20" s="9"/>
      <c r="WKS20" s="9"/>
      <c r="WKT20" s="10"/>
      <c r="WKU20" s="11"/>
      <c r="WKV20" s="12"/>
      <c r="WKW20" s="12"/>
      <c r="WKX20" s="12"/>
      <c r="WKY20" s="13"/>
      <c r="WKZ20" s="9"/>
      <c r="WLA20" s="9"/>
      <c r="WLB20" s="9"/>
      <c r="WLC20" s="9"/>
      <c r="WLD20" s="10"/>
      <c r="WLE20" s="11"/>
      <c r="WLF20" s="12"/>
      <c r="WLG20" s="12"/>
      <c r="WLH20" s="12"/>
      <c r="WLI20" s="13"/>
      <c r="WLJ20" s="9"/>
      <c r="WLK20" s="9"/>
      <c r="WLL20" s="9"/>
      <c r="WLM20" s="9"/>
      <c r="WLN20" s="10"/>
      <c r="WLO20" s="11"/>
      <c r="WLP20" s="12"/>
      <c r="WLQ20" s="12"/>
      <c r="WLR20" s="12"/>
      <c r="WLS20" s="13"/>
      <c r="WLT20" s="9"/>
      <c r="WLU20" s="9"/>
      <c r="WLV20" s="9"/>
      <c r="WLW20" s="9"/>
      <c r="WLX20" s="10"/>
      <c r="WLY20" s="11"/>
      <c r="WLZ20" s="12"/>
      <c r="WMA20" s="12"/>
      <c r="WMB20" s="12"/>
      <c r="WMC20" s="13"/>
      <c r="WMD20" s="9"/>
      <c r="WME20" s="9"/>
      <c r="WMF20" s="9"/>
      <c r="WMG20" s="9"/>
      <c r="WMH20" s="10"/>
      <c r="WMI20" s="11"/>
      <c r="WMJ20" s="12"/>
      <c r="WMK20" s="12"/>
      <c r="WML20" s="12"/>
      <c r="WMM20" s="13"/>
      <c r="WMN20" s="9"/>
      <c r="WMO20" s="9"/>
      <c r="WMP20" s="9"/>
      <c r="WMQ20" s="9"/>
      <c r="WMR20" s="10"/>
      <c r="WMS20" s="11"/>
      <c r="WMT20" s="12"/>
      <c r="WMU20" s="12"/>
      <c r="WMV20" s="12"/>
      <c r="WMW20" s="13"/>
      <c r="WMX20" s="9"/>
      <c r="WMY20" s="9"/>
      <c r="WMZ20" s="9"/>
      <c r="WNA20" s="9"/>
      <c r="WNB20" s="10"/>
      <c r="WNC20" s="11"/>
      <c r="WND20" s="12"/>
      <c r="WNE20" s="12"/>
      <c r="WNF20" s="12"/>
      <c r="WNG20" s="13"/>
      <c r="WNH20" s="9"/>
      <c r="WNI20" s="9"/>
      <c r="WNJ20" s="9"/>
      <c r="WNK20" s="9"/>
      <c r="WNL20" s="10"/>
      <c r="WNM20" s="11"/>
      <c r="WNN20" s="12"/>
      <c r="WNO20" s="12"/>
      <c r="WNP20" s="12"/>
      <c r="WNQ20" s="13"/>
      <c r="WNR20" s="9"/>
      <c r="WNS20" s="9"/>
      <c r="WNT20" s="9"/>
      <c r="WNU20" s="9"/>
      <c r="WNV20" s="10"/>
      <c r="WNW20" s="11"/>
      <c r="WNX20" s="12"/>
      <c r="WNY20" s="12"/>
      <c r="WNZ20" s="12"/>
      <c r="WOA20" s="13"/>
      <c r="WOB20" s="9"/>
      <c r="WOC20" s="9"/>
      <c r="WOD20" s="9"/>
      <c r="WOE20" s="9"/>
      <c r="WOF20" s="10"/>
      <c r="WOG20" s="11"/>
      <c r="WOH20" s="12"/>
      <c r="WOI20" s="12"/>
      <c r="WOJ20" s="12"/>
      <c r="WOK20" s="13"/>
      <c r="WOL20" s="9"/>
      <c r="WOM20" s="9"/>
      <c r="WON20" s="9"/>
      <c r="WOO20" s="9"/>
      <c r="WOP20" s="10"/>
      <c r="WOQ20" s="11"/>
      <c r="WOR20" s="12"/>
      <c r="WOS20" s="12"/>
      <c r="WOT20" s="12"/>
      <c r="WOU20" s="13"/>
      <c r="WOV20" s="9"/>
      <c r="WOW20" s="9"/>
      <c r="WOX20" s="9"/>
      <c r="WOY20" s="9"/>
      <c r="WOZ20" s="10"/>
      <c r="WPA20" s="11"/>
      <c r="WPB20" s="12"/>
      <c r="WPC20" s="12"/>
      <c r="WPD20" s="12"/>
      <c r="WPE20" s="13"/>
      <c r="WPF20" s="9"/>
      <c r="WPG20" s="9"/>
      <c r="WPH20" s="9"/>
      <c r="WPI20" s="9"/>
      <c r="WPJ20" s="10"/>
      <c r="WPK20" s="11"/>
      <c r="WPL20" s="12"/>
      <c r="WPM20" s="12"/>
      <c r="WPN20" s="12"/>
      <c r="WPO20" s="13"/>
      <c r="WPP20" s="9"/>
      <c r="WPQ20" s="9"/>
      <c r="WPR20" s="9"/>
      <c r="WPS20" s="9"/>
      <c r="WPT20" s="10"/>
      <c r="WPU20" s="11"/>
      <c r="WPV20" s="12"/>
      <c r="WPW20" s="12"/>
      <c r="WPX20" s="12"/>
      <c r="WPY20" s="13"/>
      <c r="WPZ20" s="9"/>
      <c r="WQA20" s="9"/>
      <c r="WQB20" s="9"/>
      <c r="WQC20" s="9"/>
      <c r="WQD20" s="10"/>
      <c r="WQE20" s="11"/>
      <c r="WQF20" s="12"/>
      <c r="WQG20" s="12"/>
      <c r="WQH20" s="12"/>
      <c r="WQI20" s="13"/>
      <c r="WQJ20" s="9"/>
      <c r="WQK20" s="9"/>
      <c r="WQL20" s="9"/>
      <c r="WQM20" s="9"/>
      <c r="WQN20" s="10"/>
      <c r="WQO20" s="11"/>
      <c r="WQP20" s="12"/>
      <c r="WQQ20" s="12"/>
      <c r="WQR20" s="12"/>
      <c r="WQS20" s="13"/>
      <c r="WQT20" s="9"/>
      <c r="WQU20" s="9"/>
      <c r="WQV20" s="9"/>
      <c r="WQW20" s="9"/>
      <c r="WQX20" s="10"/>
      <c r="WQY20" s="11"/>
      <c r="WQZ20" s="12"/>
      <c r="WRA20" s="12"/>
      <c r="WRB20" s="12"/>
      <c r="WRC20" s="13"/>
      <c r="WRD20" s="9"/>
      <c r="WRE20" s="9"/>
      <c r="WRF20" s="9"/>
      <c r="WRG20" s="9"/>
      <c r="WRH20" s="10"/>
      <c r="WRI20" s="11"/>
      <c r="WRJ20" s="12"/>
      <c r="WRK20" s="12"/>
      <c r="WRL20" s="12"/>
      <c r="WRM20" s="13"/>
      <c r="WRN20" s="9"/>
      <c r="WRO20" s="9"/>
      <c r="WRP20" s="9"/>
      <c r="WRQ20" s="9"/>
      <c r="WRR20" s="10"/>
      <c r="WRS20" s="11"/>
      <c r="WRT20" s="12"/>
      <c r="WRU20" s="12"/>
      <c r="WRV20" s="12"/>
      <c r="WRW20" s="13"/>
      <c r="WRX20" s="9"/>
      <c r="WRY20" s="9"/>
      <c r="WRZ20" s="9"/>
      <c r="WSA20" s="9"/>
      <c r="WSB20" s="10"/>
      <c r="WSC20" s="11"/>
      <c r="WSD20" s="12"/>
      <c r="WSE20" s="12"/>
      <c r="WSF20" s="12"/>
      <c r="WSG20" s="13"/>
      <c r="WSH20" s="9"/>
      <c r="WSI20" s="9"/>
      <c r="WSJ20" s="9"/>
      <c r="WSK20" s="9"/>
      <c r="WSL20" s="10"/>
      <c r="WSM20" s="11"/>
      <c r="WSN20" s="12"/>
      <c r="WSO20" s="12"/>
      <c r="WSP20" s="12"/>
      <c r="WSQ20" s="13"/>
      <c r="WSR20" s="9"/>
      <c r="WSS20" s="9"/>
      <c r="WST20" s="9"/>
      <c r="WSU20" s="9"/>
      <c r="WSV20" s="10"/>
      <c r="WSW20" s="11"/>
      <c r="WSX20" s="12"/>
      <c r="WSY20" s="12"/>
      <c r="WSZ20" s="12"/>
      <c r="WTA20" s="13"/>
      <c r="WTB20" s="9"/>
      <c r="WTC20" s="9"/>
      <c r="WTD20" s="9"/>
      <c r="WTE20" s="9"/>
      <c r="WTF20" s="10"/>
      <c r="WTG20" s="11"/>
      <c r="WTH20" s="12"/>
      <c r="WTI20" s="12"/>
      <c r="WTJ20" s="12"/>
      <c r="WTK20" s="13"/>
      <c r="WTL20" s="9"/>
      <c r="WTM20" s="9"/>
      <c r="WTN20" s="9"/>
      <c r="WTO20" s="9"/>
      <c r="WTP20" s="10"/>
      <c r="WTQ20" s="11"/>
      <c r="WTR20" s="12"/>
      <c r="WTS20" s="12"/>
      <c r="WTT20" s="12"/>
      <c r="WTU20" s="13"/>
      <c r="WTV20" s="9"/>
      <c r="WTW20" s="9"/>
      <c r="WTX20" s="9"/>
      <c r="WTY20" s="9"/>
      <c r="WTZ20" s="10"/>
      <c r="WUA20" s="11"/>
      <c r="WUB20" s="12"/>
      <c r="WUC20" s="12"/>
      <c r="WUD20" s="12"/>
      <c r="WUE20" s="13"/>
      <c r="WUF20" s="9"/>
      <c r="WUG20" s="9"/>
      <c r="WUH20" s="9"/>
      <c r="WUI20" s="9"/>
      <c r="WUJ20" s="10"/>
      <c r="WUK20" s="11"/>
      <c r="WUL20" s="12"/>
      <c r="WUM20" s="12"/>
      <c r="WUN20" s="12"/>
      <c r="WUO20" s="13"/>
      <c r="WUP20" s="9"/>
      <c r="WUQ20" s="9"/>
      <c r="WUR20" s="9"/>
      <c r="WUS20" s="9"/>
      <c r="WUT20" s="10"/>
      <c r="WUU20" s="11"/>
      <c r="WUV20" s="12"/>
      <c r="WUW20" s="12"/>
      <c r="WUX20" s="12"/>
      <c r="WUY20" s="13"/>
      <c r="WUZ20" s="9"/>
      <c r="WVA20" s="9"/>
      <c r="WVB20" s="9"/>
      <c r="WVC20" s="9"/>
      <c r="WVD20" s="10"/>
      <c r="WVE20" s="11"/>
      <c r="WVF20" s="12"/>
      <c r="WVG20" s="12"/>
      <c r="WVH20" s="12"/>
      <c r="WVI20" s="13"/>
      <c r="WVJ20" s="9"/>
      <c r="WVK20" s="9"/>
      <c r="WVL20" s="9"/>
      <c r="WVM20" s="9"/>
      <c r="WVN20" s="10"/>
      <c r="WVO20" s="11"/>
      <c r="WVP20" s="12"/>
      <c r="WVQ20" s="12"/>
      <c r="WVR20" s="12"/>
      <c r="WVS20" s="13"/>
      <c r="WVT20" s="9"/>
      <c r="WVU20" s="9"/>
      <c r="WVV20" s="9"/>
      <c r="WVW20" s="9"/>
      <c r="WVX20" s="10"/>
      <c r="WVY20" s="11"/>
      <c r="WVZ20" s="12"/>
      <c r="WWA20" s="12"/>
      <c r="WWB20" s="12"/>
      <c r="WWC20" s="13"/>
      <c r="WWD20" s="9"/>
      <c r="WWE20" s="9"/>
      <c r="WWF20" s="9"/>
      <c r="WWG20" s="9"/>
      <c r="WWH20" s="10"/>
      <c r="WWI20" s="11"/>
      <c r="WWJ20" s="12"/>
      <c r="WWK20" s="12"/>
      <c r="WWL20" s="12"/>
      <c r="WWM20" s="13"/>
      <c r="WWN20" s="9"/>
      <c r="WWO20" s="9"/>
      <c r="WWP20" s="9"/>
      <c r="WWQ20" s="9"/>
      <c r="WWR20" s="10"/>
      <c r="WWS20" s="11"/>
      <c r="WWT20" s="12"/>
      <c r="WWU20" s="12"/>
      <c r="WWV20" s="12"/>
      <c r="WWW20" s="13"/>
      <c r="WWX20" s="9"/>
      <c r="WWY20" s="9"/>
      <c r="WWZ20" s="9"/>
      <c r="WXA20" s="9"/>
      <c r="WXB20" s="10"/>
      <c r="WXC20" s="11"/>
      <c r="WXD20" s="12"/>
      <c r="WXE20" s="12"/>
      <c r="WXF20" s="12"/>
      <c r="WXG20" s="13"/>
      <c r="WXH20" s="9"/>
      <c r="WXI20" s="9"/>
      <c r="WXJ20" s="9"/>
      <c r="WXK20" s="9"/>
      <c r="WXL20" s="10"/>
      <c r="WXM20" s="11"/>
      <c r="WXN20" s="12"/>
      <c r="WXO20" s="12"/>
      <c r="WXP20" s="12"/>
      <c r="WXQ20" s="13"/>
      <c r="WXR20" s="9"/>
      <c r="WXS20" s="9"/>
      <c r="WXT20" s="9"/>
      <c r="WXU20" s="9"/>
      <c r="WXV20" s="10"/>
      <c r="WXW20" s="11"/>
      <c r="WXX20" s="12"/>
      <c r="WXY20" s="12"/>
      <c r="WXZ20" s="12"/>
      <c r="WYA20" s="13"/>
      <c r="WYB20" s="9"/>
      <c r="WYC20" s="9"/>
      <c r="WYD20" s="9"/>
      <c r="WYE20" s="9"/>
      <c r="WYF20" s="10"/>
      <c r="WYG20" s="11"/>
      <c r="WYH20" s="12"/>
      <c r="WYI20" s="12"/>
      <c r="WYJ20" s="12"/>
      <c r="WYK20" s="13"/>
      <c r="WYL20" s="9"/>
      <c r="WYM20" s="9"/>
      <c r="WYN20" s="9"/>
      <c r="WYO20" s="9"/>
      <c r="WYP20" s="10"/>
      <c r="WYQ20" s="11"/>
      <c r="WYR20" s="12"/>
      <c r="WYS20" s="12"/>
      <c r="WYT20" s="12"/>
      <c r="WYU20" s="13"/>
      <c r="WYV20" s="9"/>
      <c r="WYW20" s="9"/>
      <c r="WYX20" s="9"/>
      <c r="WYY20" s="9"/>
      <c r="WYZ20" s="10"/>
      <c r="WZA20" s="11"/>
      <c r="WZB20" s="12"/>
      <c r="WZC20" s="12"/>
      <c r="WZD20" s="12"/>
      <c r="WZE20" s="13"/>
      <c r="WZF20" s="9"/>
      <c r="WZG20" s="9"/>
      <c r="WZH20" s="9"/>
      <c r="WZI20" s="9"/>
      <c r="WZJ20" s="10"/>
      <c r="WZK20" s="11"/>
      <c r="WZL20" s="12"/>
      <c r="WZM20" s="12"/>
      <c r="WZN20" s="12"/>
      <c r="WZO20" s="13"/>
      <c r="WZP20" s="9"/>
      <c r="WZQ20" s="9"/>
      <c r="WZR20" s="9"/>
      <c r="WZS20" s="9"/>
      <c r="WZT20" s="10"/>
      <c r="WZU20" s="11"/>
      <c r="WZV20" s="12"/>
      <c r="WZW20" s="12"/>
      <c r="WZX20" s="12"/>
      <c r="WZY20" s="13"/>
      <c r="WZZ20" s="9"/>
      <c r="XAA20" s="9"/>
      <c r="XAB20" s="9"/>
      <c r="XAC20" s="9"/>
      <c r="XAD20" s="10"/>
      <c r="XAE20" s="11"/>
      <c r="XAF20" s="12"/>
      <c r="XAG20" s="12"/>
      <c r="XAH20" s="12"/>
      <c r="XAI20" s="13"/>
      <c r="XAJ20" s="9"/>
      <c r="XAK20" s="9"/>
      <c r="XAL20" s="9"/>
      <c r="XAM20" s="9"/>
      <c r="XAN20" s="10"/>
      <c r="XAO20" s="11"/>
      <c r="XAP20" s="12"/>
      <c r="XAQ20" s="12"/>
      <c r="XAR20" s="12"/>
      <c r="XAS20" s="13"/>
      <c r="XAT20" s="9"/>
      <c r="XAU20" s="9"/>
      <c r="XAV20" s="9"/>
      <c r="XAW20" s="9"/>
      <c r="XAX20" s="10"/>
      <c r="XAY20" s="11"/>
      <c r="XAZ20" s="12"/>
      <c r="XBA20" s="12"/>
      <c r="XBB20" s="12"/>
      <c r="XBC20" s="13"/>
      <c r="XBD20" s="9"/>
      <c r="XBE20" s="9"/>
      <c r="XBF20" s="9"/>
      <c r="XBG20" s="9"/>
      <c r="XBH20" s="10"/>
      <c r="XBI20" s="11"/>
      <c r="XBJ20" s="12"/>
      <c r="XBK20" s="12"/>
      <c r="XBL20" s="12"/>
      <c r="XBM20" s="13"/>
      <c r="XBN20" s="9"/>
      <c r="XBO20" s="9"/>
      <c r="XBP20" s="9"/>
      <c r="XBQ20" s="9"/>
      <c r="XBR20" s="10"/>
      <c r="XBS20" s="11"/>
      <c r="XBT20" s="12"/>
      <c r="XBU20" s="12"/>
      <c r="XBV20" s="12"/>
      <c r="XBW20" s="13"/>
      <c r="XBX20" s="9"/>
      <c r="XBY20" s="9"/>
      <c r="XBZ20" s="9"/>
      <c r="XCA20" s="9"/>
      <c r="XCB20" s="10"/>
      <c r="XCC20" s="11"/>
      <c r="XCD20" s="12"/>
      <c r="XCE20" s="12"/>
      <c r="XCF20" s="12"/>
      <c r="XCG20" s="13"/>
      <c r="XCH20" s="9"/>
      <c r="XCI20" s="9"/>
      <c r="XCJ20" s="9"/>
      <c r="XCK20" s="9"/>
      <c r="XCL20" s="10"/>
      <c r="XCM20" s="11"/>
      <c r="XCN20" s="12"/>
      <c r="XCO20" s="12"/>
      <c r="XCP20" s="12"/>
      <c r="XCQ20" s="13"/>
      <c r="XCR20" s="9"/>
      <c r="XCS20" s="9"/>
      <c r="XCT20" s="9"/>
      <c r="XCU20" s="9"/>
      <c r="XCV20" s="10"/>
      <c r="XCW20" s="11"/>
      <c r="XCX20" s="12"/>
      <c r="XCY20" s="12"/>
      <c r="XCZ20" s="12"/>
      <c r="XDA20" s="13"/>
      <c r="XDB20" s="9"/>
      <c r="XDC20" s="9"/>
      <c r="XDD20" s="9"/>
      <c r="XDE20" s="9"/>
      <c r="XDF20" s="10"/>
      <c r="XDG20" s="11"/>
      <c r="XDH20" s="12"/>
      <c r="XDI20" s="12"/>
      <c r="XDJ20" s="12"/>
      <c r="XDK20" s="13"/>
      <c r="XDL20" s="9"/>
      <c r="XDM20" s="9"/>
      <c r="XDN20" s="9"/>
      <c r="XDO20" s="9"/>
      <c r="XDP20" s="10"/>
      <c r="XDQ20" s="11"/>
      <c r="XDR20" s="12"/>
      <c r="XDS20" s="12"/>
      <c r="XDT20" s="12"/>
      <c r="XDU20" s="13"/>
      <c r="XDV20" s="9"/>
      <c r="XDW20" s="9"/>
      <c r="XDX20" s="9"/>
      <c r="XDY20" s="9"/>
      <c r="XDZ20" s="10"/>
      <c r="XEA20" s="11"/>
      <c r="XEB20" s="12"/>
      <c r="XEC20" s="12"/>
      <c r="XED20" s="12"/>
      <c r="XEE20" s="13"/>
      <c r="XEF20" s="9"/>
      <c r="XEG20" s="9"/>
      <c r="XEH20" s="9"/>
      <c r="XEI20" s="9"/>
      <c r="XEJ20" s="10"/>
      <c r="XEK20" s="11"/>
      <c r="XEL20" s="12"/>
      <c r="XEM20" s="12"/>
      <c r="XEN20" s="12"/>
      <c r="XEO20" s="13"/>
      <c r="XEP20" s="9"/>
      <c r="XEQ20" s="9"/>
      <c r="XER20" s="9"/>
      <c r="XES20" s="9"/>
      <c r="XET20" s="10"/>
      <c r="XEU20" s="11"/>
      <c r="XEV20" s="12"/>
      <c r="XEW20" s="12"/>
      <c r="XEX20" s="12"/>
      <c r="XEY20" s="13"/>
      <c r="XEZ20" s="9"/>
      <c r="XFA20" s="9"/>
      <c r="XFB20" s="9"/>
      <c r="XFC20" s="9"/>
      <c r="XFD20" s="10"/>
    </row>
    <row r="21" spans="1:16384" x14ac:dyDescent="0.25">
      <c r="A21" t="s">
        <v>40</v>
      </c>
      <c r="B21" t="s">
        <v>41</v>
      </c>
      <c r="C21" t="s">
        <v>41</v>
      </c>
      <c r="D21" s="1">
        <v>1</v>
      </c>
      <c r="E21" s="5">
        <v>12</v>
      </c>
      <c r="F21" s="8" t="s">
        <v>124</v>
      </c>
      <c r="G21" s="8" t="s">
        <v>118</v>
      </c>
      <c r="H21" s="8" t="s">
        <v>119</v>
      </c>
      <c r="I21" s="5">
        <v>9</v>
      </c>
      <c r="J21" t="s">
        <v>108</v>
      </c>
      <c r="K21" s="5">
        <f t="shared" si="0"/>
        <v>10</v>
      </c>
    </row>
    <row r="22" spans="1:16384" x14ac:dyDescent="0.25">
      <c r="A22" t="s">
        <v>42</v>
      </c>
      <c r="B22" t="s">
        <v>43</v>
      </c>
      <c r="C22" t="s">
        <v>43</v>
      </c>
      <c r="D22" s="1">
        <v>4</v>
      </c>
      <c r="E22" s="5">
        <v>11</v>
      </c>
      <c r="F22" s="8" t="s">
        <v>131</v>
      </c>
      <c r="G22" s="8" t="s">
        <v>118</v>
      </c>
      <c r="H22" s="8" t="s">
        <v>130</v>
      </c>
      <c r="I22" s="5">
        <v>9</v>
      </c>
      <c r="J22" t="s">
        <v>109</v>
      </c>
      <c r="K22" s="5">
        <f t="shared" si="0"/>
        <v>10</v>
      </c>
    </row>
    <row r="23" spans="1:16384" x14ac:dyDescent="0.25">
      <c r="A23" t="s">
        <v>44</v>
      </c>
      <c r="B23" t="s">
        <v>45</v>
      </c>
      <c r="C23" t="s">
        <v>88</v>
      </c>
      <c r="D23" s="1">
        <v>3</v>
      </c>
      <c r="E23" s="5">
        <v>12</v>
      </c>
      <c r="F23" s="8" t="s">
        <v>125</v>
      </c>
      <c r="G23" s="8" t="s">
        <v>120</v>
      </c>
      <c r="H23" s="8" t="s">
        <v>116</v>
      </c>
      <c r="I23" s="5">
        <v>10</v>
      </c>
      <c r="J23" t="s">
        <v>109</v>
      </c>
      <c r="K23" s="5">
        <f t="shared" si="0"/>
        <v>10</v>
      </c>
    </row>
    <row r="24" spans="1:16384" x14ac:dyDescent="0.25">
      <c r="A24" t="s">
        <v>46</v>
      </c>
      <c r="B24" t="s">
        <v>47</v>
      </c>
      <c r="C24" t="s">
        <v>92</v>
      </c>
      <c r="D24" s="1">
        <v>4</v>
      </c>
      <c r="E24" s="5">
        <v>11</v>
      </c>
      <c r="F24" s="8" t="s">
        <v>131</v>
      </c>
      <c r="G24" s="8" t="s">
        <v>118</v>
      </c>
      <c r="H24" s="8" t="s">
        <v>130</v>
      </c>
      <c r="I24" s="5">
        <v>9</v>
      </c>
      <c r="J24" t="s">
        <v>109</v>
      </c>
      <c r="K24" s="5">
        <f t="shared" si="0"/>
        <v>10</v>
      </c>
    </row>
    <row r="25" spans="1:16384" x14ac:dyDescent="0.25">
      <c r="A25" s="9" t="s">
        <v>48</v>
      </c>
      <c r="B25" s="9" t="s">
        <v>49</v>
      </c>
      <c r="C25" s="9" t="s">
        <v>49</v>
      </c>
      <c r="D25" s="10">
        <v>1</v>
      </c>
      <c r="E25" s="13">
        <v>12</v>
      </c>
      <c r="F25" s="12" t="s">
        <v>124</v>
      </c>
      <c r="G25" s="12" t="s">
        <v>118</v>
      </c>
      <c r="H25" s="12" t="s">
        <v>119</v>
      </c>
      <c r="I25" s="13">
        <v>9</v>
      </c>
      <c r="J25" s="9" t="s">
        <v>108</v>
      </c>
      <c r="K25" s="13">
        <f t="shared" si="0"/>
        <v>10</v>
      </c>
      <c r="L25" s="9"/>
      <c r="M25" s="9"/>
      <c r="N25" s="10"/>
      <c r="O25" s="11"/>
      <c r="P25" s="12"/>
      <c r="Q25" s="12"/>
      <c r="R25" s="12"/>
      <c r="S25" s="13"/>
      <c r="T25" s="9"/>
      <c r="U25" s="9"/>
      <c r="V25" s="9"/>
      <c r="W25" s="9"/>
      <c r="X25" s="10"/>
      <c r="Y25" s="11"/>
      <c r="Z25" s="12"/>
      <c r="AA25" s="12"/>
      <c r="AB25" s="12"/>
      <c r="AC25" s="13"/>
      <c r="AD25" s="9"/>
      <c r="AE25" s="9"/>
      <c r="AF25" s="9"/>
      <c r="AG25" s="9"/>
      <c r="AH25" s="10"/>
      <c r="AI25" s="11"/>
      <c r="AJ25" s="12"/>
      <c r="AK25" s="12"/>
      <c r="AL25" s="12"/>
      <c r="AM25" s="13"/>
      <c r="AN25" s="9"/>
      <c r="AO25" s="9"/>
      <c r="AP25" s="9"/>
      <c r="AQ25" s="9"/>
      <c r="AR25" s="10"/>
      <c r="AS25" s="11"/>
      <c r="AT25" s="12"/>
      <c r="AU25" s="12"/>
      <c r="AV25" s="12"/>
      <c r="AW25" s="13"/>
      <c r="AX25" s="9"/>
      <c r="AY25" s="9"/>
      <c r="AZ25" s="9"/>
      <c r="BA25" s="9"/>
      <c r="BB25" s="10"/>
      <c r="BC25" s="11"/>
      <c r="BD25" s="12"/>
      <c r="BE25" s="12"/>
      <c r="BF25" s="12"/>
      <c r="BG25" s="13"/>
      <c r="BH25" s="9"/>
      <c r="BI25" s="9"/>
      <c r="BJ25" s="9"/>
      <c r="BK25" s="9"/>
      <c r="BL25" s="10"/>
      <c r="BM25" s="11"/>
      <c r="BN25" s="12"/>
      <c r="BO25" s="12"/>
      <c r="BP25" s="12"/>
      <c r="BQ25" s="13"/>
      <c r="BR25" s="9"/>
      <c r="BS25" s="9"/>
      <c r="BT25" s="9"/>
      <c r="BU25" s="9"/>
      <c r="BV25" s="10"/>
      <c r="BW25" s="11"/>
      <c r="BX25" s="12"/>
      <c r="BY25" s="12"/>
      <c r="BZ25" s="12"/>
      <c r="CA25" s="13"/>
      <c r="CB25" s="9"/>
      <c r="CC25" s="9"/>
      <c r="CD25" s="9"/>
      <c r="CE25" s="9"/>
      <c r="CF25" s="10"/>
      <c r="CG25" s="11"/>
      <c r="CH25" s="12"/>
      <c r="CI25" s="12"/>
      <c r="CJ25" s="12"/>
      <c r="CK25" s="13"/>
      <c r="CL25" s="9"/>
      <c r="CM25" s="9"/>
      <c r="CN25" s="9"/>
      <c r="CO25" s="9"/>
      <c r="CP25" s="10"/>
      <c r="CQ25" s="11"/>
      <c r="CR25" s="12"/>
      <c r="CS25" s="12"/>
      <c r="CT25" s="12"/>
      <c r="CU25" s="13"/>
      <c r="CV25" s="9"/>
      <c r="CW25" s="9"/>
      <c r="CX25" s="9"/>
      <c r="CY25" s="9"/>
      <c r="CZ25" s="10"/>
      <c r="DA25" s="11"/>
      <c r="DB25" s="12"/>
      <c r="DC25" s="12"/>
      <c r="DD25" s="12"/>
      <c r="DE25" s="13"/>
      <c r="DF25" s="9"/>
      <c r="DG25" s="9"/>
      <c r="DH25" s="9"/>
      <c r="DI25" s="9"/>
      <c r="DJ25" s="10"/>
      <c r="DK25" s="11"/>
      <c r="DL25" s="12"/>
      <c r="DM25" s="12"/>
      <c r="DN25" s="12"/>
      <c r="DO25" s="13"/>
      <c r="DP25" s="9"/>
      <c r="DQ25" s="9"/>
      <c r="DR25" s="9"/>
      <c r="DS25" s="9"/>
      <c r="DT25" s="10"/>
      <c r="DU25" s="11"/>
      <c r="DV25" s="12"/>
      <c r="DW25" s="12"/>
      <c r="DX25" s="12"/>
      <c r="DY25" s="13"/>
      <c r="DZ25" s="9"/>
      <c r="EA25" s="9"/>
      <c r="EB25" s="9"/>
      <c r="EC25" s="9"/>
      <c r="ED25" s="10"/>
      <c r="EE25" s="11"/>
      <c r="EF25" s="12"/>
      <c r="EG25" s="12"/>
      <c r="EH25" s="12"/>
      <c r="EI25" s="13"/>
      <c r="EJ25" s="9"/>
      <c r="EK25" s="9"/>
      <c r="EL25" s="9"/>
      <c r="EM25" s="9"/>
      <c r="EN25" s="10"/>
      <c r="EO25" s="11"/>
      <c r="EP25" s="12"/>
      <c r="EQ25" s="12"/>
      <c r="ER25" s="12"/>
      <c r="ES25" s="13"/>
      <c r="ET25" s="9"/>
      <c r="EU25" s="9"/>
      <c r="EV25" s="9"/>
      <c r="EW25" s="9"/>
      <c r="EX25" s="10"/>
      <c r="EY25" s="11"/>
      <c r="EZ25" s="12"/>
      <c r="FA25" s="12"/>
      <c r="FB25" s="12"/>
      <c r="FC25" s="13"/>
      <c r="FD25" s="9"/>
      <c r="FE25" s="9"/>
      <c r="FF25" s="9"/>
      <c r="FG25" s="9"/>
      <c r="FH25" s="10"/>
      <c r="FI25" s="11"/>
      <c r="FJ25" s="12"/>
      <c r="FK25" s="12"/>
      <c r="FL25" s="12"/>
      <c r="FM25" s="13"/>
      <c r="FN25" s="9"/>
      <c r="FO25" s="9"/>
      <c r="FP25" s="9"/>
      <c r="FQ25" s="9"/>
      <c r="FR25" s="10"/>
      <c r="FS25" s="11"/>
      <c r="FT25" s="12"/>
      <c r="FU25" s="12"/>
      <c r="FV25" s="12"/>
      <c r="FW25" s="13"/>
      <c r="FX25" s="9"/>
      <c r="FY25" s="9"/>
      <c r="FZ25" s="9"/>
      <c r="GA25" s="9"/>
      <c r="GB25" s="10"/>
      <c r="GC25" s="11"/>
      <c r="GD25" s="12"/>
      <c r="GE25" s="12"/>
      <c r="GF25" s="12"/>
      <c r="GG25" s="13"/>
      <c r="GH25" s="9"/>
      <c r="GI25" s="9"/>
      <c r="GJ25" s="9"/>
      <c r="GK25" s="9"/>
      <c r="GL25" s="10"/>
      <c r="GM25" s="11"/>
      <c r="GN25" s="12"/>
      <c r="GO25" s="12"/>
      <c r="GP25" s="12"/>
      <c r="GQ25" s="13"/>
      <c r="GR25" s="9"/>
      <c r="GS25" s="9"/>
      <c r="GT25" s="9"/>
      <c r="GU25" s="9"/>
      <c r="GV25" s="10"/>
      <c r="GW25" s="11"/>
      <c r="GX25" s="12"/>
      <c r="GY25" s="12"/>
      <c r="GZ25" s="12"/>
      <c r="HA25" s="13"/>
      <c r="HB25" s="9"/>
      <c r="HC25" s="9"/>
      <c r="HD25" s="9"/>
      <c r="HE25" s="9"/>
      <c r="HF25" s="10"/>
      <c r="HG25" s="11"/>
      <c r="HH25" s="12"/>
      <c r="HI25" s="12"/>
      <c r="HJ25" s="12"/>
      <c r="HK25" s="13"/>
      <c r="HL25" s="9"/>
      <c r="HM25" s="9"/>
      <c r="HN25" s="9"/>
      <c r="HO25" s="9"/>
      <c r="HP25" s="10"/>
      <c r="HQ25" s="11"/>
      <c r="HR25" s="12"/>
      <c r="HS25" s="12"/>
      <c r="HT25" s="12"/>
      <c r="HU25" s="13"/>
      <c r="HV25" s="9"/>
      <c r="HW25" s="9"/>
      <c r="HX25" s="9"/>
      <c r="HY25" s="9"/>
      <c r="HZ25" s="10"/>
      <c r="IA25" s="11"/>
      <c r="IB25" s="12"/>
      <c r="IC25" s="12"/>
      <c r="ID25" s="12"/>
      <c r="IE25" s="13"/>
      <c r="IF25" s="9"/>
      <c r="IG25" s="9"/>
      <c r="IH25" s="9"/>
      <c r="II25" s="9"/>
      <c r="IJ25" s="10"/>
      <c r="IK25" s="11"/>
      <c r="IL25" s="12"/>
      <c r="IM25" s="12"/>
      <c r="IN25" s="12"/>
      <c r="IO25" s="13"/>
      <c r="IP25" s="9"/>
      <c r="IQ25" s="9"/>
      <c r="IR25" s="9"/>
      <c r="IS25" s="9"/>
      <c r="IT25" s="10"/>
      <c r="IU25" s="11"/>
      <c r="IV25" s="12"/>
      <c r="IW25" s="12"/>
      <c r="IX25" s="12"/>
      <c r="IY25" s="13"/>
      <c r="IZ25" s="9"/>
      <c r="JA25" s="9"/>
      <c r="JB25" s="9"/>
      <c r="JC25" s="9"/>
      <c r="JD25" s="10"/>
      <c r="JE25" s="11"/>
      <c r="JF25" s="12"/>
      <c r="JG25" s="12"/>
      <c r="JH25" s="12"/>
      <c r="JI25" s="13"/>
      <c r="JJ25" s="9"/>
      <c r="JK25" s="9"/>
      <c r="JL25" s="9"/>
      <c r="JM25" s="9"/>
      <c r="JN25" s="10"/>
      <c r="JO25" s="11"/>
      <c r="JP25" s="12"/>
      <c r="JQ25" s="12"/>
      <c r="JR25" s="12"/>
      <c r="JS25" s="13"/>
      <c r="JT25" s="9"/>
      <c r="JU25" s="9"/>
      <c r="JV25" s="9"/>
      <c r="JW25" s="9"/>
      <c r="JX25" s="10"/>
      <c r="JY25" s="11"/>
      <c r="JZ25" s="12"/>
      <c r="KA25" s="12"/>
      <c r="KB25" s="12"/>
      <c r="KC25" s="13"/>
      <c r="KD25" s="9"/>
      <c r="KE25" s="9"/>
      <c r="KF25" s="9"/>
      <c r="KG25" s="9"/>
      <c r="KH25" s="10"/>
      <c r="KI25" s="11"/>
      <c r="KJ25" s="12"/>
      <c r="KK25" s="12"/>
      <c r="KL25" s="12"/>
      <c r="KM25" s="13"/>
      <c r="KN25" s="9"/>
      <c r="KO25" s="9"/>
      <c r="KP25" s="9"/>
      <c r="KQ25" s="9"/>
      <c r="KR25" s="10"/>
      <c r="KS25" s="11"/>
      <c r="KT25" s="12"/>
      <c r="KU25" s="12"/>
      <c r="KV25" s="12"/>
      <c r="KW25" s="13"/>
      <c r="KX25" s="9"/>
      <c r="KY25" s="9"/>
      <c r="KZ25" s="9"/>
      <c r="LA25" s="9"/>
      <c r="LB25" s="10"/>
      <c r="LC25" s="11"/>
      <c r="LD25" s="12"/>
      <c r="LE25" s="12"/>
      <c r="LF25" s="12"/>
      <c r="LG25" s="13"/>
      <c r="LH25" s="9"/>
      <c r="LI25" s="9"/>
      <c r="LJ25" s="9"/>
      <c r="LK25" s="9"/>
      <c r="LL25" s="10"/>
      <c r="LM25" s="11"/>
      <c r="LN25" s="12"/>
      <c r="LO25" s="12"/>
      <c r="LP25" s="12"/>
      <c r="LQ25" s="13"/>
      <c r="LR25" s="9"/>
      <c r="LS25" s="9"/>
      <c r="LT25" s="9"/>
      <c r="LU25" s="9"/>
      <c r="LV25" s="10"/>
      <c r="LW25" s="11"/>
      <c r="LX25" s="12"/>
      <c r="LY25" s="12"/>
      <c r="LZ25" s="12"/>
      <c r="MA25" s="13"/>
      <c r="MB25" s="9"/>
      <c r="MC25" s="9"/>
      <c r="MD25" s="9"/>
      <c r="ME25" s="9"/>
      <c r="MF25" s="10"/>
      <c r="MG25" s="11"/>
      <c r="MH25" s="12"/>
      <c r="MI25" s="12"/>
      <c r="MJ25" s="12"/>
      <c r="MK25" s="13"/>
      <c r="ML25" s="9"/>
      <c r="MM25" s="9"/>
      <c r="MN25" s="9"/>
      <c r="MO25" s="9"/>
      <c r="MP25" s="10"/>
      <c r="MQ25" s="11"/>
      <c r="MR25" s="12"/>
      <c r="MS25" s="12"/>
      <c r="MT25" s="12"/>
      <c r="MU25" s="13"/>
      <c r="MV25" s="9"/>
      <c r="MW25" s="9"/>
      <c r="MX25" s="9"/>
      <c r="MY25" s="9"/>
      <c r="MZ25" s="10"/>
      <c r="NA25" s="11"/>
      <c r="NB25" s="12"/>
      <c r="NC25" s="12"/>
      <c r="ND25" s="12"/>
      <c r="NE25" s="13"/>
      <c r="NF25" s="9"/>
      <c r="NG25" s="9"/>
      <c r="NH25" s="9"/>
      <c r="NI25" s="9"/>
      <c r="NJ25" s="10"/>
      <c r="NK25" s="11"/>
      <c r="NL25" s="12"/>
      <c r="NM25" s="12"/>
      <c r="NN25" s="12"/>
      <c r="NO25" s="13"/>
      <c r="NP25" s="9"/>
      <c r="NQ25" s="9"/>
      <c r="NR25" s="9"/>
      <c r="NS25" s="9"/>
      <c r="NT25" s="10"/>
      <c r="NU25" s="11"/>
      <c r="NV25" s="12"/>
      <c r="NW25" s="12"/>
      <c r="NX25" s="12"/>
      <c r="NY25" s="13"/>
      <c r="NZ25" s="9"/>
      <c r="OA25" s="9"/>
      <c r="OB25" s="9"/>
      <c r="OC25" s="9"/>
      <c r="OD25" s="10"/>
      <c r="OE25" s="11"/>
      <c r="OF25" s="12"/>
      <c r="OG25" s="12"/>
      <c r="OH25" s="12"/>
      <c r="OI25" s="13"/>
      <c r="OJ25" s="9"/>
      <c r="OK25" s="9"/>
      <c r="OL25" s="9"/>
      <c r="OM25" s="9"/>
      <c r="ON25" s="10"/>
      <c r="OO25" s="11"/>
      <c r="OP25" s="12"/>
      <c r="OQ25" s="12"/>
      <c r="OR25" s="12"/>
      <c r="OS25" s="13"/>
      <c r="OT25" s="9"/>
      <c r="OU25" s="9"/>
      <c r="OV25" s="9"/>
      <c r="OW25" s="9"/>
      <c r="OX25" s="10"/>
      <c r="OY25" s="11"/>
      <c r="OZ25" s="12"/>
      <c r="PA25" s="12"/>
      <c r="PB25" s="12"/>
      <c r="PC25" s="13"/>
      <c r="PD25" s="9"/>
      <c r="PE25" s="9"/>
      <c r="PF25" s="9"/>
      <c r="PG25" s="9"/>
      <c r="PH25" s="10"/>
      <c r="PI25" s="11"/>
      <c r="PJ25" s="12"/>
      <c r="PK25" s="12"/>
      <c r="PL25" s="12"/>
      <c r="PM25" s="13"/>
      <c r="PN25" s="9"/>
      <c r="PO25" s="9"/>
      <c r="PP25" s="9"/>
      <c r="PQ25" s="9"/>
      <c r="PR25" s="10"/>
      <c r="PS25" s="11"/>
      <c r="PT25" s="12"/>
      <c r="PU25" s="12"/>
      <c r="PV25" s="12"/>
      <c r="PW25" s="13"/>
      <c r="PX25" s="9"/>
      <c r="PY25" s="9"/>
      <c r="PZ25" s="9"/>
      <c r="QA25" s="9"/>
      <c r="QB25" s="10"/>
      <c r="QC25" s="11"/>
      <c r="QD25" s="12"/>
      <c r="QE25" s="12"/>
      <c r="QF25" s="12"/>
      <c r="QG25" s="13"/>
      <c r="QH25" s="9"/>
      <c r="QI25" s="9"/>
      <c r="QJ25" s="9"/>
      <c r="QK25" s="9"/>
      <c r="QL25" s="10"/>
      <c r="QM25" s="11"/>
      <c r="QN25" s="12"/>
      <c r="QO25" s="12"/>
      <c r="QP25" s="12"/>
      <c r="QQ25" s="13"/>
      <c r="QR25" s="9"/>
      <c r="QS25" s="9"/>
      <c r="QT25" s="9"/>
      <c r="QU25" s="9"/>
      <c r="QV25" s="10"/>
      <c r="QW25" s="11"/>
      <c r="QX25" s="12"/>
      <c r="QY25" s="12"/>
      <c r="QZ25" s="12"/>
      <c r="RA25" s="13"/>
      <c r="RB25" s="9"/>
      <c r="RC25" s="9"/>
      <c r="RD25" s="9"/>
      <c r="RE25" s="9"/>
      <c r="RF25" s="10"/>
      <c r="RG25" s="11"/>
      <c r="RH25" s="12"/>
      <c r="RI25" s="12"/>
      <c r="RJ25" s="12"/>
      <c r="RK25" s="13"/>
      <c r="RL25" s="9"/>
      <c r="RM25" s="9"/>
      <c r="RN25" s="9"/>
      <c r="RO25" s="9"/>
      <c r="RP25" s="10"/>
      <c r="RQ25" s="11"/>
      <c r="RR25" s="12"/>
      <c r="RS25" s="12"/>
      <c r="RT25" s="12"/>
      <c r="RU25" s="13"/>
      <c r="RV25" s="9"/>
      <c r="RW25" s="9"/>
      <c r="RX25" s="9"/>
      <c r="RY25" s="9"/>
      <c r="RZ25" s="10"/>
      <c r="SA25" s="11"/>
      <c r="SB25" s="12"/>
      <c r="SC25" s="12"/>
      <c r="SD25" s="12"/>
      <c r="SE25" s="13"/>
      <c r="SF25" s="9"/>
      <c r="SG25" s="9"/>
      <c r="SH25" s="9"/>
      <c r="SI25" s="9"/>
      <c r="SJ25" s="10"/>
      <c r="SK25" s="11"/>
      <c r="SL25" s="12"/>
      <c r="SM25" s="12"/>
      <c r="SN25" s="12"/>
      <c r="SO25" s="13"/>
      <c r="SP25" s="9"/>
      <c r="SQ25" s="9"/>
      <c r="SR25" s="9"/>
      <c r="SS25" s="9"/>
      <c r="ST25" s="10"/>
      <c r="SU25" s="11"/>
      <c r="SV25" s="12"/>
      <c r="SW25" s="12"/>
      <c r="SX25" s="12"/>
      <c r="SY25" s="13"/>
      <c r="SZ25" s="9"/>
      <c r="TA25" s="9"/>
      <c r="TB25" s="9"/>
      <c r="TC25" s="9"/>
      <c r="TD25" s="10"/>
      <c r="TE25" s="11"/>
      <c r="TF25" s="12"/>
      <c r="TG25" s="12"/>
      <c r="TH25" s="12"/>
      <c r="TI25" s="13"/>
      <c r="TJ25" s="9"/>
      <c r="TK25" s="9"/>
      <c r="TL25" s="9"/>
      <c r="TM25" s="9"/>
      <c r="TN25" s="10"/>
      <c r="TO25" s="11"/>
      <c r="TP25" s="12"/>
      <c r="TQ25" s="12"/>
      <c r="TR25" s="12"/>
      <c r="TS25" s="13"/>
      <c r="TT25" s="9"/>
      <c r="TU25" s="9"/>
      <c r="TV25" s="9"/>
      <c r="TW25" s="9"/>
      <c r="TX25" s="10"/>
      <c r="TY25" s="11"/>
      <c r="TZ25" s="12"/>
      <c r="UA25" s="12"/>
      <c r="UB25" s="12"/>
      <c r="UC25" s="13"/>
      <c r="UD25" s="9"/>
      <c r="UE25" s="9"/>
      <c r="UF25" s="9"/>
      <c r="UG25" s="9"/>
      <c r="UH25" s="10"/>
      <c r="UI25" s="11"/>
      <c r="UJ25" s="12"/>
      <c r="UK25" s="12"/>
      <c r="UL25" s="12"/>
      <c r="UM25" s="13"/>
      <c r="UN25" s="9"/>
      <c r="UO25" s="9"/>
      <c r="UP25" s="9"/>
      <c r="UQ25" s="9"/>
      <c r="UR25" s="10"/>
      <c r="US25" s="11"/>
      <c r="UT25" s="12"/>
      <c r="UU25" s="12"/>
      <c r="UV25" s="12"/>
      <c r="UW25" s="13"/>
      <c r="UX25" s="9"/>
      <c r="UY25" s="9"/>
      <c r="UZ25" s="9"/>
      <c r="VA25" s="9"/>
      <c r="VB25" s="10"/>
      <c r="VC25" s="11"/>
      <c r="VD25" s="12"/>
      <c r="VE25" s="12"/>
      <c r="VF25" s="12"/>
      <c r="VG25" s="13"/>
      <c r="VH25" s="9"/>
      <c r="VI25" s="9"/>
      <c r="VJ25" s="9"/>
      <c r="VK25" s="9"/>
      <c r="VL25" s="10"/>
      <c r="VM25" s="11"/>
      <c r="VN25" s="12"/>
      <c r="VO25" s="12"/>
      <c r="VP25" s="12"/>
      <c r="VQ25" s="13"/>
      <c r="VR25" s="9"/>
      <c r="VS25" s="9"/>
      <c r="VT25" s="9"/>
      <c r="VU25" s="9"/>
      <c r="VV25" s="10"/>
      <c r="VW25" s="11"/>
      <c r="VX25" s="12"/>
      <c r="VY25" s="12"/>
      <c r="VZ25" s="12"/>
      <c r="WA25" s="13"/>
      <c r="WB25" s="9"/>
      <c r="WC25" s="9"/>
      <c r="WD25" s="9"/>
      <c r="WE25" s="9"/>
      <c r="WF25" s="10"/>
      <c r="WG25" s="11"/>
      <c r="WH25" s="12"/>
      <c r="WI25" s="12"/>
      <c r="WJ25" s="12"/>
      <c r="WK25" s="13"/>
      <c r="WL25" s="9"/>
      <c r="WM25" s="9"/>
      <c r="WN25" s="9"/>
      <c r="WO25" s="9"/>
      <c r="WP25" s="10"/>
      <c r="WQ25" s="11"/>
      <c r="WR25" s="12"/>
      <c r="WS25" s="12"/>
      <c r="WT25" s="12"/>
      <c r="WU25" s="13"/>
      <c r="WV25" s="9"/>
      <c r="WW25" s="9"/>
      <c r="WX25" s="9"/>
      <c r="WY25" s="9"/>
      <c r="WZ25" s="10"/>
      <c r="XA25" s="11"/>
      <c r="XB25" s="12"/>
      <c r="XC25" s="12"/>
      <c r="XD25" s="12"/>
      <c r="XE25" s="13"/>
      <c r="XF25" s="9"/>
      <c r="XG25" s="9"/>
      <c r="XH25" s="9"/>
      <c r="XI25" s="9"/>
      <c r="XJ25" s="10"/>
      <c r="XK25" s="11"/>
      <c r="XL25" s="12"/>
      <c r="XM25" s="12"/>
      <c r="XN25" s="12"/>
      <c r="XO25" s="13"/>
      <c r="XP25" s="9"/>
      <c r="XQ25" s="9"/>
      <c r="XR25" s="9"/>
      <c r="XS25" s="9"/>
      <c r="XT25" s="10"/>
      <c r="XU25" s="11"/>
      <c r="XV25" s="12"/>
      <c r="XW25" s="12"/>
      <c r="XX25" s="12"/>
      <c r="XY25" s="13"/>
      <c r="XZ25" s="9"/>
      <c r="YA25" s="9"/>
      <c r="YB25" s="9"/>
      <c r="YC25" s="9"/>
      <c r="YD25" s="10"/>
      <c r="YE25" s="11"/>
      <c r="YF25" s="12"/>
      <c r="YG25" s="12"/>
      <c r="YH25" s="12"/>
      <c r="YI25" s="13"/>
      <c r="YJ25" s="9"/>
      <c r="YK25" s="9"/>
      <c r="YL25" s="9"/>
      <c r="YM25" s="9"/>
      <c r="YN25" s="10"/>
      <c r="YO25" s="11"/>
      <c r="YP25" s="12"/>
      <c r="YQ25" s="12"/>
      <c r="YR25" s="12"/>
      <c r="YS25" s="13"/>
      <c r="YT25" s="9"/>
      <c r="YU25" s="9"/>
      <c r="YV25" s="9"/>
      <c r="YW25" s="9"/>
      <c r="YX25" s="10"/>
      <c r="YY25" s="11"/>
      <c r="YZ25" s="12"/>
      <c r="ZA25" s="12"/>
      <c r="ZB25" s="12"/>
      <c r="ZC25" s="13"/>
      <c r="ZD25" s="9"/>
      <c r="ZE25" s="9"/>
      <c r="ZF25" s="9"/>
      <c r="ZG25" s="9"/>
      <c r="ZH25" s="10"/>
      <c r="ZI25" s="11"/>
      <c r="ZJ25" s="12"/>
      <c r="ZK25" s="12"/>
      <c r="ZL25" s="12"/>
      <c r="ZM25" s="13"/>
      <c r="ZN25" s="9"/>
      <c r="ZO25" s="9"/>
      <c r="ZP25" s="9"/>
      <c r="ZQ25" s="9"/>
      <c r="ZR25" s="10"/>
      <c r="ZS25" s="11"/>
      <c r="ZT25" s="12"/>
      <c r="ZU25" s="12"/>
      <c r="ZV25" s="12"/>
      <c r="ZW25" s="13"/>
      <c r="ZX25" s="9"/>
      <c r="ZY25" s="9"/>
      <c r="ZZ25" s="9"/>
      <c r="AAA25" s="9"/>
      <c r="AAB25" s="10"/>
      <c r="AAC25" s="11"/>
      <c r="AAD25" s="12"/>
      <c r="AAE25" s="12"/>
      <c r="AAF25" s="12"/>
      <c r="AAG25" s="13"/>
      <c r="AAH25" s="9"/>
      <c r="AAI25" s="9"/>
      <c r="AAJ25" s="9"/>
      <c r="AAK25" s="9"/>
      <c r="AAL25" s="10"/>
      <c r="AAM25" s="11"/>
      <c r="AAN25" s="12"/>
      <c r="AAO25" s="12"/>
      <c r="AAP25" s="12"/>
      <c r="AAQ25" s="13"/>
      <c r="AAR25" s="9"/>
      <c r="AAS25" s="9"/>
      <c r="AAT25" s="9"/>
      <c r="AAU25" s="9"/>
      <c r="AAV25" s="10"/>
      <c r="AAW25" s="11"/>
      <c r="AAX25" s="12"/>
      <c r="AAY25" s="12"/>
      <c r="AAZ25" s="12"/>
      <c r="ABA25" s="13"/>
      <c r="ABB25" s="9"/>
      <c r="ABC25" s="9"/>
      <c r="ABD25" s="9"/>
      <c r="ABE25" s="9"/>
      <c r="ABF25" s="10"/>
      <c r="ABG25" s="11"/>
      <c r="ABH25" s="12"/>
      <c r="ABI25" s="12"/>
      <c r="ABJ25" s="12"/>
      <c r="ABK25" s="13"/>
      <c r="ABL25" s="9"/>
      <c r="ABM25" s="9"/>
      <c r="ABN25" s="9"/>
      <c r="ABO25" s="9"/>
      <c r="ABP25" s="10"/>
      <c r="ABQ25" s="11"/>
      <c r="ABR25" s="12"/>
      <c r="ABS25" s="12"/>
      <c r="ABT25" s="12"/>
      <c r="ABU25" s="13"/>
      <c r="ABV25" s="9"/>
      <c r="ABW25" s="9"/>
      <c r="ABX25" s="9"/>
      <c r="ABY25" s="9"/>
      <c r="ABZ25" s="10"/>
      <c r="ACA25" s="11"/>
      <c r="ACB25" s="12"/>
      <c r="ACC25" s="12"/>
      <c r="ACD25" s="12"/>
      <c r="ACE25" s="13"/>
      <c r="ACF25" s="9"/>
      <c r="ACG25" s="9"/>
      <c r="ACH25" s="9"/>
      <c r="ACI25" s="9"/>
      <c r="ACJ25" s="10"/>
      <c r="ACK25" s="11"/>
      <c r="ACL25" s="12"/>
      <c r="ACM25" s="12"/>
      <c r="ACN25" s="12"/>
      <c r="ACO25" s="13"/>
      <c r="ACP25" s="9"/>
      <c r="ACQ25" s="9"/>
      <c r="ACR25" s="9"/>
      <c r="ACS25" s="9"/>
      <c r="ACT25" s="10"/>
      <c r="ACU25" s="11"/>
      <c r="ACV25" s="12"/>
      <c r="ACW25" s="12"/>
      <c r="ACX25" s="12"/>
      <c r="ACY25" s="13"/>
      <c r="ACZ25" s="9"/>
      <c r="ADA25" s="9"/>
      <c r="ADB25" s="9"/>
      <c r="ADC25" s="9"/>
      <c r="ADD25" s="10"/>
      <c r="ADE25" s="11"/>
      <c r="ADF25" s="12"/>
      <c r="ADG25" s="12"/>
      <c r="ADH25" s="12"/>
      <c r="ADI25" s="13"/>
      <c r="ADJ25" s="9"/>
      <c r="ADK25" s="9"/>
      <c r="ADL25" s="9"/>
      <c r="ADM25" s="9"/>
      <c r="ADN25" s="10"/>
      <c r="ADO25" s="11"/>
      <c r="ADP25" s="12"/>
      <c r="ADQ25" s="12"/>
      <c r="ADR25" s="12"/>
      <c r="ADS25" s="13"/>
      <c r="ADT25" s="9"/>
      <c r="ADU25" s="9"/>
      <c r="ADV25" s="9"/>
      <c r="ADW25" s="9"/>
      <c r="ADX25" s="10"/>
      <c r="ADY25" s="11"/>
      <c r="ADZ25" s="12"/>
      <c r="AEA25" s="12"/>
      <c r="AEB25" s="12"/>
      <c r="AEC25" s="13"/>
      <c r="AED25" s="9"/>
      <c r="AEE25" s="9"/>
      <c r="AEF25" s="9"/>
      <c r="AEG25" s="9"/>
      <c r="AEH25" s="10"/>
      <c r="AEI25" s="11"/>
      <c r="AEJ25" s="12"/>
      <c r="AEK25" s="12"/>
      <c r="AEL25" s="12"/>
      <c r="AEM25" s="13"/>
      <c r="AEN25" s="9"/>
      <c r="AEO25" s="9"/>
      <c r="AEP25" s="9"/>
      <c r="AEQ25" s="9"/>
      <c r="AER25" s="10"/>
      <c r="AES25" s="11"/>
      <c r="AET25" s="12"/>
      <c r="AEU25" s="12"/>
      <c r="AEV25" s="12"/>
      <c r="AEW25" s="13"/>
      <c r="AEX25" s="9"/>
      <c r="AEY25" s="9"/>
      <c r="AEZ25" s="9"/>
      <c r="AFA25" s="9"/>
      <c r="AFB25" s="10"/>
      <c r="AFC25" s="11"/>
      <c r="AFD25" s="12"/>
      <c r="AFE25" s="12"/>
      <c r="AFF25" s="12"/>
      <c r="AFG25" s="13"/>
      <c r="AFH25" s="9"/>
      <c r="AFI25" s="9"/>
      <c r="AFJ25" s="9"/>
      <c r="AFK25" s="9"/>
      <c r="AFL25" s="10"/>
      <c r="AFM25" s="11"/>
      <c r="AFN25" s="12"/>
      <c r="AFO25" s="12"/>
      <c r="AFP25" s="12"/>
      <c r="AFQ25" s="13"/>
      <c r="AFR25" s="9"/>
      <c r="AFS25" s="9"/>
      <c r="AFT25" s="9"/>
      <c r="AFU25" s="9"/>
      <c r="AFV25" s="10"/>
      <c r="AFW25" s="11"/>
      <c r="AFX25" s="12"/>
      <c r="AFY25" s="12"/>
      <c r="AFZ25" s="12"/>
      <c r="AGA25" s="13"/>
      <c r="AGB25" s="9"/>
      <c r="AGC25" s="9"/>
      <c r="AGD25" s="9"/>
      <c r="AGE25" s="9"/>
      <c r="AGF25" s="10"/>
      <c r="AGG25" s="11"/>
      <c r="AGH25" s="12"/>
      <c r="AGI25" s="12"/>
      <c r="AGJ25" s="12"/>
      <c r="AGK25" s="13"/>
      <c r="AGL25" s="9"/>
      <c r="AGM25" s="9"/>
      <c r="AGN25" s="9"/>
      <c r="AGO25" s="9"/>
      <c r="AGP25" s="10"/>
      <c r="AGQ25" s="11"/>
      <c r="AGR25" s="12"/>
      <c r="AGS25" s="12"/>
      <c r="AGT25" s="12"/>
      <c r="AGU25" s="13"/>
      <c r="AGV25" s="9"/>
      <c r="AGW25" s="9"/>
      <c r="AGX25" s="9"/>
      <c r="AGY25" s="9"/>
      <c r="AGZ25" s="10"/>
      <c r="AHA25" s="11"/>
      <c r="AHB25" s="12"/>
      <c r="AHC25" s="12"/>
      <c r="AHD25" s="12"/>
      <c r="AHE25" s="13"/>
      <c r="AHF25" s="9"/>
      <c r="AHG25" s="9"/>
      <c r="AHH25" s="9"/>
      <c r="AHI25" s="9"/>
      <c r="AHJ25" s="10"/>
      <c r="AHK25" s="11"/>
      <c r="AHL25" s="12"/>
      <c r="AHM25" s="12"/>
      <c r="AHN25" s="12"/>
      <c r="AHO25" s="13"/>
      <c r="AHP25" s="9"/>
      <c r="AHQ25" s="9"/>
      <c r="AHR25" s="9"/>
      <c r="AHS25" s="9"/>
      <c r="AHT25" s="10"/>
      <c r="AHU25" s="11"/>
      <c r="AHV25" s="12"/>
      <c r="AHW25" s="12"/>
      <c r="AHX25" s="12"/>
      <c r="AHY25" s="13"/>
      <c r="AHZ25" s="9"/>
      <c r="AIA25" s="9"/>
      <c r="AIB25" s="9"/>
      <c r="AIC25" s="9"/>
      <c r="AID25" s="10"/>
      <c r="AIE25" s="11"/>
      <c r="AIF25" s="12"/>
      <c r="AIG25" s="12"/>
      <c r="AIH25" s="12"/>
      <c r="AII25" s="13"/>
      <c r="AIJ25" s="9"/>
      <c r="AIK25" s="9"/>
      <c r="AIL25" s="9"/>
      <c r="AIM25" s="9"/>
      <c r="AIN25" s="10"/>
      <c r="AIO25" s="11"/>
      <c r="AIP25" s="12"/>
      <c r="AIQ25" s="12"/>
      <c r="AIR25" s="12"/>
      <c r="AIS25" s="13"/>
      <c r="AIT25" s="9"/>
      <c r="AIU25" s="9"/>
      <c r="AIV25" s="9"/>
      <c r="AIW25" s="9"/>
      <c r="AIX25" s="10"/>
      <c r="AIY25" s="11"/>
      <c r="AIZ25" s="12"/>
      <c r="AJA25" s="12"/>
      <c r="AJB25" s="12"/>
      <c r="AJC25" s="13"/>
      <c r="AJD25" s="9"/>
      <c r="AJE25" s="9"/>
      <c r="AJF25" s="9"/>
      <c r="AJG25" s="9"/>
      <c r="AJH25" s="10"/>
      <c r="AJI25" s="11"/>
      <c r="AJJ25" s="12"/>
      <c r="AJK25" s="12"/>
      <c r="AJL25" s="12"/>
      <c r="AJM25" s="13"/>
      <c r="AJN25" s="9"/>
      <c r="AJO25" s="9"/>
      <c r="AJP25" s="9"/>
      <c r="AJQ25" s="9"/>
      <c r="AJR25" s="10"/>
      <c r="AJS25" s="11"/>
      <c r="AJT25" s="12"/>
      <c r="AJU25" s="12"/>
      <c r="AJV25" s="12"/>
      <c r="AJW25" s="13"/>
      <c r="AJX25" s="9"/>
      <c r="AJY25" s="9"/>
      <c r="AJZ25" s="9"/>
      <c r="AKA25" s="9"/>
      <c r="AKB25" s="10"/>
      <c r="AKC25" s="11"/>
      <c r="AKD25" s="12"/>
      <c r="AKE25" s="12"/>
      <c r="AKF25" s="12"/>
      <c r="AKG25" s="13"/>
      <c r="AKH25" s="9"/>
      <c r="AKI25" s="9"/>
      <c r="AKJ25" s="9"/>
      <c r="AKK25" s="9"/>
      <c r="AKL25" s="10"/>
      <c r="AKM25" s="11"/>
      <c r="AKN25" s="12"/>
      <c r="AKO25" s="12"/>
      <c r="AKP25" s="12"/>
      <c r="AKQ25" s="13"/>
      <c r="AKR25" s="9"/>
      <c r="AKS25" s="9"/>
      <c r="AKT25" s="9"/>
      <c r="AKU25" s="9"/>
      <c r="AKV25" s="10"/>
      <c r="AKW25" s="11"/>
      <c r="AKX25" s="12"/>
      <c r="AKY25" s="12"/>
      <c r="AKZ25" s="12"/>
      <c r="ALA25" s="13"/>
      <c r="ALB25" s="9"/>
      <c r="ALC25" s="9"/>
      <c r="ALD25" s="9"/>
      <c r="ALE25" s="9"/>
      <c r="ALF25" s="10"/>
      <c r="ALG25" s="11"/>
      <c r="ALH25" s="12"/>
      <c r="ALI25" s="12"/>
      <c r="ALJ25" s="12"/>
      <c r="ALK25" s="13"/>
      <c r="ALL25" s="9"/>
      <c r="ALM25" s="9"/>
      <c r="ALN25" s="9"/>
      <c r="ALO25" s="9"/>
      <c r="ALP25" s="10"/>
      <c r="ALQ25" s="11"/>
      <c r="ALR25" s="12"/>
      <c r="ALS25" s="12"/>
      <c r="ALT25" s="12"/>
      <c r="ALU25" s="13"/>
      <c r="ALV25" s="9"/>
      <c r="ALW25" s="9"/>
      <c r="ALX25" s="9"/>
      <c r="ALY25" s="9"/>
      <c r="ALZ25" s="10"/>
      <c r="AMA25" s="11"/>
      <c r="AMB25" s="12"/>
      <c r="AMC25" s="12"/>
      <c r="AMD25" s="12"/>
      <c r="AME25" s="13"/>
      <c r="AMF25" s="9"/>
      <c r="AMG25" s="9"/>
      <c r="AMH25" s="9"/>
      <c r="AMI25" s="9"/>
      <c r="AMJ25" s="10"/>
      <c r="AMK25" s="11"/>
      <c r="AML25" s="12"/>
      <c r="AMM25" s="12"/>
      <c r="AMN25" s="12"/>
      <c r="AMO25" s="13"/>
      <c r="AMP25" s="9"/>
      <c r="AMQ25" s="9"/>
      <c r="AMR25" s="9"/>
      <c r="AMS25" s="9"/>
      <c r="AMT25" s="10"/>
      <c r="AMU25" s="11"/>
      <c r="AMV25" s="12"/>
      <c r="AMW25" s="12"/>
      <c r="AMX25" s="12"/>
      <c r="AMY25" s="13"/>
      <c r="AMZ25" s="9"/>
      <c r="ANA25" s="9"/>
      <c r="ANB25" s="9"/>
      <c r="ANC25" s="9"/>
      <c r="AND25" s="10"/>
      <c r="ANE25" s="11"/>
      <c r="ANF25" s="12"/>
      <c r="ANG25" s="12"/>
      <c r="ANH25" s="12"/>
      <c r="ANI25" s="13"/>
      <c r="ANJ25" s="9"/>
      <c r="ANK25" s="9"/>
      <c r="ANL25" s="9"/>
      <c r="ANM25" s="9"/>
      <c r="ANN25" s="10"/>
      <c r="ANO25" s="11"/>
      <c r="ANP25" s="12"/>
      <c r="ANQ25" s="12"/>
      <c r="ANR25" s="12"/>
      <c r="ANS25" s="13"/>
      <c r="ANT25" s="9"/>
      <c r="ANU25" s="9"/>
      <c r="ANV25" s="9"/>
      <c r="ANW25" s="9"/>
      <c r="ANX25" s="10"/>
      <c r="ANY25" s="11"/>
      <c r="ANZ25" s="12"/>
      <c r="AOA25" s="12"/>
      <c r="AOB25" s="12"/>
      <c r="AOC25" s="13"/>
      <c r="AOD25" s="9"/>
      <c r="AOE25" s="9"/>
      <c r="AOF25" s="9"/>
      <c r="AOG25" s="9"/>
      <c r="AOH25" s="10"/>
      <c r="AOI25" s="11"/>
      <c r="AOJ25" s="12"/>
      <c r="AOK25" s="12"/>
      <c r="AOL25" s="12"/>
      <c r="AOM25" s="13"/>
      <c r="AON25" s="9"/>
      <c r="AOO25" s="9"/>
      <c r="AOP25" s="9"/>
      <c r="AOQ25" s="9"/>
      <c r="AOR25" s="10"/>
      <c r="AOS25" s="11"/>
      <c r="AOT25" s="12"/>
      <c r="AOU25" s="12"/>
      <c r="AOV25" s="12"/>
      <c r="AOW25" s="13"/>
      <c r="AOX25" s="9"/>
      <c r="AOY25" s="9"/>
      <c r="AOZ25" s="9"/>
      <c r="APA25" s="9"/>
      <c r="APB25" s="10"/>
      <c r="APC25" s="11"/>
      <c r="APD25" s="12"/>
      <c r="APE25" s="12"/>
      <c r="APF25" s="12"/>
      <c r="APG25" s="13"/>
      <c r="APH25" s="9"/>
      <c r="API25" s="9"/>
      <c r="APJ25" s="9"/>
      <c r="APK25" s="9"/>
      <c r="APL25" s="10"/>
      <c r="APM25" s="11"/>
      <c r="APN25" s="12"/>
      <c r="APO25" s="12"/>
      <c r="APP25" s="12"/>
      <c r="APQ25" s="13"/>
      <c r="APR25" s="9"/>
      <c r="APS25" s="9"/>
      <c r="APT25" s="9"/>
      <c r="APU25" s="9"/>
      <c r="APV25" s="10"/>
      <c r="APW25" s="11"/>
      <c r="APX25" s="12"/>
      <c r="APY25" s="12"/>
      <c r="APZ25" s="12"/>
      <c r="AQA25" s="13"/>
      <c r="AQB25" s="9"/>
      <c r="AQC25" s="9"/>
      <c r="AQD25" s="9"/>
      <c r="AQE25" s="9"/>
      <c r="AQF25" s="10"/>
      <c r="AQG25" s="11"/>
      <c r="AQH25" s="12"/>
      <c r="AQI25" s="12"/>
      <c r="AQJ25" s="12"/>
      <c r="AQK25" s="13"/>
      <c r="AQL25" s="9"/>
      <c r="AQM25" s="9"/>
      <c r="AQN25" s="9"/>
      <c r="AQO25" s="9"/>
      <c r="AQP25" s="10"/>
      <c r="AQQ25" s="11"/>
      <c r="AQR25" s="12"/>
      <c r="AQS25" s="12"/>
      <c r="AQT25" s="12"/>
      <c r="AQU25" s="13"/>
      <c r="AQV25" s="9"/>
      <c r="AQW25" s="9"/>
      <c r="AQX25" s="9"/>
      <c r="AQY25" s="9"/>
      <c r="AQZ25" s="10"/>
      <c r="ARA25" s="11"/>
      <c r="ARB25" s="12"/>
      <c r="ARC25" s="12"/>
      <c r="ARD25" s="12"/>
      <c r="ARE25" s="13"/>
      <c r="ARF25" s="9"/>
      <c r="ARG25" s="9"/>
      <c r="ARH25" s="9"/>
      <c r="ARI25" s="9"/>
      <c r="ARJ25" s="10"/>
      <c r="ARK25" s="11"/>
      <c r="ARL25" s="12"/>
      <c r="ARM25" s="12"/>
      <c r="ARN25" s="12"/>
      <c r="ARO25" s="13"/>
      <c r="ARP25" s="9"/>
      <c r="ARQ25" s="9"/>
      <c r="ARR25" s="9"/>
      <c r="ARS25" s="9"/>
      <c r="ART25" s="10"/>
      <c r="ARU25" s="11"/>
      <c r="ARV25" s="12"/>
      <c r="ARW25" s="12"/>
      <c r="ARX25" s="12"/>
      <c r="ARY25" s="13"/>
      <c r="ARZ25" s="9"/>
      <c r="ASA25" s="9"/>
      <c r="ASB25" s="9"/>
      <c r="ASC25" s="9"/>
      <c r="ASD25" s="10"/>
      <c r="ASE25" s="11"/>
      <c r="ASF25" s="12"/>
      <c r="ASG25" s="12"/>
      <c r="ASH25" s="12"/>
      <c r="ASI25" s="13"/>
      <c r="ASJ25" s="9"/>
      <c r="ASK25" s="9"/>
      <c r="ASL25" s="9"/>
      <c r="ASM25" s="9"/>
      <c r="ASN25" s="10"/>
      <c r="ASO25" s="11"/>
      <c r="ASP25" s="12"/>
      <c r="ASQ25" s="12"/>
      <c r="ASR25" s="12"/>
      <c r="ASS25" s="13"/>
      <c r="AST25" s="9"/>
      <c r="ASU25" s="9"/>
      <c r="ASV25" s="9"/>
      <c r="ASW25" s="9"/>
      <c r="ASX25" s="10"/>
      <c r="ASY25" s="11"/>
      <c r="ASZ25" s="12"/>
      <c r="ATA25" s="12"/>
      <c r="ATB25" s="12"/>
      <c r="ATC25" s="13"/>
      <c r="ATD25" s="9"/>
      <c r="ATE25" s="9"/>
      <c r="ATF25" s="9"/>
      <c r="ATG25" s="9"/>
      <c r="ATH25" s="10"/>
      <c r="ATI25" s="11"/>
      <c r="ATJ25" s="12"/>
      <c r="ATK25" s="12"/>
      <c r="ATL25" s="12"/>
      <c r="ATM25" s="13"/>
      <c r="ATN25" s="9"/>
      <c r="ATO25" s="9"/>
      <c r="ATP25" s="9"/>
      <c r="ATQ25" s="9"/>
      <c r="ATR25" s="10"/>
      <c r="ATS25" s="11"/>
      <c r="ATT25" s="12"/>
      <c r="ATU25" s="12"/>
      <c r="ATV25" s="12"/>
      <c r="ATW25" s="13"/>
      <c r="ATX25" s="9"/>
      <c r="ATY25" s="9"/>
      <c r="ATZ25" s="9"/>
      <c r="AUA25" s="9"/>
      <c r="AUB25" s="10"/>
      <c r="AUC25" s="11"/>
      <c r="AUD25" s="12"/>
      <c r="AUE25" s="12"/>
      <c r="AUF25" s="12"/>
      <c r="AUG25" s="13"/>
      <c r="AUH25" s="9"/>
      <c r="AUI25" s="9"/>
      <c r="AUJ25" s="9"/>
      <c r="AUK25" s="9"/>
      <c r="AUL25" s="10"/>
      <c r="AUM25" s="11"/>
      <c r="AUN25" s="12"/>
      <c r="AUO25" s="12"/>
      <c r="AUP25" s="12"/>
      <c r="AUQ25" s="13"/>
      <c r="AUR25" s="9"/>
      <c r="AUS25" s="9"/>
      <c r="AUT25" s="9"/>
      <c r="AUU25" s="9"/>
      <c r="AUV25" s="10"/>
      <c r="AUW25" s="11"/>
      <c r="AUX25" s="12"/>
      <c r="AUY25" s="12"/>
      <c r="AUZ25" s="12"/>
      <c r="AVA25" s="13"/>
      <c r="AVB25" s="9"/>
      <c r="AVC25" s="9"/>
      <c r="AVD25" s="9"/>
      <c r="AVE25" s="9"/>
      <c r="AVF25" s="10"/>
      <c r="AVG25" s="11"/>
      <c r="AVH25" s="12"/>
      <c r="AVI25" s="12"/>
      <c r="AVJ25" s="12"/>
      <c r="AVK25" s="13"/>
      <c r="AVL25" s="9"/>
      <c r="AVM25" s="9"/>
      <c r="AVN25" s="9"/>
      <c r="AVO25" s="9"/>
      <c r="AVP25" s="10"/>
      <c r="AVQ25" s="11"/>
      <c r="AVR25" s="12"/>
      <c r="AVS25" s="12"/>
      <c r="AVT25" s="12"/>
      <c r="AVU25" s="13"/>
      <c r="AVV25" s="9"/>
      <c r="AVW25" s="9"/>
      <c r="AVX25" s="9"/>
      <c r="AVY25" s="9"/>
      <c r="AVZ25" s="10"/>
      <c r="AWA25" s="11"/>
      <c r="AWB25" s="12"/>
      <c r="AWC25" s="12"/>
      <c r="AWD25" s="12"/>
      <c r="AWE25" s="13"/>
      <c r="AWF25" s="9"/>
      <c r="AWG25" s="9"/>
      <c r="AWH25" s="9"/>
      <c r="AWI25" s="9"/>
      <c r="AWJ25" s="10"/>
      <c r="AWK25" s="11"/>
      <c r="AWL25" s="12"/>
      <c r="AWM25" s="12"/>
      <c r="AWN25" s="12"/>
      <c r="AWO25" s="13"/>
      <c r="AWP25" s="9"/>
      <c r="AWQ25" s="9"/>
      <c r="AWR25" s="9"/>
      <c r="AWS25" s="9"/>
      <c r="AWT25" s="10"/>
      <c r="AWU25" s="11"/>
      <c r="AWV25" s="12"/>
      <c r="AWW25" s="12"/>
      <c r="AWX25" s="12"/>
      <c r="AWY25" s="13"/>
      <c r="AWZ25" s="9"/>
      <c r="AXA25" s="9"/>
      <c r="AXB25" s="9"/>
      <c r="AXC25" s="9"/>
      <c r="AXD25" s="10"/>
      <c r="AXE25" s="11"/>
      <c r="AXF25" s="12"/>
      <c r="AXG25" s="12"/>
      <c r="AXH25" s="12"/>
      <c r="AXI25" s="13"/>
      <c r="AXJ25" s="9"/>
      <c r="AXK25" s="9"/>
      <c r="AXL25" s="9"/>
      <c r="AXM25" s="9"/>
      <c r="AXN25" s="10"/>
      <c r="AXO25" s="11"/>
      <c r="AXP25" s="12"/>
      <c r="AXQ25" s="12"/>
      <c r="AXR25" s="12"/>
      <c r="AXS25" s="13"/>
      <c r="AXT25" s="9"/>
      <c r="AXU25" s="9"/>
      <c r="AXV25" s="9"/>
      <c r="AXW25" s="9"/>
      <c r="AXX25" s="10"/>
      <c r="AXY25" s="11"/>
      <c r="AXZ25" s="12"/>
      <c r="AYA25" s="12"/>
      <c r="AYB25" s="12"/>
      <c r="AYC25" s="13"/>
      <c r="AYD25" s="9"/>
      <c r="AYE25" s="9"/>
      <c r="AYF25" s="9"/>
      <c r="AYG25" s="9"/>
      <c r="AYH25" s="10"/>
      <c r="AYI25" s="11"/>
      <c r="AYJ25" s="12"/>
      <c r="AYK25" s="12"/>
      <c r="AYL25" s="12"/>
      <c r="AYM25" s="13"/>
      <c r="AYN25" s="9"/>
      <c r="AYO25" s="9"/>
      <c r="AYP25" s="9"/>
      <c r="AYQ25" s="9"/>
      <c r="AYR25" s="10"/>
      <c r="AYS25" s="11"/>
      <c r="AYT25" s="12"/>
      <c r="AYU25" s="12"/>
      <c r="AYV25" s="12"/>
      <c r="AYW25" s="13"/>
      <c r="AYX25" s="9"/>
      <c r="AYY25" s="9"/>
      <c r="AYZ25" s="9"/>
      <c r="AZA25" s="9"/>
      <c r="AZB25" s="10"/>
      <c r="AZC25" s="11"/>
      <c r="AZD25" s="12"/>
      <c r="AZE25" s="12"/>
      <c r="AZF25" s="12"/>
      <c r="AZG25" s="13"/>
      <c r="AZH25" s="9"/>
      <c r="AZI25" s="9"/>
      <c r="AZJ25" s="9"/>
      <c r="AZK25" s="9"/>
      <c r="AZL25" s="10"/>
      <c r="AZM25" s="11"/>
      <c r="AZN25" s="12"/>
      <c r="AZO25" s="12"/>
      <c r="AZP25" s="12"/>
      <c r="AZQ25" s="13"/>
      <c r="AZR25" s="9"/>
      <c r="AZS25" s="9"/>
      <c r="AZT25" s="9"/>
      <c r="AZU25" s="9"/>
      <c r="AZV25" s="10"/>
      <c r="AZW25" s="11"/>
      <c r="AZX25" s="12"/>
      <c r="AZY25" s="12"/>
      <c r="AZZ25" s="12"/>
      <c r="BAA25" s="13"/>
      <c r="BAB25" s="9"/>
      <c r="BAC25" s="9"/>
      <c r="BAD25" s="9"/>
      <c r="BAE25" s="9"/>
      <c r="BAF25" s="10"/>
      <c r="BAG25" s="11"/>
      <c r="BAH25" s="12"/>
      <c r="BAI25" s="12"/>
      <c r="BAJ25" s="12"/>
      <c r="BAK25" s="13"/>
      <c r="BAL25" s="9"/>
      <c r="BAM25" s="9"/>
      <c r="BAN25" s="9"/>
      <c r="BAO25" s="9"/>
      <c r="BAP25" s="10"/>
      <c r="BAQ25" s="11"/>
      <c r="BAR25" s="12"/>
      <c r="BAS25" s="12"/>
      <c r="BAT25" s="12"/>
      <c r="BAU25" s="13"/>
      <c r="BAV25" s="9"/>
      <c r="BAW25" s="9"/>
      <c r="BAX25" s="9"/>
      <c r="BAY25" s="9"/>
      <c r="BAZ25" s="10"/>
      <c r="BBA25" s="11"/>
      <c r="BBB25" s="12"/>
      <c r="BBC25" s="12"/>
      <c r="BBD25" s="12"/>
      <c r="BBE25" s="13"/>
      <c r="BBF25" s="9"/>
      <c r="BBG25" s="9"/>
      <c r="BBH25" s="9"/>
      <c r="BBI25" s="9"/>
      <c r="BBJ25" s="10"/>
      <c r="BBK25" s="11"/>
      <c r="BBL25" s="12"/>
      <c r="BBM25" s="12"/>
      <c r="BBN25" s="12"/>
      <c r="BBO25" s="13"/>
      <c r="BBP25" s="9"/>
      <c r="BBQ25" s="9"/>
      <c r="BBR25" s="9"/>
      <c r="BBS25" s="9"/>
      <c r="BBT25" s="10"/>
      <c r="BBU25" s="11"/>
      <c r="BBV25" s="12"/>
      <c r="BBW25" s="12"/>
      <c r="BBX25" s="12"/>
      <c r="BBY25" s="13"/>
      <c r="BBZ25" s="9"/>
      <c r="BCA25" s="9"/>
      <c r="BCB25" s="9"/>
      <c r="BCC25" s="9"/>
      <c r="BCD25" s="10"/>
      <c r="BCE25" s="11"/>
      <c r="BCF25" s="12"/>
      <c r="BCG25" s="12"/>
      <c r="BCH25" s="12"/>
      <c r="BCI25" s="13"/>
      <c r="BCJ25" s="9"/>
      <c r="BCK25" s="9"/>
      <c r="BCL25" s="9"/>
      <c r="BCM25" s="9"/>
      <c r="BCN25" s="10"/>
      <c r="BCO25" s="11"/>
      <c r="BCP25" s="12"/>
      <c r="BCQ25" s="12"/>
      <c r="BCR25" s="12"/>
      <c r="BCS25" s="13"/>
      <c r="BCT25" s="9"/>
      <c r="BCU25" s="9"/>
      <c r="BCV25" s="9"/>
      <c r="BCW25" s="9"/>
      <c r="BCX25" s="10"/>
      <c r="BCY25" s="11"/>
      <c r="BCZ25" s="12"/>
      <c r="BDA25" s="12"/>
      <c r="BDB25" s="12"/>
      <c r="BDC25" s="13"/>
      <c r="BDD25" s="9"/>
      <c r="BDE25" s="9"/>
      <c r="BDF25" s="9"/>
      <c r="BDG25" s="9"/>
      <c r="BDH25" s="10"/>
      <c r="BDI25" s="11"/>
      <c r="BDJ25" s="12"/>
      <c r="BDK25" s="12"/>
      <c r="BDL25" s="12"/>
      <c r="BDM25" s="13"/>
      <c r="BDN25" s="9"/>
      <c r="BDO25" s="9"/>
      <c r="BDP25" s="9"/>
      <c r="BDQ25" s="9"/>
      <c r="BDR25" s="10"/>
      <c r="BDS25" s="11"/>
      <c r="BDT25" s="12"/>
      <c r="BDU25" s="12"/>
      <c r="BDV25" s="12"/>
      <c r="BDW25" s="13"/>
      <c r="BDX25" s="9"/>
      <c r="BDY25" s="9"/>
      <c r="BDZ25" s="9"/>
      <c r="BEA25" s="9"/>
      <c r="BEB25" s="10"/>
      <c r="BEC25" s="11"/>
      <c r="BED25" s="12"/>
      <c r="BEE25" s="12"/>
      <c r="BEF25" s="12"/>
      <c r="BEG25" s="13"/>
      <c r="BEH25" s="9"/>
      <c r="BEI25" s="9"/>
      <c r="BEJ25" s="9"/>
      <c r="BEK25" s="9"/>
      <c r="BEL25" s="10"/>
      <c r="BEM25" s="11"/>
      <c r="BEN25" s="12"/>
      <c r="BEO25" s="12"/>
      <c r="BEP25" s="12"/>
      <c r="BEQ25" s="13"/>
      <c r="BER25" s="9"/>
      <c r="BES25" s="9"/>
      <c r="BET25" s="9"/>
      <c r="BEU25" s="9"/>
      <c r="BEV25" s="10"/>
      <c r="BEW25" s="11"/>
      <c r="BEX25" s="12"/>
      <c r="BEY25" s="12"/>
      <c r="BEZ25" s="12"/>
      <c r="BFA25" s="13"/>
      <c r="BFB25" s="9"/>
      <c r="BFC25" s="9"/>
      <c r="BFD25" s="9"/>
      <c r="BFE25" s="9"/>
      <c r="BFF25" s="10"/>
      <c r="BFG25" s="11"/>
      <c r="BFH25" s="12"/>
      <c r="BFI25" s="12"/>
      <c r="BFJ25" s="12"/>
      <c r="BFK25" s="13"/>
      <c r="BFL25" s="9"/>
      <c r="BFM25" s="9"/>
      <c r="BFN25" s="9"/>
      <c r="BFO25" s="9"/>
      <c r="BFP25" s="10"/>
      <c r="BFQ25" s="11"/>
      <c r="BFR25" s="12"/>
      <c r="BFS25" s="12"/>
      <c r="BFT25" s="12"/>
      <c r="BFU25" s="13"/>
      <c r="BFV25" s="9"/>
      <c r="BFW25" s="9"/>
      <c r="BFX25" s="9"/>
      <c r="BFY25" s="9"/>
      <c r="BFZ25" s="10"/>
      <c r="BGA25" s="11"/>
      <c r="BGB25" s="12"/>
      <c r="BGC25" s="12"/>
      <c r="BGD25" s="12"/>
      <c r="BGE25" s="13"/>
      <c r="BGF25" s="9"/>
      <c r="BGG25" s="9"/>
      <c r="BGH25" s="9"/>
      <c r="BGI25" s="9"/>
      <c r="BGJ25" s="10"/>
      <c r="BGK25" s="11"/>
      <c r="BGL25" s="12"/>
      <c r="BGM25" s="12"/>
      <c r="BGN25" s="12"/>
      <c r="BGO25" s="13"/>
      <c r="BGP25" s="9"/>
      <c r="BGQ25" s="9"/>
      <c r="BGR25" s="9"/>
      <c r="BGS25" s="9"/>
      <c r="BGT25" s="10"/>
      <c r="BGU25" s="11"/>
      <c r="BGV25" s="12"/>
      <c r="BGW25" s="12"/>
      <c r="BGX25" s="12"/>
      <c r="BGY25" s="13"/>
      <c r="BGZ25" s="9"/>
      <c r="BHA25" s="9"/>
      <c r="BHB25" s="9"/>
      <c r="BHC25" s="9"/>
      <c r="BHD25" s="10"/>
      <c r="BHE25" s="11"/>
      <c r="BHF25" s="12"/>
      <c r="BHG25" s="12"/>
      <c r="BHH25" s="12"/>
      <c r="BHI25" s="13"/>
      <c r="BHJ25" s="9"/>
      <c r="BHK25" s="9"/>
      <c r="BHL25" s="9"/>
      <c r="BHM25" s="9"/>
      <c r="BHN25" s="10"/>
      <c r="BHO25" s="11"/>
      <c r="BHP25" s="12"/>
      <c r="BHQ25" s="12"/>
      <c r="BHR25" s="12"/>
      <c r="BHS25" s="13"/>
      <c r="BHT25" s="9"/>
      <c r="BHU25" s="9"/>
      <c r="BHV25" s="9"/>
      <c r="BHW25" s="9"/>
      <c r="BHX25" s="10"/>
      <c r="BHY25" s="11"/>
      <c r="BHZ25" s="12"/>
      <c r="BIA25" s="12"/>
      <c r="BIB25" s="12"/>
      <c r="BIC25" s="13"/>
      <c r="BID25" s="9"/>
      <c r="BIE25" s="9"/>
      <c r="BIF25" s="9"/>
      <c r="BIG25" s="9"/>
      <c r="BIH25" s="10"/>
      <c r="BII25" s="11"/>
      <c r="BIJ25" s="12"/>
      <c r="BIK25" s="12"/>
      <c r="BIL25" s="12"/>
      <c r="BIM25" s="13"/>
      <c r="BIN25" s="9"/>
      <c r="BIO25" s="9"/>
      <c r="BIP25" s="9"/>
      <c r="BIQ25" s="9"/>
      <c r="BIR25" s="10"/>
      <c r="BIS25" s="11"/>
      <c r="BIT25" s="12"/>
      <c r="BIU25" s="12"/>
      <c r="BIV25" s="12"/>
      <c r="BIW25" s="13"/>
      <c r="BIX25" s="9"/>
      <c r="BIY25" s="9"/>
      <c r="BIZ25" s="9"/>
      <c r="BJA25" s="9"/>
      <c r="BJB25" s="10"/>
      <c r="BJC25" s="11"/>
      <c r="BJD25" s="12"/>
      <c r="BJE25" s="12"/>
      <c r="BJF25" s="12"/>
      <c r="BJG25" s="13"/>
      <c r="BJH25" s="9"/>
      <c r="BJI25" s="9"/>
      <c r="BJJ25" s="9"/>
      <c r="BJK25" s="9"/>
      <c r="BJL25" s="10"/>
      <c r="BJM25" s="11"/>
      <c r="BJN25" s="12"/>
      <c r="BJO25" s="12"/>
      <c r="BJP25" s="12"/>
      <c r="BJQ25" s="13"/>
      <c r="BJR25" s="9"/>
      <c r="BJS25" s="9"/>
      <c r="BJT25" s="9"/>
      <c r="BJU25" s="9"/>
      <c r="BJV25" s="10"/>
      <c r="BJW25" s="11"/>
      <c r="BJX25" s="12"/>
      <c r="BJY25" s="12"/>
      <c r="BJZ25" s="12"/>
      <c r="BKA25" s="13"/>
      <c r="BKB25" s="9"/>
      <c r="BKC25" s="9"/>
      <c r="BKD25" s="9"/>
      <c r="BKE25" s="9"/>
      <c r="BKF25" s="10"/>
      <c r="BKG25" s="11"/>
      <c r="BKH25" s="12"/>
      <c r="BKI25" s="12"/>
      <c r="BKJ25" s="12"/>
      <c r="BKK25" s="13"/>
      <c r="BKL25" s="9"/>
      <c r="BKM25" s="9"/>
      <c r="BKN25" s="9"/>
      <c r="BKO25" s="9"/>
      <c r="BKP25" s="10"/>
      <c r="BKQ25" s="11"/>
      <c r="BKR25" s="12"/>
      <c r="BKS25" s="12"/>
      <c r="BKT25" s="12"/>
      <c r="BKU25" s="13"/>
      <c r="BKV25" s="9"/>
      <c r="BKW25" s="9"/>
      <c r="BKX25" s="9"/>
      <c r="BKY25" s="9"/>
      <c r="BKZ25" s="10"/>
      <c r="BLA25" s="11"/>
      <c r="BLB25" s="12"/>
      <c r="BLC25" s="12"/>
      <c r="BLD25" s="12"/>
      <c r="BLE25" s="13"/>
      <c r="BLF25" s="9"/>
      <c r="BLG25" s="9"/>
      <c r="BLH25" s="9"/>
      <c r="BLI25" s="9"/>
      <c r="BLJ25" s="10"/>
      <c r="BLK25" s="11"/>
      <c r="BLL25" s="12"/>
      <c r="BLM25" s="12"/>
      <c r="BLN25" s="12"/>
      <c r="BLO25" s="13"/>
      <c r="BLP25" s="9"/>
      <c r="BLQ25" s="9"/>
      <c r="BLR25" s="9"/>
      <c r="BLS25" s="9"/>
      <c r="BLT25" s="10"/>
      <c r="BLU25" s="11"/>
      <c r="BLV25" s="12"/>
      <c r="BLW25" s="12"/>
      <c r="BLX25" s="12"/>
      <c r="BLY25" s="13"/>
      <c r="BLZ25" s="9"/>
      <c r="BMA25" s="9"/>
      <c r="BMB25" s="9"/>
      <c r="BMC25" s="9"/>
      <c r="BMD25" s="10"/>
      <c r="BME25" s="11"/>
      <c r="BMF25" s="12"/>
      <c r="BMG25" s="12"/>
      <c r="BMH25" s="12"/>
      <c r="BMI25" s="13"/>
      <c r="BMJ25" s="9"/>
      <c r="BMK25" s="9"/>
      <c r="BML25" s="9"/>
      <c r="BMM25" s="9"/>
      <c r="BMN25" s="10"/>
      <c r="BMO25" s="11"/>
      <c r="BMP25" s="12"/>
      <c r="BMQ25" s="12"/>
      <c r="BMR25" s="12"/>
      <c r="BMS25" s="13"/>
      <c r="BMT25" s="9"/>
      <c r="BMU25" s="9"/>
      <c r="BMV25" s="9"/>
      <c r="BMW25" s="9"/>
      <c r="BMX25" s="10"/>
      <c r="BMY25" s="11"/>
      <c r="BMZ25" s="12"/>
      <c r="BNA25" s="12"/>
      <c r="BNB25" s="12"/>
      <c r="BNC25" s="13"/>
      <c r="BND25" s="9"/>
      <c r="BNE25" s="9"/>
      <c r="BNF25" s="9"/>
      <c r="BNG25" s="9"/>
      <c r="BNH25" s="10"/>
      <c r="BNI25" s="11"/>
      <c r="BNJ25" s="12"/>
      <c r="BNK25" s="12"/>
      <c r="BNL25" s="12"/>
      <c r="BNM25" s="13"/>
      <c r="BNN25" s="9"/>
      <c r="BNO25" s="9"/>
      <c r="BNP25" s="9"/>
      <c r="BNQ25" s="9"/>
      <c r="BNR25" s="10"/>
      <c r="BNS25" s="11"/>
      <c r="BNT25" s="12"/>
      <c r="BNU25" s="12"/>
      <c r="BNV25" s="12"/>
      <c r="BNW25" s="13"/>
      <c r="BNX25" s="9"/>
      <c r="BNY25" s="9"/>
      <c r="BNZ25" s="9"/>
      <c r="BOA25" s="9"/>
      <c r="BOB25" s="10"/>
      <c r="BOC25" s="11"/>
      <c r="BOD25" s="12"/>
      <c r="BOE25" s="12"/>
      <c r="BOF25" s="12"/>
      <c r="BOG25" s="13"/>
      <c r="BOH25" s="9"/>
      <c r="BOI25" s="9"/>
      <c r="BOJ25" s="9"/>
      <c r="BOK25" s="9"/>
      <c r="BOL25" s="10"/>
      <c r="BOM25" s="11"/>
      <c r="BON25" s="12"/>
      <c r="BOO25" s="12"/>
      <c r="BOP25" s="12"/>
      <c r="BOQ25" s="13"/>
      <c r="BOR25" s="9"/>
      <c r="BOS25" s="9"/>
      <c r="BOT25" s="9"/>
      <c r="BOU25" s="9"/>
      <c r="BOV25" s="10"/>
      <c r="BOW25" s="11"/>
      <c r="BOX25" s="12"/>
      <c r="BOY25" s="12"/>
      <c r="BOZ25" s="12"/>
      <c r="BPA25" s="13"/>
      <c r="BPB25" s="9"/>
      <c r="BPC25" s="9"/>
      <c r="BPD25" s="9"/>
      <c r="BPE25" s="9"/>
      <c r="BPF25" s="10"/>
      <c r="BPG25" s="11"/>
      <c r="BPH25" s="12"/>
      <c r="BPI25" s="12"/>
      <c r="BPJ25" s="12"/>
      <c r="BPK25" s="13"/>
      <c r="BPL25" s="9"/>
      <c r="BPM25" s="9"/>
      <c r="BPN25" s="9"/>
      <c r="BPO25" s="9"/>
      <c r="BPP25" s="10"/>
      <c r="BPQ25" s="11"/>
      <c r="BPR25" s="12"/>
      <c r="BPS25" s="12"/>
      <c r="BPT25" s="12"/>
      <c r="BPU25" s="13"/>
      <c r="BPV25" s="9"/>
      <c r="BPW25" s="9"/>
      <c r="BPX25" s="9"/>
      <c r="BPY25" s="9"/>
      <c r="BPZ25" s="10"/>
      <c r="BQA25" s="11"/>
      <c r="BQB25" s="12"/>
      <c r="BQC25" s="12"/>
      <c r="BQD25" s="12"/>
      <c r="BQE25" s="13"/>
      <c r="BQF25" s="9"/>
      <c r="BQG25" s="9"/>
      <c r="BQH25" s="9"/>
      <c r="BQI25" s="9"/>
      <c r="BQJ25" s="10"/>
      <c r="BQK25" s="11"/>
      <c r="BQL25" s="12"/>
      <c r="BQM25" s="12"/>
      <c r="BQN25" s="12"/>
      <c r="BQO25" s="13"/>
      <c r="BQP25" s="9"/>
      <c r="BQQ25" s="9"/>
      <c r="BQR25" s="9"/>
      <c r="BQS25" s="9"/>
      <c r="BQT25" s="10"/>
      <c r="BQU25" s="11"/>
      <c r="BQV25" s="12"/>
      <c r="BQW25" s="12"/>
      <c r="BQX25" s="12"/>
      <c r="BQY25" s="13"/>
      <c r="BQZ25" s="9"/>
      <c r="BRA25" s="9"/>
      <c r="BRB25" s="9"/>
      <c r="BRC25" s="9"/>
      <c r="BRD25" s="10"/>
      <c r="BRE25" s="11"/>
      <c r="BRF25" s="12"/>
      <c r="BRG25" s="12"/>
      <c r="BRH25" s="12"/>
      <c r="BRI25" s="13"/>
      <c r="BRJ25" s="9"/>
      <c r="BRK25" s="9"/>
      <c r="BRL25" s="9"/>
      <c r="BRM25" s="9"/>
      <c r="BRN25" s="10"/>
      <c r="BRO25" s="11"/>
      <c r="BRP25" s="12"/>
      <c r="BRQ25" s="12"/>
      <c r="BRR25" s="12"/>
      <c r="BRS25" s="13"/>
      <c r="BRT25" s="9"/>
      <c r="BRU25" s="9"/>
      <c r="BRV25" s="9"/>
      <c r="BRW25" s="9"/>
      <c r="BRX25" s="10"/>
      <c r="BRY25" s="11"/>
      <c r="BRZ25" s="12"/>
      <c r="BSA25" s="12"/>
      <c r="BSB25" s="12"/>
      <c r="BSC25" s="13"/>
      <c r="BSD25" s="9"/>
      <c r="BSE25" s="9"/>
      <c r="BSF25" s="9"/>
      <c r="BSG25" s="9"/>
      <c r="BSH25" s="10"/>
      <c r="BSI25" s="11"/>
      <c r="BSJ25" s="12"/>
      <c r="BSK25" s="12"/>
      <c r="BSL25" s="12"/>
      <c r="BSM25" s="13"/>
      <c r="BSN25" s="9"/>
      <c r="BSO25" s="9"/>
      <c r="BSP25" s="9"/>
      <c r="BSQ25" s="9"/>
      <c r="BSR25" s="10"/>
      <c r="BSS25" s="11"/>
      <c r="BST25" s="12"/>
      <c r="BSU25" s="12"/>
      <c r="BSV25" s="12"/>
      <c r="BSW25" s="13"/>
      <c r="BSX25" s="9"/>
      <c r="BSY25" s="9"/>
      <c r="BSZ25" s="9"/>
      <c r="BTA25" s="9"/>
      <c r="BTB25" s="10"/>
      <c r="BTC25" s="11"/>
      <c r="BTD25" s="12"/>
      <c r="BTE25" s="12"/>
      <c r="BTF25" s="12"/>
      <c r="BTG25" s="13"/>
      <c r="BTH25" s="9"/>
      <c r="BTI25" s="9"/>
      <c r="BTJ25" s="9"/>
      <c r="BTK25" s="9"/>
      <c r="BTL25" s="10"/>
      <c r="BTM25" s="11"/>
      <c r="BTN25" s="12"/>
      <c r="BTO25" s="12"/>
      <c r="BTP25" s="12"/>
      <c r="BTQ25" s="13"/>
      <c r="BTR25" s="9"/>
      <c r="BTS25" s="9"/>
      <c r="BTT25" s="9"/>
      <c r="BTU25" s="9"/>
      <c r="BTV25" s="10"/>
      <c r="BTW25" s="11"/>
      <c r="BTX25" s="12"/>
      <c r="BTY25" s="12"/>
      <c r="BTZ25" s="12"/>
      <c r="BUA25" s="13"/>
      <c r="BUB25" s="9"/>
      <c r="BUC25" s="9"/>
      <c r="BUD25" s="9"/>
      <c r="BUE25" s="9"/>
      <c r="BUF25" s="10"/>
      <c r="BUG25" s="11"/>
      <c r="BUH25" s="12"/>
      <c r="BUI25" s="12"/>
      <c r="BUJ25" s="12"/>
      <c r="BUK25" s="13"/>
      <c r="BUL25" s="9"/>
      <c r="BUM25" s="9"/>
      <c r="BUN25" s="9"/>
      <c r="BUO25" s="9"/>
      <c r="BUP25" s="10"/>
      <c r="BUQ25" s="11"/>
      <c r="BUR25" s="12"/>
      <c r="BUS25" s="12"/>
      <c r="BUT25" s="12"/>
      <c r="BUU25" s="13"/>
      <c r="BUV25" s="9"/>
      <c r="BUW25" s="9"/>
      <c r="BUX25" s="9"/>
      <c r="BUY25" s="9"/>
      <c r="BUZ25" s="10"/>
      <c r="BVA25" s="11"/>
      <c r="BVB25" s="12"/>
      <c r="BVC25" s="12"/>
      <c r="BVD25" s="12"/>
      <c r="BVE25" s="13"/>
      <c r="BVF25" s="9"/>
      <c r="BVG25" s="9"/>
      <c r="BVH25" s="9"/>
      <c r="BVI25" s="9"/>
      <c r="BVJ25" s="10"/>
      <c r="BVK25" s="11"/>
      <c r="BVL25" s="12"/>
      <c r="BVM25" s="12"/>
      <c r="BVN25" s="12"/>
      <c r="BVO25" s="13"/>
      <c r="BVP25" s="9"/>
      <c r="BVQ25" s="9"/>
      <c r="BVR25" s="9"/>
      <c r="BVS25" s="9"/>
      <c r="BVT25" s="10"/>
      <c r="BVU25" s="11"/>
      <c r="BVV25" s="12"/>
      <c r="BVW25" s="12"/>
      <c r="BVX25" s="12"/>
      <c r="BVY25" s="13"/>
      <c r="BVZ25" s="9"/>
      <c r="BWA25" s="9"/>
      <c r="BWB25" s="9"/>
      <c r="BWC25" s="9"/>
      <c r="BWD25" s="10"/>
      <c r="BWE25" s="11"/>
      <c r="BWF25" s="12"/>
      <c r="BWG25" s="12"/>
      <c r="BWH25" s="12"/>
      <c r="BWI25" s="13"/>
      <c r="BWJ25" s="9"/>
      <c r="BWK25" s="9"/>
      <c r="BWL25" s="9"/>
      <c r="BWM25" s="9"/>
      <c r="BWN25" s="10"/>
      <c r="BWO25" s="11"/>
      <c r="BWP25" s="12"/>
      <c r="BWQ25" s="12"/>
      <c r="BWR25" s="12"/>
      <c r="BWS25" s="13"/>
      <c r="BWT25" s="9"/>
      <c r="BWU25" s="9"/>
      <c r="BWV25" s="9"/>
      <c r="BWW25" s="9"/>
      <c r="BWX25" s="10"/>
      <c r="BWY25" s="11"/>
      <c r="BWZ25" s="12"/>
      <c r="BXA25" s="12"/>
      <c r="BXB25" s="12"/>
      <c r="BXC25" s="13"/>
      <c r="BXD25" s="9"/>
      <c r="BXE25" s="9"/>
      <c r="BXF25" s="9"/>
      <c r="BXG25" s="9"/>
      <c r="BXH25" s="10"/>
      <c r="BXI25" s="11"/>
      <c r="BXJ25" s="12"/>
      <c r="BXK25" s="12"/>
      <c r="BXL25" s="12"/>
      <c r="BXM25" s="13"/>
      <c r="BXN25" s="9"/>
      <c r="BXO25" s="9"/>
      <c r="BXP25" s="9"/>
      <c r="BXQ25" s="9"/>
      <c r="BXR25" s="10"/>
      <c r="BXS25" s="11"/>
      <c r="BXT25" s="12"/>
      <c r="BXU25" s="12"/>
      <c r="BXV25" s="12"/>
      <c r="BXW25" s="13"/>
      <c r="BXX25" s="9"/>
      <c r="BXY25" s="9"/>
      <c r="BXZ25" s="9"/>
      <c r="BYA25" s="9"/>
      <c r="BYB25" s="10"/>
      <c r="BYC25" s="11"/>
      <c r="BYD25" s="12"/>
      <c r="BYE25" s="12"/>
      <c r="BYF25" s="12"/>
      <c r="BYG25" s="13"/>
      <c r="BYH25" s="9"/>
      <c r="BYI25" s="9"/>
      <c r="BYJ25" s="9"/>
      <c r="BYK25" s="9"/>
      <c r="BYL25" s="10"/>
      <c r="BYM25" s="11"/>
      <c r="BYN25" s="12"/>
      <c r="BYO25" s="12"/>
      <c r="BYP25" s="12"/>
      <c r="BYQ25" s="13"/>
      <c r="BYR25" s="9"/>
      <c r="BYS25" s="9"/>
      <c r="BYT25" s="9"/>
      <c r="BYU25" s="9"/>
      <c r="BYV25" s="10"/>
      <c r="BYW25" s="11"/>
      <c r="BYX25" s="12"/>
      <c r="BYY25" s="12"/>
      <c r="BYZ25" s="12"/>
      <c r="BZA25" s="13"/>
      <c r="BZB25" s="9"/>
      <c r="BZC25" s="9"/>
      <c r="BZD25" s="9"/>
      <c r="BZE25" s="9"/>
      <c r="BZF25" s="10"/>
      <c r="BZG25" s="11"/>
      <c r="BZH25" s="12"/>
      <c r="BZI25" s="12"/>
      <c r="BZJ25" s="12"/>
      <c r="BZK25" s="13"/>
      <c r="BZL25" s="9"/>
      <c r="BZM25" s="9"/>
      <c r="BZN25" s="9"/>
      <c r="BZO25" s="9"/>
      <c r="BZP25" s="10"/>
      <c r="BZQ25" s="11"/>
      <c r="BZR25" s="12"/>
      <c r="BZS25" s="12"/>
      <c r="BZT25" s="12"/>
      <c r="BZU25" s="13"/>
      <c r="BZV25" s="9"/>
      <c r="BZW25" s="9"/>
      <c r="BZX25" s="9"/>
      <c r="BZY25" s="9"/>
      <c r="BZZ25" s="10"/>
      <c r="CAA25" s="11"/>
      <c r="CAB25" s="12"/>
      <c r="CAC25" s="12"/>
      <c r="CAD25" s="12"/>
      <c r="CAE25" s="13"/>
      <c r="CAF25" s="9"/>
      <c r="CAG25" s="9"/>
      <c r="CAH25" s="9"/>
      <c r="CAI25" s="9"/>
      <c r="CAJ25" s="10"/>
      <c r="CAK25" s="11"/>
      <c r="CAL25" s="12"/>
      <c r="CAM25" s="12"/>
      <c r="CAN25" s="12"/>
      <c r="CAO25" s="13"/>
      <c r="CAP25" s="9"/>
      <c r="CAQ25" s="9"/>
      <c r="CAR25" s="9"/>
      <c r="CAS25" s="9"/>
      <c r="CAT25" s="10"/>
      <c r="CAU25" s="11"/>
      <c r="CAV25" s="12"/>
      <c r="CAW25" s="12"/>
      <c r="CAX25" s="12"/>
      <c r="CAY25" s="13"/>
      <c r="CAZ25" s="9"/>
      <c r="CBA25" s="9"/>
      <c r="CBB25" s="9"/>
      <c r="CBC25" s="9"/>
      <c r="CBD25" s="10"/>
      <c r="CBE25" s="11"/>
      <c r="CBF25" s="12"/>
      <c r="CBG25" s="12"/>
      <c r="CBH25" s="12"/>
      <c r="CBI25" s="13"/>
      <c r="CBJ25" s="9"/>
      <c r="CBK25" s="9"/>
      <c r="CBL25" s="9"/>
      <c r="CBM25" s="9"/>
      <c r="CBN25" s="10"/>
      <c r="CBO25" s="11"/>
      <c r="CBP25" s="12"/>
      <c r="CBQ25" s="12"/>
      <c r="CBR25" s="12"/>
      <c r="CBS25" s="13"/>
      <c r="CBT25" s="9"/>
      <c r="CBU25" s="9"/>
      <c r="CBV25" s="9"/>
      <c r="CBW25" s="9"/>
      <c r="CBX25" s="10"/>
      <c r="CBY25" s="11"/>
      <c r="CBZ25" s="12"/>
      <c r="CCA25" s="12"/>
      <c r="CCB25" s="12"/>
      <c r="CCC25" s="13"/>
      <c r="CCD25" s="9"/>
      <c r="CCE25" s="9"/>
      <c r="CCF25" s="9"/>
      <c r="CCG25" s="9"/>
      <c r="CCH25" s="10"/>
      <c r="CCI25" s="11"/>
      <c r="CCJ25" s="12"/>
      <c r="CCK25" s="12"/>
      <c r="CCL25" s="12"/>
      <c r="CCM25" s="13"/>
      <c r="CCN25" s="9"/>
      <c r="CCO25" s="9"/>
      <c r="CCP25" s="9"/>
      <c r="CCQ25" s="9"/>
      <c r="CCR25" s="10"/>
      <c r="CCS25" s="11"/>
      <c r="CCT25" s="12"/>
      <c r="CCU25" s="12"/>
      <c r="CCV25" s="12"/>
      <c r="CCW25" s="13"/>
      <c r="CCX25" s="9"/>
      <c r="CCY25" s="9"/>
      <c r="CCZ25" s="9"/>
      <c r="CDA25" s="9"/>
      <c r="CDB25" s="10"/>
      <c r="CDC25" s="11"/>
      <c r="CDD25" s="12"/>
      <c r="CDE25" s="12"/>
      <c r="CDF25" s="12"/>
      <c r="CDG25" s="13"/>
      <c r="CDH25" s="9"/>
      <c r="CDI25" s="9"/>
      <c r="CDJ25" s="9"/>
      <c r="CDK25" s="9"/>
      <c r="CDL25" s="10"/>
      <c r="CDM25" s="11"/>
      <c r="CDN25" s="12"/>
      <c r="CDO25" s="12"/>
      <c r="CDP25" s="12"/>
      <c r="CDQ25" s="13"/>
      <c r="CDR25" s="9"/>
      <c r="CDS25" s="9"/>
      <c r="CDT25" s="9"/>
      <c r="CDU25" s="9"/>
      <c r="CDV25" s="10"/>
      <c r="CDW25" s="11"/>
      <c r="CDX25" s="12"/>
      <c r="CDY25" s="12"/>
      <c r="CDZ25" s="12"/>
      <c r="CEA25" s="13"/>
      <c r="CEB25" s="9"/>
      <c r="CEC25" s="9"/>
      <c r="CED25" s="9"/>
      <c r="CEE25" s="9"/>
      <c r="CEF25" s="10"/>
      <c r="CEG25" s="11"/>
      <c r="CEH25" s="12"/>
      <c r="CEI25" s="12"/>
      <c r="CEJ25" s="12"/>
      <c r="CEK25" s="13"/>
      <c r="CEL25" s="9"/>
      <c r="CEM25" s="9"/>
      <c r="CEN25" s="9"/>
      <c r="CEO25" s="9"/>
      <c r="CEP25" s="10"/>
      <c r="CEQ25" s="11"/>
      <c r="CER25" s="12"/>
      <c r="CES25" s="12"/>
      <c r="CET25" s="12"/>
      <c r="CEU25" s="13"/>
      <c r="CEV25" s="9"/>
      <c r="CEW25" s="9"/>
      <c r="CEX25" s="9"/>
      <c r="CEY25" s="9"/>
      <c r="CEZ25" s="10"/>
      <c r="CFA25" s="11"/>
      <c r="CFB25" s="12"/>
      <c r="CFC25" s="12"/>
      <c r="CFD25" s="12"/>
      <c r="CFE25" s="13"/>
      <c r="CFF25" s="9"/>
      <c r="CFG25" s="9"/>
      <c r="CFH25" s="9"/>
      <c r="CFI25" s="9"/>
      <c r="CFJ25" s="10"/>
      <c r="CFK25" s="11"/>
      <c r="CFL25" s="12"/>
      <c r="CFM25" s="12"/>
      <c r="CFN25" s="12"/>
      <c r="CFO25" s="13"/>
      <c r="CFP25" s="9"/>
      <c r="CFQ25" s="9"/>
      <c r="CFR25" s="9"/>
      <c r="CFS25" s="9"/>
      <c r="CFT25" s="10"/>
      <c r="CFU25" s="11"/>
      <c r="CFV25" s="12"/>
      <c r="CFW25" s="12"/>
      <c r="CFX25" s="12"/>
      <c r="CFY25" s="13"/>
      <c r="CFZ25" s="9"/>
      <c r="CGA25" s="9"/>
      <c r="CGB25" s="9"/>
      <c r="CGC25" s="9"/>
      <c r="CGD25" s="10"/>
      <c r="CGE25" s="11"/>
      <c r="CGF25" s="12"/>
      <c r="CGG25" s="12"/>
      <c r="CGH25" s="12"/>
      <c r="CGI25" s="13"/>
      <c r="CGJ25" s="9"/>
      <c r="CGK25" s="9"/>
      <c r="CGL25" s="9"/>
      <c r="CGM25" s="9"/>
      <c r="CGN25" s="10"/>
      <c r="CGO25" s="11"/>
      <c r="CGP25" s="12"/>
      <c r="CGQ25" s="12"/>
      <c r="CGR25" s="12"/>
      <c r="CGS25" s="13"/>
      <c r="CGT25" s="9"/>
      <c r="CGU25" s="9"/>
      <c r="CGV25" s="9"/>
      <c r="CGW25" s="9"/>
      <c r="CGX25" s="10"/>
      <c r="CGY25" s="11"/>
      <c r="CGZ25" s="12"/>
      <c r="CHA25" s="12"/>
      <c r="CHB25" s="12"/>
      <c r="CHC25" s="13"/>
      <c r="CHD25" s="9"/>
      <c r="CHE25" s="9"/>
      <c r="CHF25" s="9"/>
      <c r="CHG25" s="9"/>
      <c r="CHH25" s="10"/>
      <c r="CHI25" s="11"/>
      <c r="CHJ25" s="12"/>
      <c r="CHK25" s="12"/>
      <c r="CHL25" s="12"/>
      <c r="CHM25" s="13"/>
      <c r="CHN25" s="9"/>
      <c r="CHO25" s="9"/>
      <c r="CHP25" s="9"/>
      <c r="CHQ25" s="9"/>
      <c r="CHR25" s="10"/>
      <c r="CHS25" s="11"/>
      <c r="CHT25" s="12"/>
      <c r="CHU25" s="12"/>
      <c r="CHV25" s="12"/>
      <c r="CHW25" s="13"/>
      <c r="CHX25" s="9"/>
      <c r="CHY25" s="9"/>
      <c r="CHZ25" s="9"/>
      <c r="CIA25" s="9"/>
      <c r="CIB25" s="10"/>
      <c r="CIC25" s="11"/>
      <c r="CID25" s="12"/>
      <c r="CIE25" s="12"/>
      <c r="CIF25" s="12"/>
      <c r="CIG25" s="13"/>
      <c r="CIH25" s="9"/>
      <c r="CII25" s="9"/>
      <c r="CIJ25" s="9"/>
      <c r="CIK25" s="9"/>
      <c r="CIL25" s="10"/>
      <c r="CIM25" s="11"/>
      <c r="CIN25" s="12"/>
      <c r="CIO25" s="12"/>
      <c r="CIP25" s="12"/>
      <c r="CIQ25" s="13"/>
      <c r="CIR25" s="9"/>
      <c r="CIS25" s="9"/>
      <c r="CIT25" s="9"/>
      <c r="CIU25" s="9"/>
      <c r="CIV25" s="10"/>
      <c r="CIW25" s="11"/>
      <c r="CIX25" s="12"/>
      <c r="CIY25" s="12"/>
      <c r="CIZ25" s="12"/>
      <c r="CJA25" s="13"/>
      <c r="CJB25" s="9"/>
      <c r="CJC25" s="9"/>
      <c r="CJD25" s="9"/>
      <c r="CJE25" s="9"/>
      <c r="CJF25" s="10"/>
      <c r="CJG25" s="11"/>
      <c r="CJH25" s="12"/>
      <c r="CJI25" s="12"/>
      <c r="CJJ25" s="12"/>
      <c r="CJK25" s="13"/>
      <c r="CJL25" s="9"/>
      <c r="CJM25" s="9"/>
      <c r="CJN25" s="9"/>
      <c r="CJO25" s="9"/>
      <c r="CJP25" s="10"/>
      <c r="CJQ25" s="11"/>
      <c r="CJR25" s="12"/>
      <c r="CJS25" s="12"/>
      <c r="CJT25" s="12"/>
      <c r="CJU25" s="13"/>
      <c r="CJV25" s="9"/>
      <c r="CJW25" s="9"/>
      <c r="CJX25" s="9"/>
      <c r="CJY25" s="9"/>
      <c r="CJZ25" s="10"/>
      <c r="CKA25" s="11"/>
      <c r="CKB25" s="12"/>
      <c r="CKC25" s="12"/>
      <c r="CKD25" s="12"/>
      <c r="CKE25" s="13"/>
      <c r="CKF25" s="9"/>
      <c r="CKG25" s="9"/>
      <c r="CKH25" s="9"/>
      <c r="CKI25" s="9"/>
      <c r="CKJ25" s="10"/>
      <c r="CKK25" s="11"/>
      <c r="CKL25" s="12"/>
      <c r="CKM25" s="12"/>
      <c r="CKN25" s="12"/>
      <c r="CKO25" s="13"/>
      <c r="CKP25" s="9"/>
      <c r="CKQ25" s="9"/>
      <c r="CKR25" s="9"/>
      <c r="CKS25" s="9"/>
      <c r="CKT25" s="10"/>
      <c r="CKU25" s="11"/>
      <c r="CKV25" s="12"/>
      <c r="CKW25" s="12"/>
      <c r="CKX25" s="12"/>
      <c r="CKY25" s="13"/>
      <c r="CKZ25" s="9"/>
      <c r="CLA25" s="9"/>
      <c r="CLB25" s="9"/>
      <c r="CLC25" s="9"/>
      <c r="CLD25" s="10"/>
      <c r="CLE25" s="11"/>
      <c r="CLF25" s="12"/>
      <c r="CLG25" s="12"/>
      <c r="CLH25" s="12"/>
      <c r="CLI25" s="13"/>
      <c r="CLJ25" s="9"/>
      <c r="CLK25" s="9"/>
      <c r="CLL25" s="9"/>
      <c r="CLM25" s="9"/>
      <c r="CLN25" s="10"/>
      <c r="CLO25" s="11"/>
      <c r="CLP25" s="12"/>
      <c r="CLQ25" s="12"/>
      <c r="CLR25" s="12"/>
      <c r="CLS25" s="13"/>
      <c r="CLT25" s="9"/>
      <c r="CLU25" s="9"/>
      <c r="CLV25" s="9"/>
      <c r="CLW25" s="9"/>
      <c r="CLX25" s="10"/>
      <c r="CLY25" s="11"/>
      <c r="CLZ25" s="12"/>
      <c r="CMA25" s="12"/>
      <c r="CMB25" s="12"/>
      <c r="CMC25" s="13"/>
      <c r="CMD25" s="9"/>
      <c r="CME25" s="9"/>
      <c r="CMF25" s="9"/>
      <c r="CMG25" s="9"/>
      <c r="CMH25" s="10"/>
      <c r="CMI25" s="11"/>
      <c r="CMJ25" s="12"/>
      <c r="CMK25" s="12"/>
      <c r="CML25" s="12"/>
      <c r="CMM25" s="13"/>
      <c r="CMN25" s="9"/>
      <c r="CMO25" s="9"/>
      <c r="CMP25" s="9"/>
      <c r="CMQ25" s="9"/>
      <c r="CMR25" s="10"/>
      <c r="CMS25" s="11"/>
      <c r="CMT25" s="12"/>
      <c r="CMU25" s="12"/>
      <c r="CMV25" s="12"/>
      <c r="CMW25" s="13"/>
      <c r="CMX25" s="9"/>
      <c r="CMY25" s="9"/>
      <c r="CMZ25" s="9"/>
      <c r="CNA25" s="9"/>
      <c r="CNB25" s="10"/>
      <c r="CNC25" s="11"/>
      <c r="CND25" s="12"/>
      <c r="CNE25" s="12"/>
      <c r="CNF25" s="12"/>
      <c r="CNG25" s="13"/>
      <c r="CNH25" s="9"/>
      <c r="CNI25" s="9"/>
      <c r="CNJ25" s="9"/>
      <c r="CNK25" s="9"/>
      <c r="CNL25" s="10"/>
      <c r="CNM25" s="11"/>
      <c r="CNN25" s="12"/>
      <c r="CNO25" s="12"/>
      <c r="CNP25" s="12"/>
      <c r="CNQ25" s="13"/>
      <c r="CNR25" s="9"/>
      <c r="CNS25" s="9"/>
      <c r="CNT25" s="9"/>
      <c r="CNU25" s="9"/>
      <c r="CNV25" s="10"/>
      <c r="CNW25" s="11"/>
      <c r="CNX25" s="12"/>
      <c r="CNY25" s="12"/>
      <c r="CNZ25" s="12"/>
      <c r="COA25" s="13"/>
      <c r="COB25" s="9"/>
      <c r="COC25" s="9"/>
      <c r="COD25" s="9"/>
      <c r="COE25" s="9"/>
      <c r="COF25" s="10"/>
      <c r="COG25" s="11"/>
      <c r="COH25" s="12"/>
      <c r="COI25" s="12"/>
      <c r="COJ25" s="12"/>
      <c r="COK25" s="13"/>
      <c r="COL25" s="9"/>
      <c r="COM25" s="9"/>
      <c r="CON25" s="9"/>
      <c r="COO25" s="9"/>
      <c r="COP25" s="10"/>
      <c r="COQ25" s="11"/>
      <c r="COR25" s="12"/>
      <c r="COS25" s="12"/>
      <c r="COT25" s="12"/>
      <c r="COU25" s="13"/>
      <c r="COV25" s="9"/>
      <c r="COW25" s="9"/>
      <c r="COX25" s="9"/>
      <c r="COY25" s="9"/>
      <c r="COZ25" s="10"/>
      <c r="CPA25" s="11"/>
      <c r="CPB25" s="12"/>
      <c r="CPC25" s="12"/>
      <c r="CPD25" s="12"/>
      <c r="CPE25" s="13"/>
      <c r="CPF25" s="9"/>
      <c r="CPG25" s="9"/>
      <c r="CPH25" s="9"/>
      <c r="CPI25" s="9"/>
      <c r="CPJ25" s="10"/>
      <c r="CPK25" s="11"/>
      <c r="CPL25" s="12"/>
      <c r="CPM25" s="12"/>
      <c r="CPN25" s="12"/>
      <c r="CPO25" s="13"/>
      <c r="CPP25" s="9"/>
      <c r="CPQ25" s="9"/>
      <c r="CPR25" s="9"/>
      <c r="CPS25" s="9"/>
      <c r="CPT25" s="10"/>
      <c r="CPU25" s="11"/>
      <c r="CPV25" s="12"/>
      <c r="CPW25" s="12"/>
      <c r="CPX25" s="12"/>
      <c r="CPY25" s="13"/>
      <c r="CPZ25" s="9"/>
      <c r="CQA25" s="9"/>
      <c r="CQB25" s="9"/>
      <c r="CQC25" s="9"/>
      <c r="CQD25" s="10"/>
      <c r="CQE25" s="11"/>
      <c r="CQF25" s="12"/>
      <c r="CQG25" s="12"/>
      <c r="CQH25" s="12"/>
      <c r="CQI25" s="13"/>
      <c r="CQJ25" s="9"/>
      <c r="CQK25" s="9"/>
      <c r="CQL25" s="9"/>
      <c r="CQM25" s="9"/>
      <c r="CQN25" s="10"/>
      <c r="CQO25" s="11"/>
      <c r="CQP25" s="12"/>
      <c r="CQQ25" s="12"/>
      <c r="CQR25" s="12"/>
      <c r="CQS25" s="13"/>
      <c r="CQT25" s="9"/>
      <c r="CQU25" s="9"/>
      <c r="CQV25" s="9"/>
      <c r="CQW25" s="9"/>
      <c r="CQX25" s="10"/>
      <c r="CQY25" s="11"/>
      <c r="CQZ25" s="12"/>
      <c r="CRA25" s="12"/>
      <c r="CRB25" s="12"/>
      <c r="CRC25" s="13"/>
      <c r="CRD25" s="9"/>
      <c r="CRE25" s="9"/>
      <c r="CRF25" s="9"/>
      <c r="CRG25" s="9"/>
      <c r="CRH25" s="10"/>
      <c r="CRI25" s="11"/>
      <c r="CRJ25" s="12"/>
      <c r="CRK25" s="12"/>
      <c r="CRL25" s="12"/>
      <c r="CRM25" s="13"/>
      <c r="CRN25" s="9"/>
      <c r="CRO25" s="9"/>
      <c r="CRP25" s="9"/>
      <c r="CRQ25" s="9"/>
      <c r="CRR25" s="10"/>
      <c r="CRS25" s="11"/>
      <c r="CRT25" s="12"/>
      <c r="CRU25" s="12"/>
      <c r="CRV25" s="12"/>
      <c r="CRW25" s="13"/>
      <c r="CRX25" s="9"/>
      <c r="CRY25" s="9"/>
      <c r="CRZ25" s="9"/>
      <c r="CSA25" s="9"/>
      <c r="CSB25" s="10"/>
      <c r="CSC25" s="11"/>
      <c r="CSD25" s="12"/>
      <c r="CSE25" s="12"/>
      <c r="CSF25" s="12"/>
      <c r="CSG25" s="13"/>
      <c r="CSH25" s="9"/>
      <c r="CSI25" s="9"/>
      <c r="CSJ25" s="9"/>
      <c r="CSK25" s="9"/>
      <c r="CSL25" s="10"/>
      <c r="CSM25" s="11"/>
      <c r="CSN25" s="12"/>
      <c r="CSO25" s="12"/>
      <c r="CSP25" s="12"/>
      <c r="CSQ25" s="13"/>
      <c r="CSR25" s="9"/>
      <c r="CSS25" s="9"/>
      <c r="CST25" s="9"/>
      <c r="CSU25" s="9"/>
      <c r="CSV25" s="10"/>
      <c r="CSW25" s="11"/>
      <c r="CSX25" s="12"/>
      <c r="CSY25" s="12"/>
      <c r="CSZ25" s="12"/>
      <c r="CTA25" s="13"/>
      <c r="CTB25" s="9"/>
      <c r="CTC25" s="9"/>
      <c r="CTD25" s="9"/>
      <c r="CTE25" s="9"/>
      <c r="CTF25" s="10"/>
      <c r="CTG25" s="11"/>
      <c r="CTH25" s="12"/>
      <c r="CTI25" s="12"/>
      <c r="CTJ25" s="12"/>
      <c r="CTK25" s="13"/>
      <c r="CTL25" s="9"/>
      <c r="CTM25" s="9"/>
      <c r="CTN25" s="9"/>
      <c r="CTO25" s="9"/>
      <c r="CTP25" s="10"/>
      <c r="CTQ25" s="11"/>
      <c r="CTR25" s="12"/>
      <c r="CTS25" s="12"/>
      <c r="CTT25" s="12"/>
      <c r="CTU25" s="13"/>
      <c r="CTV25" s="9"/>
      <c r="CTW25" s="9"/>
      <c r="CTX25" s="9"/>
      <c r="CTY25" s="9"/>
      <c r="CTZ25" s="10"/>
      <c r="CUA25" s="11"/>
      <c r="CUB25" s="12"/>
      <c r="CUC25" s="12"/>
      <c r="CUD25" s="12"/>
      <c r="CUE25" s="13"/>
      <c r="CUF25" s="9"/>
      <c r="CUG25" s="9"/>
      <c r="CUH25" s="9"/>
      <c r="CUI25" s="9"/>
      <c r="CUJ25" s="10"/>
      <c r="CUK25" s="11"/>
      <c r="CUL25" s="12"/>
      <c r="CUM25" s="12"/>
      <c r="CUN25" s="12"/>
      <c r="CUO25" s="13"/>
      <c r="CUP25" s="9"/>
      <c r="CUQ25" s="9"/>
      <c r="CUR25" s="9"/>
      <c r="CUS25" s="9"/>
      <c r="CUT25" s="10"/>
      <c r="CUU25" s="11"/>
      <c r="CUV25" s="12"/>
      <c r="CUW25" s="12"/>
      <c r="CUX25" s="12"/>
      <c r="CUY25" s="13"/>
      <c r="CUZ25" s="9"/>
      <c r="CVA25" s="9"/>
      <c r="CVB25" s="9"/>
      <c r="CVC25" s="9"/>
      <c r="CVD25" s="10"/>
      <c r="CVE25" s="11"/>
      <c r="CVF25" s="12"/>
      <c r="CVG25" s="12"/>
      <c r="CVH25" s="12"/>
      <c r="CVI25" s="13"/>
      <c r="CVJ25" s="9"/>
      <c r="CVK25" s="9"/>
      <c r="CVL25" s="9"/>
      <c r="CVM25" s="9"/>
      <c r="CVN25" s="10"/>
      <c r="CVO25" s="11"/>
      <c r="CVP25" s="12"/>
      <c r="CVQ25" s="12"/>
      <c r="CVR25" s="12"/>
      <c r="CVS25" s="13"/>
      <c r="CVT25" s="9"/>
      <c r="CVU25" s="9"/>
      <c r="CVV25" s="9"/>
      <c r="CVW25" s="9"/>
      <c r="CVX25" s="10"/>
      <c r="CVY25" s="11"/>
      <c r="CVZ25" s="12"/>
      <c r="CWA25" s="12"/>
      <c r="CWB25" s="12"/>
      <c r="CWC25" s="13"/>
      <c r="CWD25" s="9"/>
      <c r="CWE25" s="9"/>
      <c r="CWF25" s="9"/>
      <c r="CWG25" s="9"/>
      <c r="CWH25" s="10"/>
      <c r="CWI25" s="11"/>
      <c r="CWJ25" s="12"/>
      <c r="CWK25" s="12"/>
      <c r="CWL25" s="12"/>
      <c r="CWM25" s="13"/>
      <c r="CWN25" s="9"/>
      <c r="CWO25" s="9"/>
      <c r="CWP25" s="9"/>
      <c r="CWQ25" s="9"/>
      <c r="CWR25" s="10"/>
      <c r="CWS25" s="11"/>
      <c r="CWT25" s="12"/>
      <c r="CWU25" s="12"/>
      <c r="CWV25" s="12"/>
      <c r="CWW25" s="13"/>
      <c r="CWX25" s="9"/>
      <c r="CWY25" s="9"/>
      <c r="CWZ25" s="9"/>
      <c r="CXA25" s="9"/>
      <c r="CXB25" s="10"/>
      <c r="CXC25" s="11"/>
      <c r="CXD25" s="12"/>
      <c r="CXE25" s="12"/>
      <c r="CXF25" s="12"/>
      <c r="CXG25" s="13"/>
      <c r="CXH25" s="9"/>
      <c r="CXI25" s="9"/>
      <c r="CXJ25" s="9"/>
      <c r="CXK25" s="9"/>
      <c r="CXL25" s="10"/>
      <c r="CXM25" s="11"/>
      <c r="CXN25" s="12"/>
      <c r="CXO25" s="12"/>
      <c r="CXP25" s="12"/>
      <c r="CXQ25" s="13"/>
      <c r="CXR25" s="9"/>
      <c r="CXS25" s="9"/>
      <c r="CXT25" s="9"/>
      <c r="CXU25" s="9"/>
      <c r="CXV25" s="10"/>
      <c r="CXW25" s="11"/>
      <c r="CXX25" s="12"/>
      <c r="CXY25" s="12"/>
      <c r="CXZ25" s="12"/>
      <c r="CYA25" s="13"/>
      <c r="CYB25" s="9"/>
      <c r="CYC25" s="9"/>
      <c r="CYD25" s="9"/>
      <c r="CYE25" s="9"/>
      <c r="CYF25" s="10"/>
      <c r="CYG25" s="11"/>
      <c r="CYH25" s="12"/>
      <c r="CYI25" s="12"/>
      <c r="CYJ25" s="12"/>
      <c r="CYK25" s="13"/>
      <c r="CYL25" s="9"/>
      <c r="CYM25" s="9"/>
      <c r="CYN25" s="9"/>
      <c r="CYO25" s="9"/>
      <c r="CYP25" s="10"/>
      <c r="CYQ25" s="11"/>
      <c r="CYR25" s="12"/>
      <c r="CYS25" s="12"/>
      <c r="CYT25" s="12"/>
      <c r="CYU25" s="13"/>
      <c r="CYV25" s="9"/>
      <c r="CYW25" s="9"/>
      <c r="CYX25" s="9"/>
      <c r="CYY25" s="9"/>
      <c r="CYZ25" s="10"/>
      <c r="CZA25" s="11"/>
      <c r="CZB25" s="12"/>
      <c r="CZC25" s="12"/>
      <c r="CZD25" s="12"/>
      <c r="CZE25" s="13"/>
      <c r="CZF25" s="9"/>
      <c r="CZG25" s="9"/>
      <c r="CZH25" s="9"/>
      <c r="CZI25" s="9"/>
      <c r="CZJ25" s="10"/>
      <c r="CZK25" s="11"/>
      <c r="CZL25" s="12"/>
      <c r="CZM25" s="12"/>
      <c r="CZN25" s="12"/>
      <c r="CZO25" s="13"/>
      <c r="CZP25" s="9"/>
      <c r="CZQ25" s="9"/>
      <c r="CZR25" s="9"/>
      <c r="CZS25" s="9"/>
      <c r="CZT25" s="10"/>
      <c r="CZU25" s="11"/>
      <c r="CZV25" s="12"/>
      <c r="CZW25" s="12"/>
      <c r="CZX25" s="12"/>
      <c r="CZY25" s="13"/>
      <c r="CZZ25" s="9"/>
      <c r="DAA25" s="9"/>
      <c r="DAB25" s="9"/>
      <c r="DAC25" s="9"/>
      <c r="DAD25" s="10"/>
      <c r="DAE25" s="11"/>
      <c r="DAF25" s="12"/>
      <c r="DAG25" s="12"/>
      <c r="DAH25" s="12"/>
      <c r="DAI25" s="13"/>
      <c r="DAJ25" s="9"/>
      <c r="DAK25" s="9"/>
      <c r="DAL25" s="9"/>
      <c r="DAM25" s="9"/>
      <c r="DAN25" s="10"/>
      <c r="DAO25" s="11"/>
      <c r="DAP25" s="12"/>
      <c r="DAQ25" s="12"/>
      <c r="DAR25" s="12"/>
      <c r="DAS25" s="13"/>
      <c r="DAT25" s="9"/>
      <c r="DAU25" s="9"/>
      <c r="DAV25" s="9"/>
      <c r="DAW25" s="9"/>
      <c r="DAX25" s="10"/>
      <c r="DAY25" s="11"/>
      <c r="DAZ25" s="12"/>
      <c r="DBA25" s="12"/>
      <c r="DBB25" s="12"/>
      <c r="DBC25" s="13"/>
      <c r="DBD25" s="9"/>
      <c r="DBE25" s="9"/>
      <c r="DBF25" s="9"/>
      <c r="DBG25" s="9"/>
      <c r="DBH25" s="10"/>
      <c r="DBI25" s="11"/>
      <c r="DBJ25" s="12"/>
      <c r="DBK25" s="12"/>
      <c r="DBL25" s="12"/>
      <c r="DBM25" s="13"/>
      <c r="DBN25" s="9"/>
      <c r="DBO25" s="9"/>
      <c r="DBP25" s="9"/>
      <c r="DBQ25" s="9"/>
      <c r="DBR25" s="10"/>
      <c r="DBS25" s="11"/>
      <c r="DBT25" s="12"/>
      <c r="DBU25" s="12"/>
      <c r="DBV25" s="12"/>
      <c r="DBW25" s="13"/>
      <c r="DBX25" s="9"/>
      <c r="DBY25" s="9"/>
      <c r="DBZ25" s="9"/>
      <c r="DCA25" s="9"/>
      <c r="DCB25" s="10"/>
      <c r="DCC25" s="11"/>
      <c r="DCD25" s="12"/>
      <c r="DCE25" s="12"/>
      <c r="DCF25" s="12"/>
      <c r="DCG25" s="13"/>
      <c r="DCH25" s="9"/>
      <c r="DCI25" s="9"/>
      <c r="DCJ25" s="9"/>
      <c r="DCK25" s="9"/>
      <c r="DCL25" s="10"/>
      <c r="DCM25" s="11"/>
      <c r="DCN25" s="12"/>
      <c r="DCO25" s="12"/>
      <c r="DCP25" s="12"/>
      <c r="DCQ25" s="13"/>
      <c r="DCR25" s="9"/>
      <c r="DCS25" s="9"/>
      <c r="DCT25" s="9"/>
      <c r="DCU25" s="9"/>
      <c r="DCV25" s="10"/>
      <c r="DCW25" s="11"/>
      <c r="DCX25" s="12"/>
      <c r="DCY25" s="12"/>
      <c r="DCZ25" s="12"/>
      <c r="DDA25" s="13"/>
      <c r="DDB25" s="9"/>
      <c r="DDC25" s="9"/>
      <c r="DDD25" s="9"/>
      <c r="DDE25" s="9"/>
      <c r="DDF25" s="10"/>
      <c r="DDG25" s="11"/>
      <c r="DDH25" s="12"/>
      <c r="DDI25" s="12"/>
      <c r="DDJ25" s="12"/>
      <c r="DDK25" s="13"/>
      <c r="DDL25" s="9"/>
      <c r="DDM25" s="9"/>
      <c r="DDN25" s="9"/>
      <c r="DDO25" s="9"/>
      <c r="DDP25" s="10"/>
      <c r="DDQ25" s="11"/>
      <c r="DDR25" s="12"/>
      <c r="DDS25" s="12"/>
      <c r="DDT25" s="12"/>
      <c r="DDU25" s="13"/>
      <c r="DDV25" s="9"/>
      <c r="DDW25" s="9"/>
      <c r="DDX25" s="9"/>
      <c r="DDY25" s="9"/>
      <c r="DDZ25" s="10"/>
      <c r="DEA25" s="11"/>
      <c r="DEB25" s="12"/>
      <c r="DEC25" s="12"/>
      <c r="DED25" s="12"/>
      <c r="DEE25" s="13"/>
      <c r="DEF25" s="9"/>
      <c r="DEG25" s="9"/>
      <c r="DEH25" s="9"/>
      <c r="DEI25" s="9"/>
      <c r="DEJ25" s="10"/>
      <c r="DEK25" s="11"/>
      <c r="DEL25" s="12"/>
      <c r="DEM25" s="12"/>
      <c r="DEN25" s="12"/>
      <c r="DEO25" s="13"/>
      <c r="DEP25" s="9"/>
      <c r="DEQ25" s="9"/>
      <c r="DER25" s="9"/>
      <c r="DES25" s="9"/>
      <c r="DET25" s="10"/>
      <c r="DEU25" s="11"/>
      <c r="DEV25" s="12"/>
      <c r="DEW25" s="12"/>
      <c r="DEX25" s="12"/>
      <c r="DEY25" s="13"/>
      <c r="DEZ25" s="9"/>
      <c r="DFA25" s="9"/>
      <c r="DFB25" s="9"/>
      <c r="DFC25" s="9"/>
      <c r="DFD25" s="10"/>
      <c r="DFE25" s="11"/>
      <c r="DFF25" s="12"/>
      <c r="DFG25" s="12"/>
      <c r="DFH25" s="12"/>
      <c r="DFI25" s="13"/>
      <c r="DFJ25" s="9"/>
      <c r="DFK25" s="9"/>
      <c r="DFL25" s="9"/>
      <c r="DFM25" s="9"/>
      <c r="DFN25" s="10"/>
      <c r="DFO25" s="11"/>
      <c r="DFP25" s="12"/>
      <c r="DFQ25" s="12"/>
      <c r="DFR25" s="12"/>
      <c r="DFS25" s="13"/>
      <c r="DFT25" s="9"/>
      <c r="DFU25" s="9"/>
      <c r="DFV25" s="9"/>
      <c r="DFW25" s="9"/>
      <c r="DFX25" s="10"/>
      <c r="DFY25" s="11"/>
      <c r="DFZ25" s="12"/>
      <c r="DGA25" s="12"/>
      <c r="DGB25" s="12"/>
      <c r="DGC25" s="13"/>
      <c r="DGD25" s="9"/>
      <c r="DGE25" s="9"/>
      <c r="DGF25" s="9"/>
      <c r="DGG25" s="9"/>
      <c r="DGH25" s="10"/>
      <c r="DGI25" s="11"/>
      <c r="DGJ25" s="12"/>
      <c r="DGK25" s="12"/>
      <c r="DGL25" s="12"/>
      <c r="DGM25" s="13"/>
      <c r="DGN25" s="9"/>
      <c r="DGO25" s="9"/>
      <c r="DGP25" s="9"/>
      <c r="DGQ25" s="9"/>
      <c r="DGR25" s="10"/>
      <c r="DGS25" s="11"/>
      <c r="DGT25" s="12"/>
      <c r="DGU25" s="12"/>
      <c r="DGV25" s="12"/>
      <c r="DGW25" s="13"/>
      <c r="DGX25" s="9"/>
      <c r="DGY25" s="9"/>
      <c r="DGZ25" s="9"/>
      <c r="DHA25" s="9"/>
      <c r="DHB25" s="10"/>
      <c r="DHC25" s="11"/>
      <c r="DHD25" s="12"/>
      <c r="DHE25" s="12"/>
      <c r="DHF25" s="12"/>
      <c r="DHG25" s="13"/>
      <c r="DHH25" s="9"/>
      <c r="DHI25" s="9"/>
      <c r="DHJ25" s="9"/>
      <c r="DHK25" s="9"/>
      <c r="DHL25" s="10"/>
      <c r="DHM25" s="11"/>
      <c r="DHN25" s="12"/>
      <c r="DHO25" s="12"/>
      <c r="DHP25" s="12"/>
      <c r="DHQ25" s="13"/>
      <c r="DHR25" s="9"/>
      <c r="DHS25" s="9"/>
      <c r="DHT25" s="9"/>
      <c r="DHU25" s="9"/>
      <c r="DHV25" s="10"/>
      <c r="DHW25" s="11"/>
      <c r="DHX25" s="12"/>
      <c r="DHY25" s="12"/>
      <c r="DHZ25" s="12"/>
      <c r="DIA25" s="13"/>
      <c r="DIB25" s="9"/>
      <c r="DIC25" s="9"/>
      <c r="DID25" s="9"/>
      <c r="DIE25" s="9"/>
      <c r="DIF25" s="10"/>
      <c r="DIG25" s="11"/>
      <c r="DIH25" s="12"/>
      <c r="DII25" s="12"/>
      <c r="DIJ25" s="12"/>
      <c r="DIK25" s="13"/>
      <c r="DIL25" s="9"/>
      <c r="DIM25" s="9"/>
      <c r="DIN25" s="9"/>
      <c r="DIO25" s="9"/>
      <c r="DIP25" s="10"/>
      <c r="DIQ25" s="11"/>
      <c r="DIR25" s="12"/>
      <c r="DIS25" s="12"/>
      <c r="DIT25" s="12"/>
      <c r="DIU25" s="13"/>
      <c r="DIV25" s="9"/>
      <c r="DIW25" s="9"/>
      <c r="DIX25" s="9"/>
      <c r="DIY25" s="9"/>
      <c r="DIZ25" s="10"/>
      <c r="DJA25" s="11"/>
      <c r="DJB25" s="12"/>
      <c r="DJC25" s="12"/>
      <c r="DJD25" s="12"/>
      <c r="DJE25" s="13"/>
      <c r="DJF25" s="9"/>
      <c r="DJG25" s="9"/>
      <c r="DJH25" s="9"/>
      <c r="DJI25" s="9"/>
      <c r="DJJ25" s="10"/>
      <c r="DJK25" s="11"/>
      <c r="DJL25" s="12"/>
      <c r="DJM25" s="12"/>
      <c r="DJN25" s="12"/>
      <c r="DJO25" s="13"/>
      <c r="DJP25" s="9"/>
      <c r="DJQ25" s="9"/>
      <c r="DJR25" s="9"/>
      <c r="DJS25" s="9"/>
      <c r="DJT25" s="10"/>
      <c r="DJU25" s="11"/>
      <c r="DJV25" s="12"/>
      <c r="DJW25" s="12"/>
      <c r="DJX25" s="12"/>
      <c r="DJY25" s="13"/>
      <c r="DJZ25" s="9"/>
      <c r="DKA25" s="9"/>
      <c r="DKB25" s="9"/>
      <c r="DKC25" s="9"/>
      <c r="DKD25" s="10"/>
      <c r="DKE25" s="11"/>
      <c r="DKF25" s="12"/>
      <c r="DKG25" s="12"/>
      <c r="DKH25" s="12"/>
      <c r="DKI25" s="13"/>
      <c r="DKJ25" s="9"/>
      <c r="DKK25" s="9"/>
      <c r="DKL25" s="9"/>
      <c r="DKM25" s="9"/>
      <c r="DKN25" s="10"/>
      <c r="DKO25" s="11"/>
      <c r="DKP25" s="12"/>
      <c r="DKQ25" s="12"/>
      <c r="DKR25" s="12"/>
      <c r="DKS25" s="13"/>
      <c r="DKT25" s="9"/>
      <c r="DKU25" s="9"/>
      <c r="DKV25" s="9"/>
      <c r="DKW25" s="9"/>
      <c r="DKX25" s="10"/>
      <c r="DKY25" s="11"/>
      <c r="DKZ25" s="12"/>
      <c r="DLA25" s="12"/>
      <c r="DLB25" s="12"/>
      <c r="DLC25" s="13"/>
      <c r="DLD25" s="9"/>
      <c r="DLE25" s="9"/>
      <c r="DLF25" s="9"/>
      <c r="DLG25" s="9"/>
      <c r="DLH25" s="10"/>
      <c r="DLI25" s="11"/>
      <c r="DLJ25" s="12"/>
      <c r="DLK25" s="12"/>
      <c r="DLL25" s="12"/>
      <c r="DLM25" s="13"/>
      <c r="DLN25" s="9"/>
      <c r="DLO25" s="9"/>
      <c r="DLP25" s="9"/>
      <c r="DLQ25" s="9"/>
      <c r="DLR25" s="10"/>
      <c r="DLS25" s="11"/>
      <c r="DLT25" s="12"/>
      <c r="DLU25" s="12"/>
      <c r="DLV25" s="12"/>
      <c r="DLW25" s="13"/>
      <c r="DLX25" s="9"/>
      <c r="DLY25" s="9"/>
      <c r="DLZ25" s="9"/>
      <c r="DMA25" s="9"/>
      <c r="DMB25" s="10"/>
      <c r="DMC25" s="11"/>
      <c r="DMD25" s="12"/>
      <c r="DME25" s="12"/>
      <c r="DMF25" s="12"/>
      <c r="DMG25" s="13"/>
      <c r="DMH25" s="9"/>
      <c r="DMI25" s="9"/>
      <c r="DMJ25" s="9"/>
      <c r="DMK25" s="9"/>
      <c r="DML25" s="10"/>
      <c r="DMM25" s="11"/>
      <c r="DMN25" s="12"/>
      <c r="DMO25" s="12"/>
      <c r="DMP25" s="12"/>
      <c r="DMQ25" s="13"/>
      <c r="DMR25" s="9"/>
      <c r="DMS25" s="9"/>
      <c r="DMT25" s="9"/>
      <c r="DMU25" s="9"/>
      <c r="DMV25" s="10"/>
      <c r="DMW25" s="11"/>
      <c r="DMX25" s="12"/>
      <c r="DMY25" s="12"/>
      <c r="DMZ25" s="12"/>
      <c r="DNA25" s="13"/>
      <c r="DNB25" s="9"/>
      <c r="DNC25" s="9"/>
      <c r="DND25" s="9"/>
      <c r="DNE25" s="9"/>
      <c r="DNF25" s="10"/>
      <c r="DNG25" s="11"/>
      <c r="DNH25" s="12"/>
      <c r="DNI25" s="12"/>
      <c r="DNJ25" s="12"/>
      <c r="DNK25" s="13"/>
      <c r="DNL25" s="9"/>
      <c r="DNM25" s="9"/>
      <c r="DNN25" s="9"/>
      <c r="DNO25" s="9"/>
      <c r="DNP25" s="10"/>
      <c r="DNQ25" s="11"/>
      <c r="DNR25" s="12"/>
      <c r="DNS25" s="12"/>
      <c r="DNT25" s="12"/>
      <c r="DNU25" s="13"/>
      <c r="DNV25" s="9"/>
      <c r="DNW25" s="9"/>
      <c r="DNX25" s="9"/>
      <c r="DNY25" s="9"/>
      <c r="DNZ25" s="10"/>
      <c r="DOA25" s="11"/>
      <c r="DOB25" s="12"/>
      <c r="DOC25" s="12"/>
      <c r="DOD25" s="12"/>
      <c r="DOE25" s="13"/>
      <c r="DOF25" s="9"/>
      <c r="DOG25" s="9"/>
      <c r="DOH25" s="9"/>
      <c r="DOI25" s="9"/>
      <c r="DOJ25" s="10"/>
      <c r="DOK25" s="11"/>
      <c r="DOL25" s="12"/>
      <c r="DOM25" s="12"/>
      <c r="DON25" s="12"/>
      <c r="DOO25" s="13"/>
      <c r="DOP25" s="9"/>
      <c r="DOQ25" s="9"/>
      <c r="DOR25" s="9"/>
      <c r="DOS25" s="9"/>
      <c r="DOT25" s="10"/>
      <c r="DOU25" s="11"/>
      <c r="DOV25" s="12"/>
      <c r="DOW25" s="12"/>
      <c r="DOX25" s="12"/>
      <c r="DOY25" s="13"/>
      <c r="DOZ25" s="9"/>
      <c r="DPA25" s="9"/>
      <c r="DPB25" s="9"/>
      <c r="DPC25" s="9"/>
      <c r="DPD25" s="10"/>
      <c r="DPE25" s="11"/>
      <c r="DPF25" s="12"/>
      <c r="DPG25" s="12"/>
      <c r="DPH25" s="12"/>
      <c r="DPI25" s="13"/>
      <c r="DPJ25" s="9"/>
      <c r="DPK25" s="9"/>
      <c r="DPL25" s="9"/>
      <c r="DPM25" s="9"/>
      <c r="DPN25" s="10"/>
      <c r="DPO25" s="11"/>
      <c r="DPP25" s="12"/>
      <c r="DPQ25" s="12"/>
      <c r="DPR25" s="12"/>
      <c r="DPS25" s="13"/>
      <c r="DPT25" s="9"/>
      <c r="DPU25" s="9"/>
      <c r="DPV25" s="9"/>
      <c r="DPW25" s="9"/>
      <c r="DPX25" s="10"/>
      <c r="DPY25" s="11"/>
      <c r="DPZ25" s="12"/>
      <c r="DQA25" s="12"/>
      <c r="DQB25" s="12"/>
      <c r="DQC25" s="13"/>
      <c r="DQD25" s="9"/>
      <c r="DQE25" s="9"/>
      <c r="DQF25" s="9"/>
      <c r="DQG25" s="9"/>
      <c r="DQH25" s="10"/>
      <c r="DQI25" s="11"/>
      <c r="DQJ25" s="12"/>
      <c r="DQK25" s="12"/>
      <c r="DQL25" s="12"/>
      <c r="DQM25" s="13"/>
      <c r="DQN25" s="9"/>
      <c r="DQO25" s="9"/>
      <c r="DQP25" s="9"/>
      <c r="DQQ25" s="9"/>
      <c r="DQR25" s="10"/>
      <c r="DQS25" s="11"/>
      <c r="DQT25" s="12"/>
      <c r="DQU25" s="12"/>
      <c r="DQV25" s="12"/>
      <c r="DQW25" s="13"/>
      <c r="DQX25" s="9"/>
      <c r="DQY25" s="9"/>
      <c r="DQZ25" s="9"/>
      <c r="DRA25" s="9"/>
      <c r="DRB25" s="10"/>
      <c r="DRC25" s="11"/>
      <c r="DRD25" s="12"/>
      <c r="DRE25" s="12"/>
      <c r="DRF25" s="12"/>
      <c r="DRG25" s="13"/>
      <c r="DRH25" s="9"/>
      <c r="DRI25" s="9"/>
      <c r="DRJ25" s="9"/>
      <c r="DRK25" s="9"/>
      <c r="DRL25" s="10"/>
      <c r="DRM25" s="11"/>
      <c r="DRN25" s="12"/>
      <c r="DRO25" s="12"/>
      <c r="DRP25" s="12"/>
      <c r="DRQ25" s="13"/>
      <c r="DRR25" s="9"/>
      <c r="DRS25" s="9"/>
      <c r="DRT25" s="9"/>
      <c r="DRU25" s="9"/>
      <c r="DRV25" s="10"/>
      <c r="DRW25" s="11"/>
      <c r="DRX25" s="12"/>
      <c r="DRY25" s="12"/>
      <c r="DRZ25" s="12"/>
      <c r="DSA25" s="13"/>
      <c r="DSB25" s="9"/>
      <c r="DSC25" s="9"/>
      <c r="DSD25" s="9"/>
      <c r="DSE25" s="9"/>
      <c r="DSF25" s="10"/>
      <c r="DSG25" s="11"/>
      <c r="DSH25" s="12"/>
      <c r="DSI25" s="12"/>
      <c r="DSJ25" s="12"/>
      <c r="DSK25" s="13"/>
      <c r="DSL25" s="9"/>
      <c r="DSM25" s="9"/>
      <c r="DSN25" s="9"/>
      <c r="DSO25" s="9"/>
      <c r="DSP25" s="10"/>
      <c r="DSQ25" s="11"/>
      <c r="DSR25" s="12"/>
      <c r="DSS25" s="12"/>
      <c r="DST25" s="12"/>
      <c r="DSU25" s="13"/>
      <c r="DSV25" s="9"/>
      <c r="DSW25" s="9"/>
      <c r="DSX25" s="9"/>
      <c r="DSY25" s="9"/>
      <c r="DSZ25" s="10"/>
      <c r="DTA25" s="11"/>
      <c r="DTB25" s="12"/>
      <c r="DTC25" s="12"/>
      <c r="DTD25" s="12"/>
      <c r="DTE25" s="13"/>
      <c r="DTF25" s="9"/>
      <c r="DTG25" s="9"/>
      <c r="DTH25" s="9"/>
      <c r="DTI25" s="9"/>
      <c r="DTJ25" s="10"/>
      <c r="DTK25" s="11"/>
      <c r="DTL25" s="12"/>
      <c r="DTM25" s="12"/>
      <c r="DTN25" s="12"/>
      <c r="DTO25" s="13"/>
      <c r="DTP25" s="9"/>
      <c r="DTQ25" s="9"/>
      <c r="DTR25" s="9"/>
      <c r="DTS25" s="9"/>
      <c r="DTT25" s="10"/>
      <c r="DTU25" s="11"/>
      <c r="DTV25" s="12"/>
      <c r="DTW25" s="12"/>
      <c r="DTX25" s="12"/>
      <c r="DTY25" s="13"/>
      <c r="DTZ25" s="9"/>
      <c r="DUA25" s="9"/>
      <c r="DUB25" s="9"/>
      <c r="DUC25" s="9"/>
      <c r="DUD25" s="10"/>
      <c r="DUE25" s="11"/>
      <c r="DUF25" s="12"/>
      <c r="DUG25" s="12"/>
      <c r="DUH25" s="12"/>
      <c r="DUI25" s="13"/>
      <c r="DUJ25" s="9"/>
      <c r="DUK25" s="9"/>
      <c r="DUL25" s="9"/>
      <c r="DUM25" s="9"/>
      <c r="DUN25" s="10"/>
      <c r="DUO25" s="11"/>
      <c r="DUP25" s="12"/>
      <c r="DUQ25" s="12"/>
      <c r="DUR25" s="12"/>
      <c r="DUS25" s="13"/>
      <c r="DUT25" s="9"/>
      <c r="DUU25" s="9"/>
      <c r="DUV25" s="9"/>
      <c r="DUW25" s="9"/>
      <c r="DUX25" s="10"/>
      <c r="DUY25" s="11"/>
      <c r="DUZ25" s="12"/>
      <c r="DVA25" s="12"/>
      <c r="DVB25" s="12"/>
      <c r="DVC25" s="13"/>
      <c r="DVD25" s="9"/>
      <c r="DVE25" s="9"/>
      <c r="DVF25" s="9"/>
      <c r="DVG25" s="9"/>
      <c r="DVH25" s="10"/>
      <c r="DVI25" s="11"/>
      <c r="DVJ25" s="12"/>
      <c r="DVK25" s="12"/>
      <c r="DVL25" s="12"/>
      <c r="DVM25" s="13"/>
      <c r="DVN25" s="9"/>
      <c r="DVO25" s="9"/>
      <c r="DVP25" s="9"/>
      <c r="DVQ25" s="9"/>
      <c r="DVR25" s="10"/>
      <c r="DVS25" s="11"/>
      <c r="DVT25" s="12"/>
      <c r="DVU25" s="12"/>
      <c r="DVV25" s="12"/>
      <c r="DVW25" s="13"/>
      <c r="DVX25" s="9"/>
      <c r="DVY25" s="9"/>
      <c r="DVZ25" s="9"/>
      <c r="DWA25" s="9"/>
      <c r="DWB25" s="10"/>
      <c r="DWC25" s="11"/>
      <c r="DWD25" s="12"/>
      <c r="DWE25" s="12"/>
      <c r="DWF25" s="12"/>
      <c r="DWG25" s="13"/>
      <c r="DWH25" s="9"/>
      <c r="DWI25" s="9"/>
      <c r="DWJ25" s="9"/>
      <c r="DWK25" s="9"/>
      <c r="DWL25" s="10"/>
      <c r="DWM25" s="11"/>
      <c r="DWN25" s="12"/>
      <c r="DWO25" s="12"/>
      <c r="DWP25" s="12"/>
      <c r="DWQ25" s="13"/>
      <c r="DWR25" s="9"/>
      <c r="DWS25" s="9"/>
      <c r="DWT25" s="9"/>
      <c r="DWU25" s="9"/>
      <c r="DWV25" s="10"/>
      <c r="DWW25" s="11"/>
      <c r="DWX25" s="12"/>
      <c r="DWY25" s="12"/>
      <c r="DWZ25" s="12"/>
      <c r="DXA25" s="13"/>
      <c r="DXB25" s="9"/>
      <c r="DXC25" s="9"/>
      <c r="DXD25" s="9"/>
      <c r="DXE25" s="9"/>
      <c r="DXF25" s="10"/>
      <c r="DXG25" s="11"/>
      <c r="DXH25" s="12"/>
      <c r="DXI25" s="12"/>
      <c r="DXJ25" s="12"/>
      <c r="DXK25" s="13"/>
      <c r="DXL25" s="9"/>
      <c r="DXM25" s="9"/>
      <c r="DXN25" s="9"/>
      <c r="DXO25" s="9"/>
      <c r="DXP25" s="10"/>
      <c r="DXQ25" s="11"/>
      <c r="DXR25" s="12"/>
      <c r="DXS25" s="12"/>
      <c r="DXT25" s="12"/>
      <c r="DXU25" s="13"/>
      <c r="DXV25" s="9"/>
      <c r="DXW25" s="9"/>
      <c r="DXX25" s="9"/>
      <c r="DXY25" s="9"/>
      <c r="DXZ25" s="10"/>
      <c r="DYA25" s="11"/>
      <c r="DYB25" s="12"/>
      <c r="DYC25" s="12"/>
      <c r="DYD25" s="12"/>
      <c r="DYE25" s="13"/>
      <c r="DYF25" s="9"/>
      <c r="DYG25" s="9"/>
      <c r="DYH25" s="9"/>
      <c r="DYI25" s="9"/>
      <c r="DYJ25" s="10"/>
      <c r="DYK25" s="11"/>
      <c r="DYL25" s="12"/>
      <c r="DYM25" s="12"/>
      <c r="DYN25" s="12"/>
      <c r="DYO25" s="13"/>
      <c r="DYP25" s="9"/>
      <c r="DYQ25" s="9"/>
      <c r="DYR25" s="9"/>
      <c r="DYS25" s="9"/>
      <c r="DYT25" s="10"/>
      <c r="DYU25" s="11"/>
      <c r="DYV25" s="12"/>
      <c r="DYW25" s="12"/>
      <c r="DYX25" s="12"/>
      <c r="DYY25" s="13"/>
      <c r="DYZ25" s="9"/>
      <c r="DZA25" s="9"/>
      <c r="DZB25" s="9"/>
      <c r="DZC25" s="9"/>
      <c r="DZD25" s="10"/>
      <c r="DZE25" s="11"/>
      <c r="DZF25" s="12"/>
      <c r="DZG25" s="12"/>
      <c r="DZH25" s="12"/>
      <c r="DZI25" s="13"/>
      <c r="DZJ25" s="9"/>
      <c r="DZK25" s="9"/>
      <c r="DZL25" s="9"/>
      <c r="DZM25" s="9"/>
      <c r="DZN25" s="10"/>
      <c r="DZO25" s="11"/>
      <c r="DZP25" s="12"/>
      <c r="DZQ25" s="12"/>
      <c r="DZR25" s="12"/>
      <c r="DZS25" s="13"/>
      <c r="DZT25" s="9"/>
      <c r="DZU25" s="9"/>
      <c r="DZV25" s="9"/>
      <c r="DZW25" s="9"/>
      <c r="DZX25" s="10"/>
      <c r="DZY25" s="11"/>
      <c r="DZZ25" s="12"/>
      <c r="EAA25" s="12"/>
      <c r="EAB25" s="12"/>
      <c r="EAC25" s="13"/>
      <c r="EAD25" s="9"/>
      <c r="EAE25" s="9"/>
      <c r="EAF25" s="9"/>
      <c r="EAG25" s="9"/>
      <c r="EAH25" s="10"/>
      <c r="EAI25" s="11"/>
      <c r="EAJ25" s="12"/>
      <c r="EAK25" s="12"/>
      <c r="EAL25" s="12"/>
      <c r="EAM25" s="13"/>
      <c r="EAN25" s="9"/>
      <c r="EAO25" s="9"/>
      <c r="EAP25" s="9"/>
      <c r="EAQ25" s="9"/>
      <c r="EAR25" s="10"/>
      <c r="EAS25" s="11"/>
      <c r="EAT25" s="12"/>
      <c r="EAU25" s="12"/>
      <c r="EAV25" s="12"/>
      <c r="EAW25" s="13"/>
      <c r="EAX25" s="9"/>
      <c r="EAY25" s="9"/>
      <c r="EAZ25" s="9"/>
      <c r="EBA25" s="9"/>
      <c r="EBB25" s="10"/>
      <c r="EBC25" s="11"/>
      <c r="EBD25" s="12"/>
      <c r="EBE25" s="12"/>
      <c r="EBF25" s="12"/>
      <c r="EBG25" s="13"/>
      <c r="EBH25" s="9"/>
      <c r="EBI25" s="9"/>
      <c r="EBJ25" s="9"/>
      <c r="EBK25" s="9"/>
      <c r="EBL25" s="10"/>
      <c r="EBM25" s="11"/>
      <c r="EBN25" s="12"/>
      <c r="EBO25" s="12"/>
      <c r="EBP25" s="12"/>
      <c r="EBQ25" s="13"/>
      <c r="EBR25" s="9"/>
      <c r="EBS25" s="9"/>
      <c r="EBT25" s="9"/>
      <c r="EBU25" s="9"/>
      <c r="EBV25" s="10"/>
      <c r="EBW25" s="11"/>
      <c r="EBX25" s="12"/>
      <c r="EBY25" s="12"/>
      <c r="EBZ25" s="12"/>
      <c r="ECA25" s="13"/>
      <c r="ECB25" s="9"/>
      <c r="ECC25" s="9"/>
      <c r="ECD25" s="9"/>
      <c r="ECE25" s="9"/>
      <c r="ECF25" s="10"/>
      <c r="ECG25" s="11"/>
      <c r="ECH25" s="12"/>
      <c r="ECI25" s="12"/>
      <c r="ECJ25" s="12"/>
      <c r="ECK25" s="13"/>
      <c r="ECL25" s="9"/>
      <c r="ECM25" s="9"/>
      <c r="ECN25" s="9"/>
      <c r="ECO25" s="9"/>
      <c r="ECP25" s="10"/>
      <c r="ECQ25" s="11"/>
      <c r="ECR25" s="12"/>
      <c r="ECS25" s="12"/>
      <c r="ECT25" s="12"/>
      <c r="ECU25" s="13"/>
      <c r="ECV25" s="9"/>
      <c r="ECW25" s="9"/>
      <c r="ECX25" s="9"/>
      <c r="ECY25" s="9"/>
      <c r="ECZ25" s="10"/>
      <c r="EDA25" s="11"/>
      <c r="EDB25" s="12"/>
      <c r="EDC25" s="12"/>
      <c r="EDD25" s="12"/>
      <c r="EDE25" s="13"/>
      <c r="EDF25" s="9"/>
      <c r="EDG25" s="9"/>
      <c r="EDH25" s="9"/>
      <c r="EDI25" s="9"/>
      <c r="EDJ25" s="10"/>
      <c r="EDK25" s="11"/>
      <c r="EDL25" s="12"/>
      <c r="EDM25" s="12"/>
      <c r="EDN25" s="12"/>
      <c r="EDO25" s="13"/>
      <c r="EDP25" s="9"/>
      <c r="EDQ25" s="9"/>
      <c r="EDR25" s="9"/>
      <c r="EDS25" s="9"/>
      <c r="EDT25" s="10"/>
      <c r="EDU25" s="11"/>
      <c r="EDV25" s="12"/>
      <c r="EDW25" s="12"/>
      <c r="EDX25" s="12"/>
      <c r="EDY25" s="13"/>
      <c r="EDZ25" s="9"/>
      <c r="EEA25" s="9"/>
      <c r="EEB25" s="9"/>
      <c r="EEC25" s="9"/>
      <c r="EED25" s="10"/>
      <c r="EEE25" s="11"/>
      <c r="EEF25" s="12"/>
      <c r="EEG25" s="12"/>
      <c r="EEH25" s="12"/>
      <c r="EEI25" s="13"/>
      <c r="EEJ25" s="9"/>
      <c r="EEK25" s="9"/>
      <c r="EEL25" s="9"/>
      <c r="EEM25" s="9"/>
      <c r="EEN25" s="10"/>
      <c r="EEO25" s="11"/>
      <c r="EEP25" s="12"/>
      <c r="EEQ25" s="12"/>
      <c r="EER25" s="12"/>
      <c r="EES25" s="13"/>
      <c r="EET25" s="9"/>
      <c r="EEU25" s="9"/>
      <c r="EEV25" s="9"/>
      <c r="EEW25" s="9"/>
      <c r="EEX25" s="10"/>
      <c r="EEY25" s="11"/>
      <c r="EEZ25" s="12"/>
      <c r="EFA25" s="12"/>
      <c r="EFB25" s="12"/>
      <c r="EFC25" s="13"/>
      <c r="EFD25" s="9"/>
      <c r="EFE25" s="9"/>
      <c r="EFF25" s="9"/>
      <c r="EFG25" s="9"/>
      <c r="EFH25" s="10"/>
      <c r="EFI25" s="11"/>
      <c r="EFJ25" s="12"/>
      <c r="EFK25" s="12"/>
      <c r="EFL25" s="12"/>
      <c r="EFM25" s="13"/>
      <c r="EFN25" s="9"/>
      <c r="EFO25" s="9"/>
      <c r="EFP25" s="9"/>
      <c r="EFQ25" s="9"/>
      <c r="EFR25" s="10"/>
      <c r="EFS25" s="11"/>
      <c r="EFT25" s="12"/>
      <c r="EFU25" s="12"/>
      <c r="EFV25" s="12"/>
      <c r="EFW25" s="13"/>
      <c r="EFX25" s="9"/>
      <c r="EFY25" s="9"/>
      <c r="EFZ25" s="9"/>
      <c r="EGA25" s="9"/>
      <c r="EGB25" s="10"/>
      <c r="EGC25" s="11"/>
      <c r="EGD25" s="12"/>
      <c r="EGE25" s="12"/>
      <c r="EGF25" s="12"/>
      <c r="EGG25" s="13"/>
      <c r="EGH25" s="9"/>
      <c r="EGI25" s="9"/>
      <c r="EGJ25" s="9"/>
      <c r="EGK25" s="9"/>
      <c r="EGL25" s="10"/>
      <c r="EGM25" s="11"/>
      <c r="EGN25" s="12"/>
      <c r="EGO25" s="12"/>
      <c r="EGP25" s="12"/>
      <c r="EGQ25" s="13"/>
      <c r="EGR25" s="9"/>
      <c r="EGS25" s="9"/>
      <c r="EGT25" s="9"/>
      <c r="EGU25" s="9"/>
      <c r="EGV25" s="10"/>
      <c r="EGW25" s="11"/>
      <c r="EGX25" s="12"/>
      <c r="EGY25" s="12"/>
      <c r="EGZ25" s="12"/>
      <c r="EHA25" s="13"/>
      <c r="EHB25" s="9"/>
      <c r="EHC25" s="9"/>
      <c r="EHD25" s="9"/>
      <c r="EHE25" s="9"/>
      <c r="EHF25" s="10"/>
      <c r="EHG25" s="11"/>
      <c r="EHH25" s="12"/>
      <c r="EHI25" s="12"/>
      <c r="EHJ25" s="12"/>
      <c r="EHK25" s="13"/>
      <c r="EHL25" s="9"/>
      <c r="EHM25" s="9"/>
      <c r="EHN25" s="9"/>
      <c r="EHO25" s="9"/>
      <c r="EHP25" s="10"/>
      <c r="EHQ25" s="11"/>
      <c r="EHR25" s="12"/>
      <c r="EHS25" s="12"/>
      <c r="EHT25" s="12"/>
      <c r="EHU25" s="13"/>
      <c r="EHV25" s="9"/>
      <c r="EHW25" s="9"/>
      <c r="EHX25" s="9"/>
      <c r="EHY25" s="9"/>
      <c r="EHZ25" s="10"/>
      <c r="EIA25" s="11"/>
      <c r="EIB25" s="12"/>
      <c r="EIC25" s="12"/>
      <c r="EID25" s="12"/>
      <c r="EIE25" s="13"/>
      <c r="EIF25" s="9"/>
      <c r="EIG25" s="9"/>
      <c r="EIH25" s="9"/>
      <c r="EII25" s="9"/>
      <c r="EIJ25" s="10"/>
      <c r="EIK25" s="11"/>
      <c r="EIL25" s="12"/>
      <c r="EIM25" s="12"/>
      <c r="EIN25" s="12"/>
      <c r="EIO25" s="13"/>
      <c r="EIP25" s="9"/>
      <c r="EIQ25" s="9"/>
      <c r="EIR25" s="9"/>
      <c r="EIS25" s="9"/>
      <c r="EIT25" s="10"/>
      <c r="EIU25" s="11"/>
      <c r="EIV25" s="12"/>
      <c r="EIW25" s="12"/>
      <c r="EIX25" s="12"/>
      <c r="EIY25" s="13"/>
      <c r="EIZ25" s="9"/>
      <c r="EJA25" s="9"/>
      <c r="EJB25" s="9"/>
      <c r="EJC25" s="9"/>
      <c r="EJD25" s="10"/>
      <c r="EJE25" s="11"/>
      <c r="EJF25" s="12"/>
      <c r="EJG25" s="12"/>
      <c r="EJH25" s="12"/>
      <c r="EJI25" s="13"/>
      <c r="EJJ25" s="9"/>
      <c r="EJK25" s="9"/>
      <c r="EJL25" s="9"/>
      <c r="EJM25" s="9"/>
      <c r="EJN25" s="10"/>
      <c r="EJO25" s="11"/>
      <c r="EJP25" s="12"/>
      <c r="EJQ25" s="12"/>
      <c r="EJR25" s="12"/>
      <c r="EJS25" s="13"/>
      <c r="EJT25" s="9"/>
      <c r="EJU25" s="9"/>
      <c r="EJV25" s="9"/>
      <c r="EJW25" s="9"/>
      <c r="EJX25" s="10"/>
      <c r="EJY25" s="11"/>
      <c r="EJZ25" s="12"/>
      <c r="EKA25" s="12"/>
      <c r="EKB25" s="12"/>
      <c r="EKC25" s="13"/>
      <c r="EKD25" s="9"/>
      <c r="EKE25" s="9"/>
      <c r="EKF25" s="9"/>
      <c r="EKG25" s="9"/>
      <c r="EKH25" s="10"/>
      <c r="EKI25" s="11"/>
      <c r="EKJ25" s="12"/>
      <c r="EKK25" s="12"/>
      <c r="EKL25" s="12"/>
      <c r="EKM25" s="13"/>
      <c r="EKN25" s="9"/>
      <c r="EKO25" s="9"/>
      <c r="EKP25" s="9"/>
      <c r="EKQ25" s="9"/>
      <c r="EKR25" s="10"/>
      <c r="EKS25" s="11"/>
      <c r="EKT25" s="12"/>
      <c r="EKU25" s="12"/>
      <c r="EKV25" s="12"/>
      <c r="EKW25" s="13"/>
      <c r="EKX25" s="9"/>
      <c r="EKY25" s="9"/>
      <c r="EKZ25" s="9"/>
      <c r="ELA25" s="9"/>
      <c r="ELB25" s="10"/>
      <c r="ELC25" s="11"/>
      <c r="ELD25" s="12"/>
      <c r="ELE25" s="12"/>
      <c r="ELF25" s="12"/>
      <c r="ELG25" s="13"/>
      <c r="ELH25" s="9"/>
      <c r="ELI25" s="9"/>
      <c r="ELJ25" s="9"/>
      <c r="ELK25" s="9"/>
      <c r="ELL25" s="10"/>
      <c r="ELM25" s="11"/>
      <c r="ELN25" s="12"/>
      <c r="ELO25" s="12"/>
      <c r="ELP25" s="12"/>
      <c r="ELQ25" s="13"/>
      <c r="ELR25" s="9"/>
      <c r="ELS25" s="9"/>
      <c r="ELT25" s="9"/>
      <c r="ELU25" s="9"/>
      <c r="ELV25" s="10"/>
      <c r="ELW25" s="11"/>
      <c r="ELX25" s="12"/>
      <c r="ELY25" s="12"/>
      <c r="ELZ25" s="12"/>
      <c r="EMA25" s="13"/>
      <c r="EMB25" s="9"/>
      <c r="EMC25" s="9"/>
      <c r="EMD25" s="9"/>
      <c r="EME25" s="9"/>
      <c r="EMF25" s="10"/>
      <c r="EMG25" s="11"/>
      <c r="EMH25" s="12"/>
      <c r="EMI25" s="12"/>
      <c r="EMJ25" s="12"/>
      <c r="EMK25" s="13"/>
      <c r="EML25" s="9"/>
      <c r="EMM25" s="9"/>
      <c r="EMN25" s="9"/>
      <c r="EMO25" s="9"/>
      <c r="EMP25" s="10"/>
      <c r="EMQ25" s="11"/>
      <c r="EMR25" s="12"/>
      <c r="EMS25" s="12"/>
      <c r="EMT25" s="12"/>
      <c r="EMU25" s="13"/>
      <c r="EMV25" s="9"/>
      <c r="EMW25" s="9"/>
      <c r="EMX25" s="9"/>
      <c r="EMY25" s="9"/>
      <c r="EMZ25" s="10"/>
      <c r="ENA25" s="11"/>
      <c r="ENB25" s="12"/>
      <c r="ENC25" s="12"/>
      <c r="END25" s="12"/>
      <c r="ENE25" s="13"/>
      <c r="ENF25" s="9"/>
      <c r="ENG25" s="9"/>
      <c r="ENH25" s="9"/>
      <c r="ENI25" s="9"/>
      <c r="ENJ25" s="10"/>
      <c r="ENK25" s="11"/>
      <c r="ENL25" s="12"/>
      <c r="ENM25" s="12"/>
      <c r="ENN25" s="12"/>
      <c r="ENO25" s="13"/>
      <c r="ENP25" s="9"/>
      <c r="ENQ25" s="9"/>
      <c r="ENR25" s="9"/>
      <c r="ENS25" s="9"/>
      <c r="ENT25" s="10"/>
      <c r="ENU25" s="11"/>
      <c r="ENV25" s="12"/>
      <c r="ENW25" s="12"/>
      <c r="ENX25" s="12"/>
      <c r="ENY25" s="13"/>
      <c r="ENZ25" s="9"/>
      <c r="EOA25" s="9"/>
      <c r="EOB25" s="9"/>
      <c r="EOC25" s="9"/>
      <c r="EOD25" s="10"/>
      <c r="EOE25" s="11"/>
      <c r="EOF25" s="12"/>
      <c r="EOG25" s="12"/>
      <c r="EOH25" s="12"/>
      <c r="EOI25" s="13"/>
      <c r="EOJ25" s="9"/>
      <c r="EOK25" s="9"/>
      <c r="EOL25" s="9"/>
      <c r="EOM25" s="9"/>
      <c r="EON25" s="10"/>
      <c r="EOO25" s="11"/>
      <c r="EOP25" s="12"/>
      <c r="EOQ25" s="12"/>
      <c r="EOR25" s="12"/>
      <c r="EOS25" s="13"/>
      <c r="EOT25" s="9"/>
      <c r="EOU25" s="9"/>
      <c r="EOV25" s="9"/>
      <c r="EOW25" s="9"/>
      <c r="EOX25" s="10"/>
      <c r="EOY25" s="11"/>
      <c r="EOZ25" s="12"/>
      <c r="EPA25" s="12"/>
      <c r="EPB25" s="12"/>
      <c r="EPC25" s="13"/>
      <c r="EPD25" s="9"/>
      <c r="EPE25" s="9"/>
      <c r="EPF25" s="9"/>
      <c r="EPG25" s="9"/>
      <c r="EPH25" s="10"/>
      <c r="EPI25" s="11"/>
      <c r="EPJ25" s="12"/>
      <c r="EPK25" s="12"/>
      <c r="EPL25" s="12"/>
      <c r="EPM25" s="13"/>
      <c r="EPN25" s="9"/>
      <c r="EPO25" s="9"/>
      <c r="EPP25" s="9"/>
      <c r="EPQ25" s="9"/>
      <c r="EPR25" s="10"/>
      <c r="EPS25" s="11"/>
      <c r="EPT25" s="12"/>
      <c r="EPU25" s="12"/>
      <c r="EPV25" s="12"/>
      <c r="EPW25" s="13"/>
      <c r="EPX25" s="9"/>
      <c r="EPY25" s="9"/>
      <c r="EPZ25" s="9"/>
      <c r="EQA25" s="9"/>
      <c r="EQB25" s="10"/>
      <c r="EQC25" s="11"/>
      <c r="EQD25" s="12"/>
      <c r="EQE25" s="12"/>
      <c r="EQF25" s="12"/>
      <c r="EQG25" s="13"/>
      <c r="EQH25" s="9"/>
      <c r="EQI25" s="9"/>
      <c r="EQJ25" s="9"/>
      <c r="EQK25" s="9"/>
      <c r="EQL25" s="10"/>
      <c r="EQM25" s="11"/>
      <c r="EQN25" s="12"/>
      <c r="EQO25" s="12"/>
      <c r="EQP25" s="12"/>
      <c r="EQQ25" s="13"/>
      <c r="EQR25" s="9"/>
      <c r="EQS25" s="9"/>
      <c r="EQT25" s="9"/>
      <c r="EQU25" s="9"/>
      <c r="EQV25" s="10"/>
      <c r="EQW25" s="11"/>
      <c r="EQX25" s="12"/>
      <c r="EQY25" s="12"/>
      <c r="EQZ25" s="12"/>
      <c r="ERA25" s="13"/>
      <c r="ERB25" s="9"/>
      <c r="ERC25" s="9"/>
      <c r="ERD25" s="9"/>
      <c r="ERE25" s="9"/>
      <c r="ERF25" s="10"/>
      <c r="ERG25" s="11"/>
      <c r="ERH25" s="12"/>
      <c r="ERI25" s="12"/>
      <c r="ERJ25" s="12"/>
      <c r="ERK25" s="13"/>
      <c r="ERL25" s="9"/>
      <c r="ERM25" s="9"/>
      <c r="ERN25" s="9"/>
      <c r="ERO25" s="9"/>
      <c r="ERP25" s="10"/>
      <c r="ERQ25" s="11"/>
      <c r="ERR25" s="12"/>
      <c r="ERS25" s="12"/>
      <c r="ERT25" s="12"/>
      <c r="ERU25" s="13"/>
      <c r="ERV25" s="9"/>
      <c r="ERW25" s="9"/>
      <c r="ERX25" s="9"/>
      <c r="ERY25" s="9"/>
      <c r="ERZ25" s="10"/>
      <c r="ESA25" s="11"/>
      <c r="ESB25" s="12"/>
      <c r="ESC25" s="12"/>
      <c r="ESD25" s="12"/>
      <c r="ESE25" s="13"/>
      <c r="ESF25" s="9"/>
      <c r="ESG25" s="9"/>
      <c r="ESH25" s="9"/>
      <c r="ESI25" s="9"/>
      <c r="ESJ25" s="10"/>
      <c r="ESK25" s="11"/>
      <c r="ESL25" s="12"/>
      <c r="ESM25" s="12"/>
      <c r="ESN25" s="12"/>
      <c r="ESO25" s="13"/>
      <c r="ESP25" s="9"/>
      <c r="ESQ25" s="9"/>
      <c r="ESR25" s="9"/>
      <c r="ESS25" s="9"/>
      <c r="EST25" s="10"/>
      <c r="ESU25" s="11"/>
      <c r="ESV25" s="12"/>
      <c r="ESW25" s="12"/>
      <c r="ESX25" s="12"/>
      <c r="ESY25" s="13"/>
      <c r="ESZ25" s="9"/>
      <c r="ETA25" s="9"/>
      <c r="ETB25" s="9"/>
      <c r="ETC25" s="9"/>
      <c r="ETD25" s="10"/>
      <c r="ETE25" s="11"/>
      <c r="ETF25" s="12"/>
      <c r="ETG25" s="12"/>
      <c r="ETH25" s="12"/>
      <c r="ETI25" s="13"/>
      <c r="ETJ25" s="9"/>
      <c r="ETK25" s="9"/>
      <c r="ETL25" s="9"/>
      <c r="ETM25" s="9"/>
      <c r="ETN25" s="10"/>
      <c r="ETO25" s="11"/>
      <c r="ETP25" s="12"/>
      <c r="ETQ25" s="12"/>
      <c r="ETR25" s="12"/>
      <c r="ETS25" s="13"/>
      <c r="ETT25" s="9"/>
      <c r="ETU25" s="9"/>
      <c r="ETV25" s="9"/>
      <c r="ETW25" s="9"/>
      <c r="ETX25" s="10"/>
      <c r="ETY25" s="11"/>
      <c r="ETZ25" s="12"/>
      <c r="EUA25" s="12"/>
      <c r="EUB25" s="12"/>
      <c r="EUC25" s="13"/>
      <c r="EUD25" s="9"/>
      <c r="EUE25" s="9"/>
      <c r="EUF25" s="9"/>
      <c r="EUG25" s="9"/>
      <c r="EUH25" s="10"/>
      <c r="EUI25" s="11"/>
      <c r="EUJ25" s="12"/>
      <c r="EUK25" s="12"/>
      <c r="EUL25" s="12"/>
      <c r="EUM25" s="13"/>
      <c r="EUN25" s="9"/>
      <c r="EUO25" s="9"/>
      <c r="EUP25" s="9"/>
      <c r="EUQ25" s="9"/>
      <c r="EUR25" s="10"/>
      <c r="EUS25" s="11"/>
      <c r="EUT25" s="12"/>
      <c r="EUU25" s="12"/>
      <c r="EUV25" s="12"/>
      <c r="EUW25" s="13"/>
      <c r="EUX25" s="9"/>
      <c r="EUY25" s="9"/>
      <c r="EUZ25" s="9"/>
      <c r="EVA25" s="9"/>
      <c r="EVB25" s="10"/>
      <c r="EVC25" s="11"/>
      <c r="EVD25" s="12"/>
      <c r="EVE25" s="12"/>
      <c r="EVF25" s="12"/>
      <c r="EVG25" s="13"/>
      <c r="EVH25" s="9"/>
      <c r="EVI25" s="9"/>
      <c r="EVJ25" s="9"/>
      <c r="EVK25" s="9"/>
      <c r="EVL25" s="10"/>
      <c r="EVM25" s="11"/>
      <c r="EVN25" s="12"/>
      <c r="EVO25" s="12"/>
      <c r="EVP25" s="12"/>
      <c r="EVQ25" s="13"/>
      <c r="EVR25" s="9"/>
      <c r="EVS25" s="9"/>
      <c r="EVT25" s="9"/>
      <c r="EVU25" s="9"/>
      <c r="EVV25" s="10"/>
      <c r="EVW25" s="11"/>
      <c r="EVX25" s="12"/>
      <c r="EVY25" s="12"/>
      <c r="EVZ25" s="12"/>
      <c r="EWA25" s="13"/>
      <c r="EWB25" s="9"/>
      <c r="EWC25" s="9"/>
      <c r="EWD25" s="9"/>
      <c r="EWE25" s="9"/>
      <c r="EWF25" s="10"/>
      <c r="EWG25" s="11"/>
      <c r="EWH25" s="12"/>
      <c r="EWI25" s="12"/>
      <c r="EWJ25" s="12"/>
      <c r="EWK25" s="13"/>
      <c r="EWL25" s="9"/>
      <c r="EWM25" s="9"/>
      <c r="EWN25" s="9"/>
      <c r="EWO25" s="9"/>
      <c r="EWP25" s="10"/>
      <c r="EWQ25" s="11"/>
      <c r="EWR25" s="12"/>
      <c r="EWS25" s="12"/>
      <c r="EWT25" s="12"/>
      <c r="EWU25" s="13"/>
      <c r="EWV25" s="9"/>
      <c r="EWW25" s="9"/>
      <c r="EWX25" s="9"/>
      <c r="EWY25" s="9"/>
      <c r="EWZ25" s="10"/>
      <c r="EXA25" s="11"/>
      <c r="EXB25" s="12"/>
      <c r="EXC25" s="12"/>
      <c r="EXD25" s="12"/>
      <c r="EXE25" s="13"/>
      <c r="EXF25" s="9"/>
      <c r="EXG25" s="9"/>
      <c r="EXH25" s="9"/>
      <c r="EXI25" s="9"/>
      <c r="EXJ25" s="10"/>
      <c r="EXK25" s="11"/>
      <c r="EXL25" s="12"/>
      <c r="EXM25" s="12"/>
      <c r="EXN25" s="12"/>
      <c r="EXO25" s="13"/>
      <c r="EXP25" s="9"/>
      <c r="EXQ25" s="9"/>
      <c r="EXR25" s="9"/>
      <c r="EXS25" s="9"/>
      <c r="EXT25" s="10"/>
      <c r="EXU25" s="11"/>
      <c r="EXV25" s="12"/>
      <c r="EXW25" s="12"/>
      <c r="EXX25" s="12"/>
      <c r="EXY25" s="13"/>
      <c r="EXZ25" s="9"/>
      <c r="EYA25" s="9"/>
      <c r="EYB25" s="9"/>
      <c r="EYC25" s="9"/>
      <c r="EYD25" s="10"/>
      <c r="EYE25" s="11"/>
      <c r="EYF25" s="12"/>
      <c r="EYG25" s="12"/>
      <c r="EYH25" s="12"/>
      <c r="EYI25" s="13"/>
      <c r="EYJ25" s="9"/>
      <c r="EYK25" s="9"/>
      <c r="EYL25" s="9"/>
      <c r="EYM25" s="9"/>
      <c r="EYN25" s="10"/>
      <c r="EYO25" s="11"/>
      <c r="EYP25" s="12"/>
      <c r="EYQ25" s="12"/>
      <c r="EYR25" s="12"/>
      <c r="EYS25" s="13"/>
      <c r="EYT25" s="9"/>
      <c r="EYU25" s="9"/>
      <c r="EYV25" s="9"/>
      <c r="EYW25" s="9"/>
      <c r="EYX25" s="10"/>
      <c r="EYY25" s="11"/>
      <c r="EYZ25" s="12"/>
      <c r="EZA25" s="12"/>
      <c r="EZB25" s="12"/>
      <c r="EZC25" s="13"/>
      <c r="EZD25" s="9"/>
      <c r="EZE25" s="9"/>
      <c r="EZF25" s="9"/>
      <c r="EZG25" s="9"/>
      <c r="EZH25" s="10"/>
      <c r="EZI25" s="11"/>
      <c r="EZJ25" s="12"/>
      <c r="EZK25" s="12"/>
      <c r="EZL25" s="12"/>
      <c r="EZM25" s="13"/>
      <c r="EZN25" s="9"/>
      <c r="EZO25" s="9"/>
      <c r="EZP25" s="9"/>
      <c r="EZQ25" s="9"/>
      <c r="EZR25" s="10"/>
      <c r="EZS25" s="11"/>
      <c r="EZT25" s="12"/>
      <c r="EZU25" s="12"/>
      <c r="EZV25" s="12"/>
      <c r="EZW25" s="13"/>
      <c r="EZX25" s="9"/>
      <c r="EZY25" s="9"/>
      <c r="EZZ25" s="9"/>
      <c r="FAA25" s="9"/>
      <c r="FAB25" s="10"/>
      <c r="FAC25" s="11"/>
      <c r="FAD25" s="12"/>
      <c r="FAE25" s="12"/>
      <c r="FAF25" s="12"/>
      <c r="FAG25" s="13"/>
      <c r="FAH25" s="9"/>
      <c r="FAI25" s="9"/>
      <c r="FAJ25" s="9"/>
      <c r="FAK25" s="9"/>
      <c r="FAL25" s="10"/>
      <c r="FAM25" s="11"/>
      <c r="FAN25" s="12"/>
      <c r="FAO25" s="12"/>
      <c r="FAP25" s="12"/>
      <c r="FAQ25" s="13"/>
      <c r="FAR25" s="9"/>
      <c r="FAS25" s="9"/>
      <c r="FAT25" s="9"/>
      <c r="FAU25" s="9"/>
      <c r="FAV25" s="10"/>
      <c r="FAW25" s="11"/>
      <c r="FAX25" s="12"/>
      <c r="FAY25" s="12"/>
      <c r="FAZ25" s="12"/>
      <c r="FBA25" s="13"/>
      <c r="FBB25" s="9"/>
      <c r="FBC25" s="9"/>
      <c r="FBD25" s="9"/>
      <c r="FBE25" s="9"/>
      <c r="FBF25" s="10"/>
      <c r="FBG25" s="11"/>
      <c r="FBH25" s="12"/>
      <c r="FBI25" s="12"/>
      <c r="FBJ25" s="12"/>
      <c r="FBK25" s="13"/>
      <c r="FBL25" s="9"/>
      <c r="FBM25" s="9"/>
      <c r="FBN25" s="9"/>
      <c r="FBO25" s="9"/>
      <c r="FBP25" s="10"/>
      <c r="FBQ25" s="11"/>
      <c r="FBR25" s="12"/>
      <c r="FBS25" s="12"/>
      <c r="FBT25" s="12"/>
      <c r="FBU25" s="13"/>
      <c r="FBV25" s="9"/>
      <c r="FBW25" s="9"/>
      <c r="FBX25" s="9"/>
      <c r="FBY25" s="9"/>
      <c r="FBZ25" s="10"/>
      <c r="FCA25" s="11"/>
      <c r="FCB25" s="12"/>
      <c r="FCC25" s="12"/>
      <c r="FCD25" s="12"/>
      <c r="FCE25" s="13"/>
      <c r="FCF25" s="9"/>
      <c r="FCG25" s="9"/>
      <c r="FCH25" s="9"/>
      <c r="FCI25" s="9"/>
      <c r="FCJ25" s="10"/>
      <c r="FCK25" s="11"/>
      <c r="FCL25" s="12"/>
      <c r="FCM25" s="12"/>
      <c r="FCN25" s="12"/>
      <c r="FCO25" s="13"/>
      <c r="FCP25" s="9"/>
      <c r="FCQ25" s="9"/>
      <c r="FCR25" s="9"/>
      <c r="FCS25" s="9"/>
      <c r="FCT25" s="10"/>
      <c r="FCU25" s="11"/>
      <c r="FCV25" s="12"/>
      <c r="FCW25" s="12"/>
      <c r="FCX25" s="12"/>
      <c r="FCY25" s="13"/>
      <c r="FCZ25" s="9"/>
      <c r="FDA25" s="9"/>
      <c r="FDB25" s="9"/>
      <c r="FDC25" s="9"/>
      <c r="FDD25" s="10"/>
      <c r="FDE25" s="11"/>
      <c r="FDF25" s="12"/>
      <c r="FDG25" s="12"/>
      <c r="FDH25" s="12"/>
      <c r="FDI25" s="13"/>
      <c r="FDJ25" s="9"/>
      <c r="FDK25" s="9"/>
      <c r="FDL25" s="9"/>
      <c r="FDM25" s="9"/>
      <c r="FDN25" s="10"/>
      <c r="FDO25" s="11"/>
      <c r="FDP25" s="12"/>
      <c r="FDQ25" s="12"/>
      <c r="FDR25" s="12"/>
      <c r="FDS25" s="13"/>
      <c r="FDT25" s="9"/>
      <c r="FDU25" s="9"/>
      <c r="FDV25" s="9"/>
      <c r="FDW25" s="9"/>
      <c r="FDX25" s="10"/>
      <c r="FDY25" s="11"/>
      <c r="FDZ25" s="12"/>
      <c r="FEA25" s="12"/>
      <c r="FEB25" s="12"/>
      <c r="FEC25" s="13"/>
      <c r="FED25" s="9"/>
      <c r="FEE25" s="9"/>
      <c r="FEF25" s="9"/>
      <c r="FEG25" s="9"/>
      <c r="FEH25" s="10"/>
      <c r="FEI25" s="11"/>
      <c r="FEJ25" s="12"/>
      <c r="FEK25" s="12"/>
      <c r="FEL25" s="12"/>
      <c r="FEM25" s="13"/>
      <c r="FEN25" s="9"/>
      <c r="FEO25" s="9"/>
      <c r="FEP25" s="9"/>
      <c r="FEQ25" s="9"/>
      <c r="FER25" s="10"/>
      <c r="FES25" s="11"/>
      <c r="FET25" s="12"/>
      <c r="FEU25" s="12"/>
      <c r="FEV25" s="12"/>
      <c r="FEW25" s="13"/>
      <c r="FEX25" s="9"/>
      <c r="FEY25" s="9"/>
      <c r="FEZ25" s="9"/>
      <c r="FFA25" s="9"/>
      <c r="FFB25" s="10"/>
      <c r="FFC25" s="11"/>
      <c r="FFD25" s="12"/>
      <c r="FFE25" s="12"/>
      <c r="FFF25" s="12"/>
      <c r="FFG25" s="13"/>
      <c r="FFH25" s="9"/>
      <c r="FFI25" s="9"/>
      <c r="FFJ25" s="9"/>
      <c r="FFK25" s="9"/>
      <c r="FFL25" s="10"/>
      <c r="FFM25" s="11"/>
      <c r="FFN25" s="12"/>
      <c r="FFO25" s="12"/>
      <c r="FFP25" s="12"/>
      <c r="FFQ25" s="13"/>
      <c r="FFR25" s="9"/>
      <c r="FFS25" s="9"/>
      <c r="FFT25" s="9"/>
      <c r="FFU25" s="9"/>
      <c r="FFV25" s="10"/>
      <c r="FFW25" s="11"/>
      <c r="FFX25" s="12"/>
      <c r="FFY25" s="12"/>
      <c r="FFZ25" s="12"/>
      <c r="FGA25" s="13"/>
      <c r="FGB25" s="9"/>
      <c r="FGC25" s="9"/>
      <c r="FGD25" s="9"/>
      <c r="FGE25" s="9"/>
      <c r="FGF25" s="10"/>
      <c r="FGG25" s="11"/>
      <c r="FGH25" s="12"/>
      <c r="FGI25" s="12"/>
      <c r="FGJ25" s="12"/>
      <c r="FGK25" s="13"/>
      <c r="FGL25" s="9"/>
      <c r="FGM25" s="9"/>
      <c r="FGN25" s="9"/>
      <c r="FGO25" s="9"/>
      <c r="FGP25" s="10"/>
      <c r="FGQ25" s="11"/>
      <c r="FGR25" s="12"/>
      <c r="FGS25" s="12"/>
      <c r="FGT25" s="12"/>
      <c r="FGU25" s="13"/>
      <c r="FGV25" s="9"/>
      <c r="FGW25" s="9"/>
      <c r="FGX25" s="9"/>
      <c r="FGY25" s="9"/>
      <c r="FGZ25" s="10"/>
      <c r="FHA25" s="11"/>
      <c r="FHB25" s="12"/>
      <c r="FHC25" s="12"/>
      <c r="FHD25" s="12"/>
      <c r="FHE25" s="13"/>
      <c r="FHF25" s="9"/>
      <c r="FHG25" s="9"/>
      <c r="FHH25" s="9"/>
      <c r="FHI25" s="9"/>
      <c r="FHJ25" s="10"/>
      <c r="FHK25" s="11"/>
      <c r="FHL25" s="12"/>
      <c r="FHM25" s="12"/>
      <c r="FHN25" s="12"/>
      <c r="FHO25" s="13"/>
      <c r="FHP25" s="9"/>
      <c r="FHQ25" s="9"/>
      <c r="FHR25" s="9"/>
      <c r="FHS25" s="9"/>
      <c r="FHT25" s="10"/>
      <c r="FHU25" s="11"/>
      <c r="FHV25" s="12"/>
      <c r="FHW25" s="12"/>
      <c r="FHX25" s="12"/>
      <c r="FHY25" s="13"/>
      <c r="FHZ25" s="9"/>
      <c r="FIA25" s="9"/>
      <c r="FIB25" s="9"/>
      <c r="FIC25" s="9"/>
      <c r="FID25" s="10"/>
      <c r="FIE25" s="11"/>
      <c r="FIF25" s="12"/>
      <c r="FIG25" s="12"/>
      <c r="FIH25" s="12"/>
      <c r="FII25" s="13"/>
      <c r="FIJ25" s="9"/>
      <c r="FIK25" s="9"/>
      <c r="FIL25" s="9"/>
      <c r="FIM25" s="9"/>
      <c r="FIN25" s="10"/>
      <c r="FIO25" s="11"/>
      <c r="FIP25" s="12"/>
      <c r="FIQ25" s="12"/>
      <c r="FIR25" s="12"/>
      <c r="FIS25" s="13"/>
      <c r="FIT25" s="9"/>
      <c r="FIU25" s="9"/>
      <c r="FIV25" s="9"/>
      <c r="FIW25" s="9"/>
      <c r="FIX25" s="10"/>
      <c r="FIY25" s="11"/>
      <c r="FIZ25" s="12"/>
      <c r="FJA25" s="12"/>
      <c r="FJB25" s="12"/>
      <c r="FJC25" s="13"/>
      <c r="FJD25" s="9"/>
      <c r="FJE25" s="9"/>
      <c r="FJF25" s="9"/>
      <c r="FJG25" s="9"/>
      <c r="FJH25" s="10"/>
      <c r="FJI25" s="11"/>
      <c r="FJJ25" s="12"/>
      <c r="FJK25" s="12"/>
      <c r="FJL25" s="12"/>
      <c r="FJM25" s="13"/>
      <c r="FJN25" s="9"/>
      <c r="FJO25" s="9"/>
      <c r="FJP25" s="9"/>
      <c r="FJQ25" s="9"/>
      <c r="FJR25" s="10"/>
      <c r="FJS25" s="11"/>
      <c r="FJT25" s="12"/>
      <c r="FJU25" s="12"/>
      <c r="FJV25" s="12"/>
      <c r="FJW25" s="13"/>
      <c r="FJX25" s="9"/>
      <c r="FJY25" s="9"/>
      <c r="FJZ25" s="9"/>
      <c r="FKA25" s="9"/>
      <c r="FKB25" s="10"/>
      <c r="FKC25" s="11"/>
      <c r="FKD25" s="12"/>
      <c r="FKE25" s="12"/>
      <c r="FKF25" s="12"/>
      <c r="FKG25" s="13"/>
      <c r="FKH25" s="9"/>
      <c r="FKI25" s="9"/>
      <c r="FKJ25" s="9"/>
      <c r="FKK25" s="9"/>
      <c r="FKL25" s="10"/>
      <c r="FKM25" s="11"/>
      <c r="FKN25" s="12"/>
      <c r="FKO25" s="12"/>
      <c r="FKP25" s="12"/>
      <c r="FKQ25" s="13"/>
      <c r="FKR25" s="9"/>
      <c r="FKS25" s="9"/>
      <c r="FKT25" s="9"/>
      <c r="FKU25" s="9"/>
      <c r="FKV25" s="10"/>
      <c r="FKW25" s="11"/>
      <c r="FKX25" s="12"/>
      <c r="FKY25" s="12"/>
      <c r="FKZ25" s="12"/>
      <c r="FLA25" s="13"/>
      <c r="FLB25" s="9"/>
      <c r="FLC25" s="9"/>
      <c r="FLD25" s="9"/>
      <c r="FLE25" s="9"/>
      <c r="FLF25" s="10"/>
      <c r="FLG25" s="11"/>
      <c r="FLH25" s="12"/>
      <c r="FLI25" s="12"/>
      <c r="FLJ25" s="12"/>
      <c r="FLK25" s="13"/>
      <c r="FLL25" s="9"/>
      <c r="FLM25" s="9"/>
      <c r="FLN25" s="9"/>
      <c r="FLO25" s="9"/>
      <c r="FLP25" s="10"/>
      <c r="FLQ25" s="11"/>
      <c r="FLR25" s="12"/>
      <c r="FLS25" s="12"/>
      <c r="FLT25" s="12"/>
      <c r="FLU25" s="13"/>
      <c r="FLV25" s="9"/>
      <c r="FLW25" s="9"/>
      <c r="FLX25" s="9"/>
      <c r="FLY25" s="9"/>
      <c r="FLZ25" s="10"/>
      <c r="FMA25" s="11"/>
      <c r="FMB25" s="12"/>
      <c r="FMC25" s="12"/>
      <c r="FMD25" s="12"/>
      <c r="FME25" s="13"/>
      <c r="FMF25" s="9"/>
      <c r="FMG25" s="9"/>
      <c r="FMH25" s="9"/>
      <c r="FMI25" s="9"/>
      <c r="FMJ25" s="10"/>
      <c r="FMK25" s="11"/>
      <c r="FML25" s="12"/>
      <c r="FMM25" s="12"/>
      <c r="FMN25" s="12"/>
      <c r="FMO25" s="13"/>
      <c r="FMP25" s="9"/>
      <c r="FMQ25" s="9"/>
      <c r="FMR25" s="9"/>
      <c r="FMS25" s="9"/>
      <c r="FMT25" s="10"/>
      <c r="FMU25" s="11"/>
      <c r="FMV25" s="12"/>
      <c r="FMW25" s="12"/>
      <c r="FMX25" s="12"/>
      <c r="FMY25" s="13"/>
      <c r="FMZ25" s="9"/>
      <c r="FNA25" s="9"/>
      <c r="FNB25" s="9"/>
      <c r="FNC25" s="9"/>
      <c r="FND25" s="10"/>
      <c r="FNE25" s="11"/>
      <c r="FNF25" s="12"/>
      <c r="FNG25" s="12"/>
      <c r="FNH25" s="12"/>
      <c r="FNI25" s="13"/>
      <c r="FNJ25" s="9"/>
      <c r="FNK25" s="9"/>
      <c r="FNL25" s="9"/>
      <c r="FNM25" s="9"/>
      <c r="FNN25" s="10"/>
      <c r="FNO25" s="11"/>
      <c r="FNP25" s="12"/>
      <c r="FNQ25" s="12"/>
      <c r="FNR25" s="12"/>
      <c r="FNS25" s="13"/>
      <c r="FNT25" s="9"/>
      <c r="FNU25" s="9"/>
      <c r="FNV25" s="9"/>
      <c r="FNW25" s="9"/>
      <c r="FNX25" s="10"/>
      <c r="FNY25" s="11"/>
      <c r="FNZ25" s="12"/>
      <c r="FOA25" s="12"/>
      <c r="FOB25" s="12"/>
      <c r="FOC25" s="13"/>
      <c r="FOD25" s="9"/>
      <c r="FOE25" s="9"/>
      <c r="FOF25" s="9"/>
      <c r="FOG25" s="9"/>
      <c r="FOH25" s="10"/>
      <c r="FOI25" s="11"/>
      <c r="FOJ25" s="12"/>
      <c r="FOK25" s="12"/>
      <c r="FOL25" s="12"/>
      <c r="FOM25" s="13"/>
      <c r="FON25" s="9"/>
      <c r="FOO25" s="9"/>
      <c r="FOP25" s="9"/>
      <c r="FOQ25" s="9"/>
      <c r="FOR25" s="10"/>
      <c r="FOS25" s="11"/>
      <c r="FOT25" s="12"/>
      <c r="FOU25" s="12"/>
      <c r="FOV25" s="12"/>
      <c r="FOW25" s="13"/>
      <c r="FOX25" s="9"/>
      <c r="FOY25" s="9"/>
      <c r="FOZ25" s="9"/>
      <c r="FPA25" s="9"/>
      <c r="FPB25" s="10"/>
      <c r="FPC25" s="11"/>
      <c r="FPD25" s="12"/>
      <c r="FPE25" s="12"/>
      <c r="FPF25" s="12"/>
      <c r="FPG25" s="13"/>
      <c r="FPH25" s="9"/>
      <c r="FPI25" s="9"/>
      <c r="FPJ25" s="9"/>
      <c r="FPK25" s="9"/>
      <c r="FPL25" s="10"/>
      <c r="FPM25" s="11"/>
      <c r="FPN25" s="12"/>
      <c r="FPO25" s="12"/>
      <c r="FPP25" s="12"/>
      <c r="FPQ25" s="13"/>
      <c r="FPR25" s="9"/>
      <c r="FPS25" s="9"/>
      <c r="FPT25" s="9"/>
      <c r="FPU25" s="9"/>
      <c r="FPV25" s="10"/>
      <c r="FPW25" s="11"/>
      <c r="FPX25" s="12"/>
      <c r="FPY25" s="12"/>
      <c r="FPZ25" s="12"/>
      <c r="FQA25" s="13"/>
      <c r="FQB25" s="9"/>
      <c r="FQC25" s="9"/>
      <c r="FQD25" s="9"/>
      <c r="FQE25" s="9"/>
      <c r="FQF25" s="10"/>
      <c r="FQG25" s="11"/>
      <c r="FQH25" s="12"/>
      <c r="FQI25" s="12"/>
      <c r="FQJ25" s="12"/>
      <c r="FQK25" s="13"/>
      <c r="FQL25" s="9"/>
      <c r="FQM25" s="9"/>
      <c r="FQN25" s="9"/>
      <c r="FQO25" s="9"/>
      <c r="FQP25" s="10"/>
      <c r="FQQ25" s="11"/>
      <c r="FQR25" s="12"/>
      <c r="FQS25" s="12"/>
      <c r="FQT25" s="12"/>
      <c r="FQU25" s="13"/>
      <c r="FQV25" s="9"/>
      <c r="FQW25" s="9"/>
      <c r="FQX25" s="9"/>
      <c r="FQY25" s="9"/>
      <c r="FQZ25" s="10"/>
      <c r="FRA25" s="11"/>
      <c r="FRB25" s="12"/>
      <c r="FRC25" s="12"/>
      <c r="FRD25" s="12"/>
      <c r="FRE25" s="13"/>
      <c r="FRF25" s="9"/>
      <c r="FRG25" s="9"/>
      <c r="FRH25" s="9"/>
      <c r="FRI25" s="9"/>
      <c r="FRJ25" s="10"/>
      <c r="FRK25" s="11"/>
      <c r="FRL25" s="12"/>
      <c r="FRM25" s="12"/>
      <c r="FRN25" s="12"/>
      <c r="FRO25" s="13"/>
      <c r="FRP25" s="9"/>
      <c r="FRQ25" s="9"/>
      <c r="FRR25" s="9"/>
      <c r="FRS25" s="9"/>
      <c r="FRT25" s="10"/>
      <c r="FRU25" s="11"/>
      <c r="FRV25" s="12"/>
      <c r="FRW25" s="12"/>
      <c r="FRX25" s="12"/>
      <c r="FRY25" s="13"/>
      <c r="FRZ25" s="9"/>
      <c r="FSA25" s="9"/>
      <c r="FSB25" s="9"/>
      <c r="FSC25" s="9"/>
      <c r="FSD25" s="10"/>
      <c r="FSE25" s="11"/>
      <c r="FSF25" s="12"/>
      <c r="FSG25" s="12"/>
      <c r="FSH25" s="12"/>
      <c r="FSI25" s="13"/>
      <c r="FSJ25" s="9"/>
      <c r="FSK25" s="9"/>
      <c r="FSL25" s="9"/>
      <c r="FSM25" s="9"/>
      <c r="FSN25" s="10"/>
      <c r="FSO25" s="11"/>
      <c r="FSP25" s="12"/>
      <c r="FSQ25" s="12"/>
      <c r="FSR25" s="12"/>
      <c r="FSS25" s="13"/>
      <c r="FST25" s="9"/>
      <c r="FSU25" s="9"/>
      <c r="FSV25" s="9"/>
      <c r="FSW25" s="9"/>
      <c r="FSX25" s="10"/>
      <c r="FSY25" s="11"/>
      <c r="FSZ25" s="12"/>
      <c r="FTA25" s="12"/>
      <c r="FTB25" s="12"/>
      <c r="FTC25" s="13"/>
      <c r="FTD25" s="9"/>
      <c r="FTE25" s="9"/>
      <c r="FTF25" s="9"/>
      <c r="FTG25" s="9"/>
      <c r="FTH25" s="10"/>
      <c r="FTI25" s="11"/>
      <c r="FTJ25" s="12"/>
      <c r="FTK25" s="12"/>
      <c r="FTL25" s="12"/>
      <c r="FTM25" s="13"/>
      <c r="FTN25" s="9"/>
      <c r="FTO25" s="9"/>
      <c r="FTP25" s="9"/>
      <c r="FTQ25" s="9"/>
      <c r="FTR25" s="10"/>
      <c r="FTS25" s="11"/>
      <c r="FTT25" s="12"/>
      <c r="FTU25" s="12"/>
      <c r="FTV25" s="12"/>
      <c r="FTW25" s="13"/>
      <c r="FTX25" s="9"/>
      <c r="FTY25" s="9"/>
      <c r="FTZ25" s="9"/>
      <c r="FUA25" s="9"/>
      <c r="FUB25" s="10"/>
      <c r="FUC25" s="11"/>
      <c r="FUD25" s="12"/>
      <c r="FUE25" s="12"/>
      <c r="FUF25" s="12"/>
      <c r="FUG25" s="13"/>
      <c r="FUH25" s="9"/>
      <c r="FUI25" s="9"/>
      <c r="FUJ25" s="9"/>
      <c r="FUK25" s="9"/>
      <c r="FUL25" s="10"/>
      <c r="FUM25" s="11"/>
      <c r="FUN25" s="12"/>
      <c r="FUO25" s="12"/>
      <c r="FUP25" s="12"/>
      <c r="FUQ25" s="13"/>
      <c r="FUR25" s="9"/>
      <c r="FUS25" s="9"/>
      <c r="FUT25" s="9"/>
      <c r="FUU25" s="9"/>
      <c r="FUV25" s="10"/>
      <c r="FUW25" s="11"/>
      <c r="FUX25" s="12"/>
      <c r="FUY25" s="12"/>
      <c r="FUZ25" s="12"/>
      <c r="FVA25" s="13"/>
      <c r="FVB25" s="9"/>
      <c r="FVC25" s="9"/>
      <c r="FVD25" s="9"/>
      <c r="FVE25" s="9"/>
      <c r="FVF25" s="10"/>
      <c r="FVG25" s="11"/>
      <c r="FVH25" s="12"/>
      <c r="FVI25" s="12"/>
      <c r="FVJ25" s="12"/>
      <c r="FVK25" s="13"/>
      <c r="FVL25" s="9"/>
      <c r="FVM25" s="9"/>
      <c r="FVN25" s="9"/>
      <c r="FVO25" s="9"/>
      <c r="FVP25" s="10"/>
      <c r="FVQ25" s="11"/>
      <c r="FVR25" s="12"/>
      <c r="FVS25" s="12"/>
      <c r="FVT25" s="12"/>
      <c r="FVU25" s="13"/>
      <c r="FVV25" s="9"/>
      <c r="FVW25" s="9"/>
      <c r="FVX25" s="9"/>
      <c r="FVY25" s="9"/>
      <c r="FVZ25" s="10"/>
      <c r="FWA25" s="11"/>
      <c r="FWB25" s="12"/>
      <c r="FWC25" s="12"/>
      <c r="FWD25" s="12"/>
      <c r="FWE25" s="13"/>
      <c r="FWF25" s="9"/>
      <c r="FWG25" s="9"/>
      <c r="FWH25" s="9"/>
      <c r="FWI25" s="9"/>
      <c r="FWJ25" s="10"/>
      <c r="FWK25" s="11"/>
      <c r="FWL25" s="12"/>
      <c r="FWM25" s="12"/>
      <c r="FWN25" s="12"/>
      <c r="FWO25" s="13"/>
      <c r="FWP25" s="9"/>
      <c r="FWQ25" s="9"/>
      <c r="FWR25" s="9"/>
      <c r="FWS25" s="9"/>
      <c r="FWT25" s="10"/>
      <c r="FWU25" s="11"/>
      <c r="FWV25" s="12"/>
      <c r="FWW25" s="12"/>
      <c r="FWX25" s="12"/>
      <c r="FWY25" s="13"/>
      <c r="FWZ25" s="9"/>
      <c r="FXA25" s="9"/>
      <c r="FXB25" s="9"/>
      <c r="FXC25" s="9"/>
      <c r="FXD25" s="10"/>
      <c r="FXE25" s="11"/>
      <c r="FXF25" s="12"/>
      <c r="FXG25" s="12"/>
      <c r="FXH25" s="12"/>
      <c r="FXI25" s="13"/>
      <c r="FXJ25" s="9"/>
      <c r="FXK25" s="9"/>
      <c r="FXL25" s="9"/>
      <c r="FXM25" s="9"/>
      <c r="FXN25" s="10"/>
      <c r="FXO25" s="11"/>
      <c r="FXP25" s="12"/>
      <c r="FXQ25" s="12"/>
      <c r="FXR25" s="12"/>
      <c r="FXS25" s="13"/>
      <c r="FXT25" s="9"/>
      <c r="FXU25" s="9"/>
      <c r="FXV25" s="9"/>
      <c r="FXW25" s="9"/>
      <c r="FXX25" s="10"/>
      <c r="FXY25" s="11"/>
      <c r="FXZ25" s="12"/>
      <c r="FYA25" s="12"/>
      <c r="FYB25" s="12"/>
      <c r="FYC25" s="13"/>
      <c r="FYD25" s="9"/>
      <c r="FYE25" s="9"/>
      <c r="FYF25" s="9"/>
      <c r="FYG25" s="9"/>
      <c r="FYH25" s="10"/>
      <c r="FYI25" s="11"/>
      <c r="FYJ25" s="12"/>
      <c r="FYK25" s="12"/>
      <c r="FYL25" s="12"/>
      <c r="FYM25" s="13"/>
      <c r="FYN25" s="9"/>
      <c r="FYO25" s="9"/>
      <c r="FYP25" s="9"/>
      <c r="FYQ25" s="9"/>
      <c r="FYR25" s="10"/>
      <c r="FYS25" s="11"/>
      <c r="FYT25" s="12"/>
      <c r="FYU25" s="12"/>
      <c r="FYV25" s="12"/>
      <c r="FYW25" s="13"/>
      <c r="FYX25" s="9"/>
      <c r="FYY25" s="9"/>
      <c r="FYZ25" s="9"/>
      <c r="FZA25" s="9"/>
      <c r="FZB25" s="10"/>
      <c r="FZC25" s="11"/>
      <c r="FZD25" s="12"/>
      <c r="FZE25" s="12"/>
      <c r="FZF25" s="12"/>
      <c r="FZG25" s="13"/>
      <c r="FZH25" s="9"/>
      <c r="FZI25" s="9"/>
      <c r="FZJ25" s="9"/>
      <c r="FZK25" s="9"/>
      <c r="FZL25" s="10"/>
      <c r="FZM25" s="11"/>
      <c r="FZN25" s="12"/>
      <c r="FZO25" s="12"/>
      <c r="FZP25" s="12"/>
      <c r="FZQ25" s="13"/>
      <c r="FZR25" s="9"/>
      <c r="FZS25" s="9"/>
      <c r="FZT25" s="9"/>
      <c r="FZU25" s="9"/>
      <c r="FZV25" s="10"/>
      <c r="FZW25" s="11"/>
      <c r="FZX25" s="12"/>
      <c r="FZY25" s="12"/>
      <c r="FZZ25" s="12"/>
      <c r="GAA25" s="13"/>
      <c r="GAB25" s="9"/>
      <c r="GAC25" s="9"/>
      <c r="GAD25" s="9"/>
      <c r="GAE25" s="9"/>
      <c r="GAF25" s="10"/>
      <c r="GAG25" s="11"/>
      <c r="GAH25" s="12"/>
      <c r="GAI25" s="12"/>
      <c r="GAJ25" s="12"/>
      <c r="GAK25" s="13"/>
      <c r="GAL25" s="9"/>
      <c r="GAM25" s="9"/>
      <c r="GAN25" s="9"/>
      <c r="GAO25" s="9"/>
      <c r="GAP25" s="10"/>
      <c r="GAQ25" s="11"/>
      <c r="GAR25" s="12"/>
      <c r="GAS25" s="12"/>
      <c r="GAT25" s="12"/>
      <c r="GAU25" s="13"/>
      <c r="GAV25" s="9"/>
      <c r="GAW25" s="9"/>
      <c r="GAX25" s="9"/>
      <c r="GAY25" s="9"/>
      <c r="GAZ25" s="10"/>
      <c r="GBA25" s="11"/>
      <c r="GBB25" s="12"/>
      <c r="GBC25" s="12"/>
      <c r="GBD25" s="12"/>
      <c r="GBE25" s="13"/>
      <c r="GBF25" s="9"/>
      <c r="GBG25" s="9"/>
      <c r="GBH25" s="9"/>
      <c r="GBI25" s="9"/>
      <c r="GBJ25" s="10"/>
      <c r="GBK25" s="11"/>
      <c r="GBL25" s="12"/>
      <c r="GBM25" s="12"/>
      <c r="GBN25" s="12"/>
      <c r="GBO25" s="13"/>
      <c r="GBP25" s="9"/>
      <c r="GBQ25" s="9"/>
      <c r="GBR25" s="9"/>
      <c r="GBS25" s="9"/>
      <c r="GBT25" s="10"/>
      <c r="GBU25" s="11"/>
      <c r="GBV25" s="12"/>
      <c r="GBW25" s="12"/>
      <c r="GBX25" s="12"/>
      <c r="GBY25" s="13"/>
      <c r="GBZ25" s="9"/>
      <c r="GCA25" s="9"/>
      <c r="GCB25" s="9"/>
      <c r="GCC25" s="9"/>
      <c r="GCD25" s="10"/>
      <c r="GCE25" s="11"/>
      <c r="GCF25" s="12"/>
      <c r="GCG25" s="12"/>
      <c r="GCH25" s="12"/>
      <c r="GCI25" s="13"/>
      <c r="GCJ25" s="9"/>
      <c r="GCK25" s="9"/>
      <c r="GCL25" s="9"/>
      <c r="GCM25" s="9"/>
      <c r="GCN25" s="10"/>
      <c r="GCO25" s="11"/>
      <c r="GCP25" s="12"/>
      <c r="GCQ25" s="12"/>
      <c r="GCR25" s="12"/>
      <c r="GCS25" s="13"/>
      <c r="GCT25" s="9"/>
      <c r="GCU25" s="9"/>
      <c r="GCV25" s="9"/>
      <c r="GCW25" s="9"/>
      <c r="GCX25" s="10"/>
      <c r="GCY25" s="11"/>
      <c r="GCZ25" s="12"/>
      <c r="GDA25" s="12"/>
      <c r="GDB25" s="12"/>
      <c r="GDC25" s="13"/>
      <c r="GDD25" s="9"/>
      <c r="GDE25" s="9"/>
      <c r="GDF25" s="9"/>
      <c r="GDG25" s="9"/>
      <c r="GDH25" s="10"/>
      <c r="GDI25" s="11"/>
      <c r="GDJ25" s="12"/>
      <c r="GDK25" s="12"/>
      <c r="GDL25" s="12"/>
      <c r="GDM25" s="13"/>
      <c r="GDN25" s="9"/>
      <c r="GDO25" s="9"/>
      <c r="GDP25" s="9"/>
      <c r="GDQ25" s="9"/>
      <c r="GDR25" s="10"/>
      <c r="GDS25" s="11"/>
      <c r="GDT25" s="12"/>
      <c r="GDU25" s="12"/>
      <c r="GDV25" s="12"/>
      <c r="GDW25" s="13"/>
      <c r="GDX25" s="9"/>
      <c r="GDY25" s="9"/>
      <c r="GDZ25" s="9"/>
      <c r="GEA25" s="9"/>
      <c r="GEB25" s="10"/>
      <c r="GEC25" s="11"/>
      <c r="GED25" s="12"/>
      <c r="GEE25" s="12"/>
      <c r="GEF25" s="12"/>
      <c r="GEG25" s="13"/>
      <c r="GEH25" s="9"/>
      <c r="GEI25" s="9"/>
      <c r="GEJ25" s="9"/>
      <c r="GEK25" s="9"/>
      <c r="GEL25" s="10"/>
      <c r="GEM25" s="11"/>
      <c r="GEN25" s="12"/>
      <c r="GEO25" s="12"/>
      <c r="GEP25" s="12"/>
      <c r="GEQ25" s="13"/>
      <c r="GER25" s="9"/>
      <c r="GES25" s="9"/>
      <c r="GET25" s="9"/>
      <c r="GEU25" s="9"/>
      <c r="GEV25" s="10"/>
      <c r="GEW25" s="11"/>
      <c r="GEX25" s="12"/>
      <c r="GEY25" s="12"/>
      <c r="GEZ25" s="12"/>
      <c r="GFA25" s="13"/>
      <c r="GFB25" s="9"/>
      <c r="GFC25" s="9"/>
      <c r="GFD25" s="9"/>
      <c r="GFE25" s="9"/>
      <c r="GFF25" s="10"/>
      <c r="GFG25" s="11"/>
      <c r="GFH25" s="12"/>
      <c r="GFI25" s="12"/>
      <c r="GFJ25" s="12"/>
      <c r="GFK25" s="13"/>
      <c r="GFL25" s="9"/>
      <c r="GFM25" s="9"/>
      <c r="GFN25" s="9"/>
      <c r="GFO25" s="9"/>
      <c r="GFP25" s="10"/>
      <c r="GFQ25" s="11"/>
      <c r="GFR25" s="12"/>
      <c r="GFS25" s="12"/>
      <c r="GFT25" s="12"/>
      <c r="GFU25" s="13"/>
      <c r="GFV25" s="9"/>
      <c r="GFW25" s="9"/>
      <c r="GFX25" s="9"/>
      <c r="GFY25" s="9"/>
      <c r="GFZ25" s="10"/>
      <c r="GGA25" s="11"/>
      <c r="GGB25" s="12"/>
      <c r="GGC25" s="12"/>
      <c r="GGD25" s="12"/>
      <c r="GGE25" s="13"/>
      <c r="GGF25" s="9"/>
      <c r="GGG25" s="9"/>
      <c r="GGH25" s="9"/>
      <c r="GGI25" s="9"/>
      <c r="GGJ25" s="10"/>
      <c r="GGK25" s="11"/>
      <c r="GGL25" s="12"/>
      <c r="GGM25" s="12"/>
      <c r="GGN25" s="12"/>
      <c r="GGO25" s="13"/>
      <c r="GGP25" s="9"/>
      <c r="GGQ25" s="9"/>
      <c r="GGR25" s="9"/>
      <c r="GGS25" s="9"/>
      <c r="GGT25" s="10"/>
      <c r="GGU25" s="11"/>
      <c r="GGV25" s="12"/>
      <c r="GGW25" s="12"/>
      <c r="GGX25" s="12"/>
      <c r="GGY25" s="13"/>
      <c r="GGZ25" s="9"/>
      <c r="GHA25" s="9"/>
      <c r="GHB25" s="9"/>
      <c r="GHC25" s="9"/>
      <c r="GHD25" s="10"/>
      <c r="GHE25" s="11"/>
      <c r="GHF25" s="12"/>
      <c r="GHG25" s="12"/>
      <c r="GHH25" s="12"/>
      <c r="GHI25" s="13"/>
      <c r="GHJ25" s="9"/>
      <c r="GHK25" s="9"/>
      <c r="GHL25" s="9"/>
      <c r="GHM25" s="9"/>
      <c r="GHN25" s="10"/>
      <c r="GHO25" s="11"/>
      <c r="GHP25" s="12"/>
      <c r="GHQ25" s="12"/>
      <c r="GHR25" s="12"/>
      <c r="GHS25" s="13"/>
      <c r="GHT25" s="9"/>
      <c r="GHU25" s="9"/>
      <c r="GHV25" s="9"/>
      <c r="GHW25" s="9"/>
      <c r="GHX25" s="10"/>
      <c r="GHY25" s="11"/>
      <c r="GHZ25" s="12"/>
      <c r="GIA25" s="12"/>
      <c r="GIB25" s="12"/>
      <c r="GIC25" s="13"/>
      <c r="GID25" s="9"/>
      <c r="GIE25" s="9"/>
      <c r="GIF25" s="9"/>
      <c r="GIG25" s="9"/>
      <c r="GIH25" s="10"/>
      <c r="GII25" s="11"/>
      <c r="GIJ25" s="12"/>
      <c r="GIK25" s="12"/>
      <c r="GIL25" s="12"/>
      <c r="GIM25" s="13"/>
      <c r="GIN25" s="9"/>
      <c r="GIO25" s="9"/>
      <c r="GIP25" s="9"/>
      <c r="GIQ25" s="9"/>
      <c r="GIR25" s="10"/>
      <c r="GIS25" s="11"/>
      <c r="GIT25" s="12"/>
      <c r="GIU25" s="12"/>
      <c r="GIV25" s="12"/>
      <c r="GIW25" s="13"/>
      <c r="GIX25" s="9"/>
      <c r="GIY25" s="9"/>
      <c r="GIZ25" s="9"/>
      <c r="GJA25" s="9"/>
      <c r="GJB25" s="10"/>
      <c r="GJC25" s="11"/>
      <c r="GJD25" s="12"/>
      <c r="GJE25" s="12"/>
      <c r="GJF25" s="12"/>
      <c r="GJG25" s="13"/>
      <c r="GJH25" s="9"/>
      <c r="GJI25" s="9"/>
      <c r="GJJ25" s="9"/>
      <c r="GJK25" s="9"/>
      <c r="GJL25" s="10"/>
      <c r="GJM25" s="11"/>
      <c r="GJN25" s="12"/>
      <c r="GJO25" s="12"/>
      <c r="GJP25" s="12"/>
      <c r="GJQ25" s="13"/>
      <c r="GJR25" s="9"/>
      <c r="GJS25" s="9"/>
      <c r="GJT25" s="9"/>
      <c r="GJU25" s="9"/>
      <c r="GJV25" s="10"/>
      <c r="GJW25" s="11"/>
      <c r="GJX25" s="12"/>
      <c r="GJY25" s="12"/>
      <c r="GJZ25" s="12"/>
      <c r="GKA25" s="13"/>
      <c r="GKB25" s="9"/>
      <c r="GKC25" s="9"/>
      <c r="GKD25" s="9"/>
      <c r="GKE25" s="9"/>
      <c r="GKF25" s="10"/>
      <c r="GKG25" s="11"/>
      <c r="GKH25" s="12"/>
      <c r="GKI25" s="12"/>
      <c r="GKJ25" s="12"/>
      <c r="GKK25" s="13"/>
      <c r="GKL25" s="9"/>
      <c r="GKM25" s="9"/>
      <c r="GKN25" s="9"/>
      <c r="GKO25" s="9"/>
      <c r="GKP25" s="10"/>
      <c r="GKQ25" s="11"/>
      <c r="GKR25" s="12"/>
      <c r="GKS25" s="12"/>
      <c r="GKT25" s="12"/>
      <c r="GKU25" s="13"/>
      <c r="GKV25" s="9"/>
      <c r="GKW25" s="9"/>
      <c r="GKX25" s="9"/>
      <c r="GKY25" s="9"/>
      <c r="GKZ25" s="10"/>
      <c r="GLA25" s="11"/>
      <c r="GLB25" s="12"/>
      <c r="GLC25" s="12"/>
      <c r="GLD25" s="12"/>
      <c r="GLE25" s="13"/>
      <c r="GLF25" s="9"/>
      <c r="GLG25" s="9"/>
      <c r="GLH25" s="9"/>
      <c r="GLI25" s="9"/>
      <c r="GLJ25" s="10"/>
      <c r="GLK25" s="11"/>
      <c r="GLL25" s="12"/>
      <c r="GLM25" s="12"/>
      <c r="GLN25" s="12"/>
      <c r="GLO25" s="13"/>
      <c r="GLP25" s="9"/>
      <c r="GLQ25" s="9"/>
      <c r="GLR25" s="9"/>
      <c r="GLS25" s="9"/>
      <c r="GLT25" s="10"/>
      <c r="GLU25" s="11"/>
      <c r="GLV25" s="12"/>
      <c r="GLW25" s="12"/>
      <c r="GLX25" s="12"/>
      <c r="GLY25" s="13"/>
      <c r="GLZ25" s="9"/>
      <c r="GMA25" s="9"/>
      <c r="GMB25" s="9"/>
      <c r="GMC25" s="9"/>
      <c r="GMD25" s="10"/>
      <c r="GME25" s="11"/>
      <c r="GMF25" s="12"/>
      <c r="GMG25" s="12"/>
      <c r="GMH25" s="12"/>
      <c r="GMI25" s="13"/>
      <c r="GMJ25" s="9"/>
      <c r="GMK25" s="9"/>
      <c r="GML25" s="9"/>
      <c r="GMM25" s="9"/>
      <c r="GMN25" s="10"/>
      <c r="GMO25" s="11"/>
      <c r="GMP25" s="12"/>
      <c r="GMQ25" s="12"/>
      <c r="GMR25" s="12"/>
      <c r="GMS25" s="13"/>
      <c r="GMT25" s="9"/>
      <c r="GMU25" s="9"/>
      <c r="GMV25" s="9"/>
      <c r="GMW25" s="9"/>
      <c r="GMX25" s="10"/>
      <c r="GMY25" s="11"/>
      <c r="GMZ25" s="12"/>
      <c r="GNA25" s="12"/>
      <c r="GNB25" s="12"/>
      <c r="GNC25" s="13"/>
      <c r="GND25" s="9"/>
      <c r="GNE25" s="9"/>
      <c r="GNF25" s="9"/>
      <c r="GNG25" s="9"/>
      <c r="GNH25" s="10"/>
      <c r="GNI25" s="11"/>
      <c r="GNJ25" s="12"/>
      <c r="GNK25" s="12"/>
      <c r="GNL25" s="12"/>
      <c r="GNM25" s="13"/>
      <c r="GNN25" s="9"/>
      <c r="GNO25" s="9"/>
      <c r="GNP25" s="9"/>
      <c r="GNQ25" s="9"/>
      <c r="GNR25" s="10"/>
      <c r="GNS25" s="11"/>
      <c r="GNT25" s="12"/>
      <c r="GNU25" s="12"/>
      <c r="GNV25" s="12"/>
      <c r="GNW25" s="13"/>
      <c r="GNX25" s="9"/>
      <c r="GNY25" s="9"/>
      <c r="GNZ25" s="9"/>
      <c r="GOA25" s="9"/>
      <c r="GOB25" s="10"/>
      <c r="GOC25" s="11"/>
      <c r="GOD25" s="12"/>
      <c r="GOE25" s="12"/>
      <c r="GOF25" s="12"/>
      <c r="GOG25" s="13"/>
      <c r="GOH25" s="9"/>
      <c r="GOI25" s="9"/>
      <c r="GOJ25" s="9"/>
      <c r="GOK25" s="9"/>
      <c r="GOL25" s="10"/>
      <c r="GOM25" s="11"/>
      <c r="GON25" s="12"/>
      <c r="GOO25" s="12"/>
      <c r="GOP25" s="12"/>
      <c r="GOQ25" s="13"/>
      <c r="GOR25" s="9"/>
      <c r="GOS25" s="9"/>
      <c r="GOT25" s="9"/>
      <c r="GOU25" s="9"/>
      <c r="GOV25" s="10"/>
      <c r="GOW25" s="11"/>
      <c r="GOX25" s="12"/>
      <c r="GOY25" s="12"/>
      <c r="GOZ25" s="12"/>
      <c r="GPA25" s="13"/>
      <c r="GPB25" s="9"/>
      <c r="GPC25" s="9"/>
      <c r="GPD25" s="9"/>
      <c r="GPE25" s="9"/>
      <c r="GPF25" s="10"/>
      <c r="GPG25" s="11"/>
      <c r="GPH25" s="12"/>
      <c r="GPI25" s="12"/>
      <c r="GPJ25" s="12"/>
      <c r="GPK25" s="13"/>
      <c r="GPL25" s="9"/>
      <c r="GPM25" s="9"/>
      <c r="GPN25" s="9"/>
      <c r="GPO25" s="9"/>
      <c r="GPP25" s="10"/>
      <c r="GPQ25" s="11"/>
      <c r="GPR25" s="12"/>
      <c r="GPS25" s="12"/>
      <c r="GPT25" s="12"/>
      <c r="GPU25" s="13"/>
      <c r="GPV25" s="9"/>
      <c r="GPW25" s="9"/>
      <c r="GPX25" s="9"/>
      <c r="GPY25" s="9"/>
      <c r="GPZ25" s="10"/>
      <c r="GQA25" s="11"/>
      <c r="GQB25" s="12"/>
      <c r="GQC25" s="12"/>
      <c r="GQD25" s="12"/>
      <c r="GQE25" s="13"/>
      <c r="GQF25" s="9"/>
      <c r="GQG25" s="9"/>
      <c r="GQH25" s="9"/>
      <c r="GQI25" s="9"/>
      <c r="GQJ25" s="10"/>
      <c r="GQK25" s="11"/>
      <c r="GQL25" s="12"/>
      <c r="GQM25" s="12"/>
      <c r="GQN25" s="12"/>
      <c r="GQO25" s="13"/>
      <c r="GQP25" s="9"/>
      <c r="GQQ25" s="9"/>
      <c r="GQR25" s="9"/>
      <c r="GQS25" s="9"/>
      <c r="GQT25" s="10"/>
      <c r="GQU25" s="11"/>
      <c r="GQV25" s="12"/>
      <c r="GQW25" s="12"/>
      <c r="GQX25" s="12"/>
      <c r="GQY25" s="13"/>
      <c r="GQZ25" s="9"/>
      <c r="GRA25" s="9"/>
      <c r="GRB25" s="9"/>
      <c r="GRC25" s="9"/>
      <c r="GRD25" s="10"/>
      <c r="GRE25" s="11"/>
      <c r="GRF25" s="12"/>
      <c r="GRG25" s="12"/>
      <c r="GRH25" s="12"/>
      <c r="GRI25" s="13"/>
      <c r="GRJ25" s="9"/>
      <c r="GRK25" s="9"/>
      <c r="GRL25" s="9"/>
      <c r="GRM25" s="9"/>
      <c r="GRN25" s="10"/>
      <c r="GRO25" s="11"/>
      <c r="GRP25" s="12"/>
      <c r="GRQ25" s="12"/>
      <c r="GRR25" s="12"/>
      <c r="GRS25" s="13"/>
      <c r="GRT25" s="9"/>
      <c r="GRU25" s="9"/>
      <c r="GRV25" s="9"/>
      <c r="GRW25" s="9"/>
      <c r="GRX25" s="10"/>
      <c r="GRY25" s="11"/>
      <c r="GRZ25" s="12"/>
      <c r="GSA25" s="12"/>
      <c r="GSB25" s="12"/>
      <c r="GSC25" s="13"/>
      <c r="GSD25" s="9"/>
      <c r="GSE25" s="9"/>
      <c r="GSF25" s="9"/>
      <c r="GSG25" s="9"/>
      <c r="GSH25" s="10"/>
      <c r="GSI25" s="11"/>
      <c r="GSJ25" s="12"/>
      <c r="GSK25" s="12"/>
      <c r="GSL25" s="12"/>
      <c r="GSM25" s="13"/>
      <c r="GSN25" s="9"/>
      <c r="GSO25" s="9"/>
      <c r="GSP25" s="9"/>
      <c r="GSQ25" s="9"/>
      <c r="GSR25" s="10"/>
      <c r="GSS25" s="11"/>
      <c r="GST25" s="12"/>
      <c r="GSU25" s="12"/>
      <c r="GSV25" s="12"/>
      <c r="GSW25" s="13"/>
      <c r="GSX25" s="9"/>
      <c r="GSY25" s="9"/>
      <c r="GSZ25" s="9"/>
      <c r="GTA25" s="9"/>
      <c r="GTB25" s="10"/>
      <c r="GTC25" s="11"/>
      <c r="GTD25" s="12"/>
      <c r="GTE25" s="12"/>
      <c r="GTF25" s="12"/>
      <c r="GTG25" s="13"/>
      <c r="GTH25" s="9"/>
      <c r="GTI25" s="9"/>
      <c r="GTJ25" s="9"/>
      <c r="GTK25" s="9"/>
      <c r="GTL25" s="10"/>
      <c r="GTM25" s="11"/>
      <c r="GTN25" s="12"/>
      <c r="GTO25" s="12"/>
      <c r="GTP25" s="12"/>
      <c r="GTQ25" s="13"/>
      <c r="GTR25" s="9"/>
      <c r="GTS25" s="9"/>
      <c r="GTT25" s="9"/>
      <c r="GTU25" s="9"/>
      <c r="GTV25" s="10"/>
      <c r="GTW25" s="11"/>
      <c r="GTX25" s="12"/>
      <c r="GTY25" s="12"/>
      <c r="GTZ25" s="12"/>
      <c r="GUA25" s="13"/>
      <c r="GUB25" s="9"/>
      <c r="GUC25" s="9"/>
      <c r="GUD25" s="9"/>
      <c r="GUE25" s="9"/>
      <c r="GUF25" s="10"/>
      <c r="GUG25" s="11"/>
      <c r="GUH25" s="12"/>
      <c r="GUI25" s="12"/>
      <c r="GUJ25" s="12"/>
      <c r="GUK25" s="13"/>
      <c r="GUL25" s="9"/>
      <c r="GUM25" s="9"/>
      <c r="GUN25" s="9"/>
      <c r="GUO25" s="9"/>
      <c r="GUP25" s="10"/>
      <c r="GUQ25" s="11"/>
      <c r="GUR25" s="12"/>
      <c r="GUS25" s="12"/>
      <c r="GUT25" s="12"/>
      <c r="GUU25" s="13"/>
      <c r="GUV25" s="9"/>
      <c r="GUW25" s="9"/>
      <c r="GUX25" s="9"/>
      <c r="GUY25" s="9"/>
      <c r="GUZ25" s="10"/>
      <c r="GVA25" s="11"/>
      <c r="GVB25" s="12"/>
      <c r="GVC25" s="12"/>
      <c r="GVD25" s="12"/>
      <c r="GVE25" s="13"/>
      <c r="GVF25" s="9"/>
      <c r="GVG25" s="9"/>
      <c r="GVH25" s="9"/>
      <c r="GVI25" s="9"/>
      <c r="GVJ25" s="10"/>
      <c r="GVK25" s="11"/>
      <c r="GVL25" s="12"/>
      <c r="GVM25" s="12"/>
      <c r="GVN25" s="12"/>
      <c r="GVO25" s="13"/>
      <c r="GVP25" s="9"/>
      <c r="GVQ25" s="9"/>
      <c r="GVR25" s="9"/>
      <c r="GVS25" s="9"/>
      <c r="GVT25" s="10"/>
      <c r="GVU25" s="11"/>
      <c r="GVV25" s="12"/>
      <c r="GVW25" s="12"/>
      <c r="GVX25" s="12"/>
      <c r="GVY25" s="13"/>
      <c r="GVZ25" s="9"/>
      <c r="GWA25" s="9"/>
      <c r="GWB25" s="9"/>
      <c r="GWC25" s="9"/>
      <c r="GWD25" s="10"/>
      <c r="GWE25" s="11"/>
      <c r="GWF25" s="12"/>
      <c r="GWG25" s="12"/>
      <c r="GWH25" s="12"/>
      <c r="GWI25" s="13"/>
      <c r="GWJ25" s="9"/>
      <c r="GWK25" s="9"/>
      <c r="GWL25" s="9"/>
      <c r="GWM25" s="9"/>
      <c r="GWN25" s="10"/>
      <c r="GWO25" s="11"/>
      <c r="GWP25" s="12"/>
      <c r="GWQ25" s="12"/>
      <c r="GWR25" s="12"/>
      <c r="GWS25" s="13"/>
      <c r="GWT25" s="9"/>
      <c r="GWU25" s="9"/>
      <c r="GWV25" s="9"/>
      <c r="GWW25" s="9"/>
      <c r="GWX25" s="10"/>
      <c r="GWY25" s="11"/>
      <c r="GWZ25" s="12"/>
      <c r="GXA25" s="12"/>
      <c r="GXB25" s="12"/>
      <c r="GXC25" s="13"/>
      <c r="GXD25" s="9"/>
      <c r="GXE25" s="9"/>
      <c r="GXF25" s="9"/>
      <c r="GXG25" s="9"/>
      <c r="GXH25" s="10"/>
      <c r="GXI25" s="11"/>
      <c r="GXJ25" s="12"/>
      <c r="GXK25" s="12"/>
      <c r="GXL25" s="12"/>
      <c r="GXM25" s="13"/>
      <c r="GXN25" s="9"/>
      <c r="GXO25" s="9"/>
      <c r="GXP25" s="9"/>
      <c r="GXQ25" s="9"/>
      <c r="GXR25" s="10"/>
      <c r="GXS25" s="11"/>
      <c r="GXT25" s="12"/>
      <c r="GXU25" s="12"/>
      <c r="GXV25" s="12"/>
      <c r="GXW25" s="13"/>
      <c r="GXX25" s="9"/>
      <c r="GXY25" s="9"/>
      <c r="GXZ25" s="9"/>
      <c r="GYA25" s="9"/>
      <c r="GYB25" s="10"/>
      <c r="GYC25" s="11"/>
      <c r="GYD25" s="12"/>
      <c r="GYE25" s="12"/>
      <c r="GYF25" s="12"/>
      <c r="GYG25" s="13"/>
      <c r="GYH25" s="9"/>
      <c r="GYI25" s="9"/>
      <c r="GYJ25" s="9"/>
      <c r="GYK25" s="9"/>
      <c r="GYL25" s="10"/>
      <c r="GYM25" s="11"/>
      <c r="GYN25" s="12"/>
      <c r="GYO25" s="12"/>
      <c r="GYP25" s="12"/>
      <c r="GYQ25" s="13"/>
      <c r="GYR25" s="9"/>
      <c r="GYS25" s="9"/>
      <c r="GYT25" s="9"/>
      <c r="GYU25" s="9"/>
      <c r="GYV25" s="10"/>
      <c r="GYW25" s="11"/>
      <c r="GYX25" s="12"/>
      <c r="GYY25" s="12"/>
      <c r="GYZ25" s="12"/>
      <c r="GZA25" s="13"/>
      <c r="GZB25" s="9"/>
      <c r="GZC25" s="9"/>
      <c r="GZD25" s="9"/>
      <c r="GZE25" s="9"/>
      <c r="GZF25" s="10"/>
      <c r="GZG25" s="11"/>
      <c r="GZH25" s="12"/>
      <c r="GZI25" s="12"/>
      <c r="GZJ25" s="12"/>
      <c r="GZK25" s="13"/>
      <c r="GZL25" s="9"/>
      <c r="GZM25" s="9"/>
      <c r="GZN25" s="9"/>
      <c r="GZO25" s="9"/>
      <c r="GZP25" s="10"/>
      <c r="GZQ25" s="11"/>
      <c r="GZR25" s="12"/>
      <c r="GZS25" s="12"/>
      <c r="GZT25" s="12"/>
      <c r="GZU25" s="13"/>
      <c r="GZV25" s="9"/>
      <c r="GZW25" s="9"/>
      <c r="GZX25" s="9"/>
      <c r="GZY25" s="9"/>
      <c r="GZZ25" s="10"/>
      <c r="HAA25" s="11"/>
      <c r="HAB25" s="12"/>
      <c r="HAC25" s="12"/>
      <c r="HAD25" s="12"/>
      <c r="HAE25" s="13"/>
      <c r="HAF25" s="9"/>
      <c r="HAG25" s="9"/>
      <c r="HAH25" s="9"/>
      <c r="HAI25" s="9"/>
      <c r="HAJ25" s="10"/>
      <c r="HAK25" s="11"/>
      <c r="HAL25" s="12"/>
      <c r="HAM25" s="12"/>
      <c r="HAN25" s="12"/>
      <c r="HAO25" s="13"/>
      <c r="HAP25" s="9"/>
      <c r="HAQ25" s="9"/>
      <c r="HAR25" s="9"/>
      <c r="HAS25" s="9"/>
      <c r="HAT25" s="10"/>
      <c r="HAU25" s="11"/>
      <c r="HAV25" s="12"/>
      <c r="HAW25" s="12"/>
      <c r="HAX25" s="12"/>
      <c r="HAY25" s="13"/>
      <c r="HAZ25" s="9"/>
      <c r="HBA25" s="9"/>
      <c r="HBB25" s="9"/>
      <c r="HBC25" s="9"/>
      <c r="HBD25" s="10"/>
      <c r="HBE25" s="11"/>
      <c r="HBF25" s="12"/>
      <c r="HBG25" s="12"/>
      <c r="HBH25" s="12"/>
      <c r="HBI25" s="13"/>
      <c r="HBJ25" s="9"/>
      <c r="HBK25" s="9"/>
      <c r="HBL25" s="9"/>
      <c r="HBM25" s="9"/>
      <c r="HBN25" s="10"/>
      <c r="HBO25" s="11"/>
      <c r="HBP25" s="12"/>
      <c r="HBQ25" s="12"/>
      <c r="HBR25" s="12"/>
      <c r="HBS25" s="13"/>
      <c r="HBT25" s="9"/>
      <c r="HBU25" s="9"/>
      <c r="HBV25" s="9"/>
      <c r="HBW25" s="9"/>
      <c r="HBX25" s="10"/>
      <c r="HBY25" s="11"/>
      <c r="HBZ25" s="12"/>
      <c r="HCA25" s="12"/>
      <c r="HCB25" s="12"/>
      <c r="HCC25" s="13"/>
      <c r="HCD25" s="9"/>
      <c r="HCE25" s="9"/>
      <c r="HCF25" s="9"/>
      <c r="HCG25" s="9"/>
      <c r="HCH25" s="10"/>
      <c r="HCI25" s="11"/>
      <c r="HCJ25" s="12"/>
      <c r="HCK25" s="12"/>
      <c r="HCL25" s="12"/>
      <c r="HCM25" s="13"/>
      <c r="HCN25" s="9"/>
      <c r="HCO25" s="9"/>
      <c r="HCP25" s="9"/>
      <c r="HCQ25" s="9"/>
      <c r="HCR25" s="10"/>
      <c r="HCS25" s="11"/>
      <c r="HCT25" s="12"/>
      <c r="HCU25" s="12"/>
      <c r="HCV25" s="12"/>
      <c r="HCW25" s="13"/>
      <c r="HCX25" s="9"/>
      <c r="HCY25" s="9"/>
      <c r="HCZ25" s="9"/>
      <c r="HDA25" s="9"/>
      <c r="HDB25" s="10"/>
      <c r="HDC25" s="11"/>
      <c r="HDD25" s="12"/>
      <c r="HDE25" s="12"/>
      <c r="HDF25" s="12"/>
      <c r="HDG25" s="13"/>
      <c r="HDH25" s="9"/>
      <c r="HDI25" s="9"/>
      <c r="HDJ25" s="9"/>
      <c r="HDK25" s="9"/>
      <c r="HDL25" s="10"/>
      <c r="HDM25" s="11"/>
      <c r="HDN25" s="12"/>
      <c r="HDO25" s="12"/>
      <c r="HDP25" s="12"/>
      <c r="HDQ25" s="13"/>
      <c r="HDR25" s="9"/>
      <c r="HDS25" s="9"/>
      <c r="HDT25" s="9"/>
      <c r="HDU25" s="9"/>
      <c r="HDV25" s="10"/>
      <c r="HDW25" s="11"/>
      <c r="HDX25" s="12"/>
      <c r="HDY25" s="12"/>
      <c r="HDZ25" s="12"/>
      <c r="HEA25" s="13"/>
      <c r="HEB25" s="9"/>
      <c r="HEC25" s="9"/>
      <c r="HED25" s="9"/>
      <c r="HEE25" s="9"/>
      <c r="HEF25" s="10"/>
      <c r="HEG25" s="11"/>
      <c r="HEH25" s="12"/>
      <c r="HEI25" s="12"/>
      <c r="HEJ25" s="12"/>
      <c r="HEK25" s="13"/>
      <c r="HEL25" s="9"/>
      <c r="HEM25" s="9"/>
      <c r="HEN25" s="9"/>
      <c r="HEO25" s="9"/>
      <c r="HEP25" s="10"/>
      <c r="HEQ25" s="11"/>
      <c r="HER25" s="12"/>
      <c r="HES25" s="12"/>
      <c r="HET25" s="12"/>
      <c r="HEU25" s="13"/>
      <c r="HEV25" s="9"/>
      <c r="HEW25" s="9"/>
      <c r="HEX25" s="9"/>
      <c r="HEY25" s="9"/>
      <c r="HEZ25" s="10"/>
      <c r="HFA25" s="11"/>
      <c r="HFB25" s="12"/>
      <c r="HFC25" s="12"/>
      <c r="HFD25" s="12"/>
      <c r="HFE25" s="13"/>
      <c r="HFF25" s="9"/>
      <c r="HFG25" s="9"/>
      <c r="HFH25" s="9"/>
      <c r="HFI25" s="9"/>
      <c r="HFJ25" s="10"/>
      <c r="HFK25" s="11"/>
      <c r="HFL25" s="12"/>
      <c r="HFM25" s="12"/>
      <c r="HFN25" s="12"/>
      <c r="HFO25" s="13"/>
      <c r="HFP25" s="9"/>
      <c r="HFQ25" s="9"/>
      <c r="HFR25" s="9"/>
      <c r="HFS25" s="9"/>
      <c r="HFT25" s="10"/>
      <c r="HFU25" s="11"/>
      <c r="HFV25" s="12"/>
      <c r="HFW25" s="12"/>
      <c r="HFX25" s="12"/>
      <c r="HFY25" s="13"/>
      <c r="HFZ25" s="9"/>
      <c r="HGA25" s="9"/>
      <c r="HGB25" s="9"/>
      <c r="HGC25" s="9"/>
      <c r="HGD25" s="10"/>
      <c r="HGE25" s="11"/>
      <c r="HGF25" s="12"/>
      <c r="HGG25" s="12"/>
      <c r="HGH25" s="12"/>
      <c r="HGI25" s="13"/>
      <c r="HGJ25" s="9"/>
      <c r="HGK25" s="9"/>
      <c r="HGL25" s="9"/>
      <c r="HGM25" s="9"/>
      <c r="HGN25" s="10"/>
      <c r="HGO25" s="11"/>
      <c r="HGP25" s="12"/>
      <c r="HGQ25" s="12"/>
      <c r="HGR25" s="12"/>
      <c r="HGS25" s="13"/>
      <c r="HGT25" s="9"/>
      <c r="HGU25" s="9"/>
      <c r="HGV25" s="9"/>
      <c r="HGW25" s="9"/>
      <c r="HGX25" s="10"/>
      <c r="HGY25" s="11"/>
      <c r="HGZ25" s="12"/>
      <c r="HHA25" s="12"/>
      <c r="HHB25" s="12"/>
      <c r="HHC25" s="13"/>
      <c r="HHD25" s="9"/>
      <c r="HHE25" s="9"/>
      <c r="HHF25" s="9"/>
      <c r="HHG25" s="9"/>
      <c r="HHH25" s="10"/>
      <c r="HHI25" s="11"/>
      <c r="HHJ25" s="12"/>
      <c r="HHK25" s="12"/>
      <c r="HHL25" s="12"/>
      <c r="HHM25" s="13"/>
      <c r="HHN25" s="9"/>
      <c r="HHO25" s="9"/>
      <c r="HHP25" s="9"/>
      <c r="HHQ25" s="9"/>
      <c r="HHR25" s="10"/>
      <c r="HHS25" s="11"/>
      <c r="HHT25" s="12"/>
      <c r="HHU25" s="12"/>
      <c r="HHV25" s="12"/>
      <c r="HHW25" s="13"/>
      <c r="HHX25" s="9"/>
      <c r="HHY25" s="9"/>
      <c r="HHZ25" s="9"/>
      <c r="HIA25" s="9"/>
      <c r="HIB25" s="10"/>
      <c r="HIC25" s="11"/>
      <c r="HID25" s="12"/>
      <c r="HIE25" s="12"/>
      <c r="HIF25" s="12"/>
      <c r="HIG25" s="13"/>
      <c r="HIH25" s="9"/>
      <c r="HII25" s="9"/>
      <c r="HIJ25" s="9"/>
      <c r="HIK25" s="9"/>
      <c r="HIL25" s="10"/>
      <c r="HIM25" s="11"/>
      <c r="HIN25" s="12"/>
      <c r="HIO25" s="12"/>
      <c r="HIP25" s="12"/>
      <c r="HIQ25" s="13"/>
      <c r="HIR25" s="9"/>
      <c r="HIS25" s="9"/>
      <c r="HIT25" s="9"/>
      <c r="HIU25" s="9"/>
      <c r="HIV25" s="10"/>
      <c r="HIW25" s="11"/>
      <c r="HIX25" s="12"/>
      <c r="HIY25" s="12"/>
      <c r="HIZ25" s="12"/>
      <c r="HJA25" s="13"/>
      <c r="HJB25" s="9"/>
      <c r="HJC25" s="9"/>
      <c r="HJD25" s="9"/>
      <c r="HJE25" s="9"/>
      <c r="HJF25" s="10"/>
      <c r="HJG25" s="11"/>
      <c r="HJH25" s="12"/>
      <c r="HJI25" s="12"/>
      <c r="HJJ25" s="12"/>
      <c r="HJK25" s="13"/>
      <c r="HJL25" s="9"/>
      <c r="HJM25" s="9"/>
      <c r="HJN25" s="9"/>
      <c r="HJO25" s="9"/>
      <c r="HJP25" s="10"/>
      <c r="HJQ25" s="11"/>
      <c r="HJR25" s="12"/>
      <c r="HJS25" s="12"/>
      <c r="HJT25" s="12"/>
      <c r="HJU25" s="13"/>
      <c r="HJV25" s="9"/>
      <c r="HJW25" s="9"/>
      <c r="HJX25" s="9"/>
      <c r="HJY25" s="9"/>
      <c r="HJZ25" s="10"/>
      <c r="HKA25" s="11"/>
      <c r="HKB25" s="12"/>
      <c r="HKC25" s="12"/>
      <c r="HKD25" s="12"/>
      <c r="HKE25" s="13"/>
      <c r="HKF25" s="9"/>
      <c r="HKG25" s="9"/>
      <c r="HKH25" s="9"/>
      <c r="HKI25" s="9"/>
      <c r="HKJ25" s="10"/>
      <c r="HKK25" s="11"/>
      <c r="HKL25" s="12"/>
      <c r="HKM25" s="12"/>
      <c r="HKN25" s="12"/>
      <c r="HKO25" s="13"/>
      <c r="HKP25" s="9"/>
      <c r="HKQ25" s="9"/>
      <c r="HKR25" s="9"/>
      <c r="HKS25" s="9"/>
      <c r="HKT25" s="10"/>
      <c r="HKU25" s="11"/>
      <c r="HKV25" s="12"/>
      <c r="HKW25" s="12"/>
      <c r="HKX25" s="12"/>
      <c r="HKY25" s="13"/>
      <c r="HKZ25" s="9"/>
      <c r="HLA25" s="9"/>
      <c r="HLB25" s="9"/>
      <c r="HLC25" s="9"/>
      <c r="HLD25" s="10"/>
      <c r="HLE25" s="11"/>
      <c r="HLF25" s="12"/>
      <c r="HLG25" s="12"/>
      <c r="HLH25" s="12"/>
      <c r="HLI25" s="13"/>
      <c r="HLJ25" s="9"/>
      <c r="HLK25" s="9"/>
      <c r="HLL25" s="9"/>
      <c r="HLM25" s="9"/>
      <c r="HLN25" s="10"/>
      <c r="HLO25" s="11"/>
      <c r="HLP25" s="12"/>
      <c r="HLQ25" s="12"/>
      <c r="HLR25" s="12"/>
      <c r="HLS25" s="13"/>
      <c r="HLT25" s="9"/>
      <c r="HLU25" s="9"/>
      <c r="HLV25" s="9"/>
      <c r="HLW25" s="9"/>
      <c r="HLX25" s="10"/>
      <c r="HLY25" s="11"/>
      <c r="HLZ25" s="12"/>
      <c r="HMA25" s="12"/>
      <c r="HMB25" s="12"/>
      <c r="HMC25" s="13"/>
      <c r="HMD25" s="9"/>
      <c r="HME25" s="9"/>
      <c r="HMF25" s="9"/>
      <c r="HMG25" s="9"/>
      <c r="HMH25" s="10"/>
      <c r="HMI25" s="11"/>
      <c r="HMJ25" s="12"/>
      <c r="HMK25" s="12"/>
      <c r="HML25" s="12"/>
      <c r="HMM25" s="13"/>
      <c r="HMN25" s="9"/>
      <c r="HMO25" s="9"/>
      <c r="HMP25" s="9"/>
      <c r="HMQ25" s="9"/>
      <c r="HMR25" s="10"/>
      <c r="HMS25" s="11"/>
      <c r="HMT25" s="12"/>
      <c r="HMU25" s="12"/>
      <c r="HMV25" s="12"/>
      <c r="HMW25" s="13"/>
      <c r="HMX25" s="9"/>
      <c r="HMY25" s="9"/>
      <c r="HMZ25" s="9"/>
      <c r="HNA25" s="9"/>
      <c r="HNB25" s="10"/>
      <c r="HNC25" s="11"/>
      <c r="HND25" s="12"/>
      <c r="HNE25" s="12"/>
      <c r="HNF25" s="12"/>
      <c r="HNG25" s="13"/>
      <c r="HNH25" s="9"/>
      <c r="HNI25" s="9"/>
      <c r="HNJ25" s="9"/>
      <c r="HNK25" s="9"/>
      <c r="HNL25" s="10"/>
      <c r="HNM25" s="11"/>
      <c r="HNN25" s="12"/>
      <c r="HNO25" s="12"/>
      <c r="HNP25" s="12"/>
      <c r="HNQ25" s="13"/>
      <c r="HNR25" s="9"/>
      <c r="HNS25" s="9"/>
      <c r="HNT25" s="9"/>
      <c r="HNU25" s="9"/>
      <c r="HNV25" s="10"/>
      <c r="HNW25" s="11"/>
      <c r="HNX25" s="12"/>
      <c r="HNY25" s="12"/>
      <c r="HNZ25" s="12"/>
      <c r="HOA25" s="13"/>
      <c r="HOB25" s="9"/>
      <c r="HOC25" s="9"/>
      <c r="HOD25" s="9"/>
      <c r="HOE25" s="9"/>
      <c r="HOF25" s="10"/>
      <c r="HOG25" s="11"/>
      <c r="HOH25" s="12"/>
      <c r="HOI25" s="12"/>
      <c r="HOJ25" s="12"/>
      <c r="HOK25" s="13"/>
      <c r="HOL25" s="9"/>
      <c r="HOM25" s="9"/>
      <c r="HON25" s="9"/>
      <c r="HOO25" s="9"/>
      <c r="HOP25" s="10"/>
      <c r="HOQ25" s="11"/>
      <c r="HOR25" s="12"/>
      <c r="HOS25" s="12"/>
      <c r="HOT25" s="12"/>
      <c r="HOU25" s="13"/>
      <c r="HOV25" s="9"/>
      <c r="HOW25" s="9"/>
      <c r="HOX25" s="9"/>
      <c r="HOY25" s="9"/>
      <c r="HOZ25" s="10"/>
      <c r="HPA25" s="11"/>
      <c r="HPB25" s="12"/>
      <c r="HPC25" s="12"/>
      <c r="HPD25" s="12"/>
      <c r="HPE25" s="13"/>
      <c r="HPF25" s="9"/>
      <c r="HPG25" s="9"/>
      <c r="HPH25" s="9"/>
      <c r="HPI25" s="9"/>
      <c r="HPJ25" s="10"/>
      <c r="HPK25" s="11"/>
      <c r="HPL25" s="12"/>
      <c r="HPM25" s="12"/>
      <c r="HPN25" s="12"/>
      <c r="HPO25" s="13"/>
      <c r="HPP25" s="9"/>
      <c r="HPQ25" s="9"/>
      <c r="HPR25" s="9"/>
      <c r="HPS25" s="9"/>
      <c r="HPT25" s="10"/>
      <c r="HPU25" s="11"/>
      <c r="HPV25" s="12"/>
      <c r="HPW25" s="12"/>
      <c r="HPX25" s="12"/>
      <c r="HPY25" s="13"/>
      <c r="HPZ25" s="9"/>
      <c r="HQA25" s="9"/>
      <c r="HQB25" s="9"/>
      <c r="HQC25" s="9"/>
      <c r="HQD25" s="10"/>
      <c r="HQE25" s="11"/>
      <c r="HQF25" s="12"/>
      <c r="HQG25" s="12"/>
      <c r="HQH25" s="12"/>
      <c r="HQI25" s="13"/>
      <c r="HQJ25" s="9"/>
      <c r="HQK25" s="9"/>
      <c r="HQL25" s="9"/>
      <c r="HQM25" s="9"/>
      <c r="HQN25" s="10"/>
      <c r="HQO25" s="11"/>
      <c r="HQP25" s="12"/>
      <c r="HQQ25" s="12"/>
      <c r="HQR25" s="12"/>
      <c r="HQS25" s="13"/>
      <c r="HQT25" s="9"/>
      <c r="HQU25" s="9"/>
      <c r="HQV25" s="9"/>
      <c r="HQW25" s="9"/>
      <c r="HQX25" s="10"/>
      <c r="HQY25" s="11"/>
      <c r="HQZ25" s="12"/>
      <c r="HRA25" s="12"/>
      <c r="HRB25" s="12"/>
      <c r="HRC25" s="13"/>
      <c r="HRD25" s="9"/>
      <c r="HRE25" s="9"/>
      <c r="HRF25" s="9"/>
      <c r="HRG25" s="9"/>
      <c r="HRH25" s="10"/>
      <c r="HRI25" s="11"/>
      <c r="HRJ25" s="12"/>
      <c r="HRK25" s="12"/>
      <c r="HRL25" s="12"/>
      <c r="HRM25" s="13"/>
      <c r="HRN25" s="9"/>
      <c r="HRO25" s="9"/>
      <c r="HRP25" s="9"/>
      <c r="HRQ25" s="9"/>
      <c r="HRR25" s="10"/>
      <c r="HRS25" s="11"/>
      <c r="HRT25" s="12"/>
      <c r="HRU25" s="12"/>
      <c r="HRV25" s="12"/>
      <c r="HRW25" s="13"/>
      <c r="HRX25" s="9"/>
      <c r="HRY25" s="9"/>
      <c r="HRZ25" s="9"/>
      <c r="HSA25" s="9"/>
      <c r="HSB25" s="10"/>
      <c r="HSC25" s="11"/>
      <c r="HSD25" s="12"/>
      <c r="HSE25" s="12"/>
      <c r="HSF25" s="12"/>
      <c r="HSG25" s="13"/>
      <c r="HSH25" s="9"/>
      <c r="HSI25" s="9"/>
      <c r="HSJ25" s="9"/>
      <c r="HSK25" s="9"/>
      <c r="HSL25" s="10"/>
      <c r="HSM25" s="11"/>
      <c r="HSN25" s="12"/>
      <c r="HSO25" s="12"/>
      <c r="HSP25" s="12"/>
      <c r="HSQ25" s="13"/>
      <c r="HSR25" s="9"/>
      <c r="HSS25" s="9"/>
      <c r="HST25" s="9"/>
      <c r="HSU25" s="9"/>
      <c r="HSV25" s="10"/>
      <c r="HSW25" s="11"/>
      <c r="HSX25" s="12"/>
      <c r="HSY25" s="12"/>
      <c r="HSZ25" s="12"/>
      <c r="HTA25" s="13"/>
      <c r="HTB25" s="9"/>
      <c r="HTC25" s="9"/>
      <c r="HTD25" s="9"/>
      <c r="HTE25" s="9"/>
      <c r="HTF25" s="10"/>
      <c r="HTG25" s="11"/>
      <c r="HTH25" s="12"/>
      <c r="HTI25" s="12"/>
      <c r="HTJ25" s="12"/>
      <c r="HTK25" s="13"/>
      <c r="HTL25" s="9"/>
      <c r="HTM25" s="9"/>
      <c r="HTN25" s="9"/>
      <c r="HTO25" s="9"/>
      <c r="HTP25" s="10"/>
      <c r="HTQ25" s="11"/>
      <c r="HTR25" s="12"/>
      <c r="HTS25" s="12"/>
      <c r="HTT25" s="12"/>
      <c r="HTU25" s="13"/>
      <c r="HTV25" s="9"/>
      <c r="HTW25" s="9"/>
      <c r="HTX25" s="9"/>
      <c r="HTY25" s="9"/>
      <c r="HTZ25" s="10"/>
      <c r="HUA25" s="11"/>
      <c r="HUB25" s="12"/>
      <c r="HUC25" s="12"/>
      <c r="HUD25" s="12"/>
      <c r="HUE25" s="13"/>
      <c r="HUF25" s="9"/>
      <c r="HUG25" s="9"/>
      <c r="HUH25" s="9"/>
      <c r="HUI25" s="9"/>
      <c r="HUJ25" s="10"/>
      <c r="HUK25" s="11"/>
      <c r="HUL25" s="12"/>
      <c r="HUM25" s="12"/>
      <c r="HUN25" s="12"/>
      <c r="HUO25" s="13"/>
      <c r="HUP25" s="9"/>
      <c r="HUQ25" s="9"/>
      <c r="HUR25" s="9"/>
      <c r="HUS25" s="9"/>
      <c r="HUT25" s="10"/>
      <c r="HUU25" s="11"/>
      <c r="HUV25" s="12"/>
      <c r="HUW25" s="12"/>
      <c r="HUX25" s="12"/>
      <c r="HUY25" s="13"/>
      <c r="HUZ25" s="9"/>
      <c r="HVA25" s="9"/>
      <c r="HVB25" s="9"/>
      <c r="HVC25" s="9"/>
      <c r="HVD25" s="10"/>
      <c r="HVE25" s="11"/>
      <c r="HVF25" s="12"/>
      <c r="HVG25" s="12"/>
      <c r="HVH25" s="12"/>
      <c r="HVI25" s="13"/>
      <c r="HVJ25" s="9"/>
      <c r="HVK25" s="9"/>
      <c r="HVL25" s="9"/>
      <c r="HVM25" s="9"/>
      <c r="HVN25" s="10"/>
      <c r="HVO25" s="11"/>
      <c r="HVP25" s="12"/>
      <c r="HVQ25" s="12"/>
      <c r="HVR25" s="12"/>
      <c r="HVS25" s="13"/>
      <c r="HVT25" s="9"/>
      <c r="HVU25" s="9"/>
      <c r="HVV25" s="9"/>
      <c r="HVW25" s="9"/>
      <c r="HVX25" s="10"/>
      <c r="HVY25" s="11"/>
      <c r="HVZ25" s="12"/>
      <c r="HWA25" s="12"/>
      <c r="HWB25" s="12"/>
      <c r="HWC25" s="13"/>
      <c r="HWD25" s="9"/>
      <c r="HWE25" s="9"/>
      <c r="HWF25" s="9"/>
      <c r="HWG25" s="9"/>
      <c r="HWH25" s="10"/>
      <c r="HWI25" s="11"/>
      <c r="HWJ25" s="12"/>
      <c r="HWK25" s="12"/>
      <c r="HWL25" s="12"/>
      <c r="HWM25" s="13"/>
      <c r="HWN25" s="9"/>
      <c r="HWO25" s="9"/>
      <c r="HWP25" s="9"/>
      <c r="HWQ25" s="9"/>
      <c r="HWR25" s="10"/>
      <c r="HWS25" s="11"/>
      <c r="HWT25" s="12"/>
      <c r="HWU25" s="12"/>
      <c r="HWV25" s="12"/>
      <c r="HWW25" s="13"/>
      <c r="HWX25" s="9"/>
      <c r="HWY25" s="9"/>
      <c r="HWZ25" s="9"/>
      <c r="HXA25" s="9"/>
      <c r="HXB25" s="10"/>
      <c r="HXC25" s="11"/>
      <c r="HXD25" s="12"/>
      <c r="HXE25" s="12"/>
      <c r="HXF25" s="12"/>
      <c r="HXG25" s="13"/>
      <c r="HXH25" s="9"/>
      <c r="HXI25" s="9"/>
      <c r="HXJ25" s="9"/>
      <c r="HXK25" s="9"/>
      <c r="HXL25" s="10"/>
      <c r="HXM25" s="11"/>
      <c r="HXN25" s="12"/>
      <c r="HXO25" s="12"/>
      <c r="HXP25" s="12"/>
      <c r="HXQ25" s="13"/>
      <c r="HXR25" s="9"/>
      <c r="HXS25" s="9"/>
      <c r="HXT25" s="9"/>
      <c r="HXU25" s="9"/>
      <c r="HXV25" s="10"/>
      <c r="HXW25" s="11"/>
      <c r="HXX25" s="12"/>
      <c r="HXY25" s="12"/>
      <c r="HXZ25" s="12"/>
      <c r="HYA25" s="13"/>
      <c r="HYB25" s="9"/>
      <c r="HYC25" s="9"/>
      <c r="HYD25" s="9"/>
      <c r="HYE25" s="9"/>
      <c r="HYF25" s="10"/>
      <c r="HYG25" s="11"/>
      <c r="HYH25" s="12"/>
      <c r="HYI25" s="12"/>
      <c r="HYJ25" s="12"/>
      <c r="HYK25" s="13"/>
      <c r="HYL25" s="9"/>
      <c r="HYM25" s="9"/>
      <c r="HYN25" s="9"/>
      <c r="HYO25" s="9"/>
      <c r="HYP25" s="10"/>
      <c r="HYQ25" s="11"/>
      <c r="HYR25" s="12"/>
      <c r="HYS25" s="12"/>
      <c r="HYT25" s="12"/>
      <c r="HYU25" s="13"/>
      <c r="HYV25" s="9"/>
      <c r="HYW25" s="9"/>
      <c r="HYX25" s="9"/>
      <c r="HYY25" s="9"/>
      <c r="HYZ25" s="10"/>
      <c r="HZA25" s="11"/>
      <c r="HZB25" s="12"/>
      <c r="HZC25" s="12"/>
      <c r="HZD25" s="12"/>
      <c r="HZE25" s="13"/>
      <c r="HZF25" s="9"/>
      <c r="HZG25" s="9"/>
      <c r="HZH25" s="9"/>
      <c r="HZI25" s="9"/>
      <c r="HZJ25" s="10"/>
      <c r="HZK25" s="11"/>
      <c r="HZL25" s="12"/>
      <c r="HZM25" s="12"/>
      <c r="HZN25" s="12"/>
      <c r="HZO25" s="13"/>
      <c r="HZP25" s="9"/>
      <c r="HZQ25" s="9"/>
      <c r="HZR25" s="9"/>
      <c r="HZS25" s="9"/>
      <c r="HZT25" s="10"/>
      <c r="HZU25" s="11"/>
      <c r="HZV25" s="12"/>
      <c r="HZW25" s="12"/>
      <c r="HZX25" s="12"/>
      <c r="HZY25" s="13"/>
      <c r="HZZ25" s="9"/>
      <c r="IAA25" s="9"/>
      <c r="IAB25" s="9"/>
      <c r="IAC25" s="9"/>
      <c r="IAD25" s="10"/>
      <c r="IAE25" s="11"/>
      <c r="IAF25" s="12"/>
      <c r="IAG25" s="12"/>
      <c r="IAH25" s="12"/>
      <c r="IAI25" s="13"/>
      <c r="IAJ25" s="9"/>
      <c r="IAK25" s="9"/>
      <c r="IAL25" s="9"/>
      <c r="IAM25" s="9"/>
      <c r="IAN25" s="10"/>
      <c r="IAO25" s="11"/>
      <c r="IAP25" s="12"/>
      <c r="IAQ25" s="12"/>
      <c r="IAR25" s="12"/>
      <c r="IAS25" s="13"/>
      <c r="IAT25" s="9"/>
      <c r="IAU25" s="9"/>
      <c r="IAV25" s="9"/>
      <c r="IAW25" s="9"/>
      <c r="IAX25" s="10"/>
      <c r="IAY25" s="11"/>
      <c r="IAZ25" s="12"/>
      <c r="IBA25" s="12"/>
      <c r="IBB25" s="12"/>
      <c r="IBC25" s="13"/>
      <c r="IBD25" s="9"/>
      <c r="IBE25" s="9"/>
      <c r="IBF25" s="9"/>
      <c r="IBG25" s="9"/>
      <c r="IBH25" s="10"/>
      <c r="IBI25" s="11"/>
      <c r="IBJ25" s="12"/>
      <c r="IBK25" s="12"/>
      <c r="IBL25" s="12"/>
      <c r="IBM25" s="13"/>
      <c r="IBN25" s="9"/>
      <c r="IBO25" s="9"/>
      <c r="IBP25" s="9"/>
      <c r="IBQ25" s="9"/>
      <c r="IBR25" s="10"/>
      <c r="IBS25" s="11"/>
      <c r="IBT25" s="12"/>
      <c r="IBU25" s="12"/>
      <c r="IBV25" s="12"/>
      <c r="IBW25" s="13"/>
      <c r="IBX25" s="9"/>
      <c r="IBY25" s="9"/>
      <c r="IBZ25" s="9"/>
      <c r="ICA25" s="9"/>
      <c r="ICB25" s="10"/>
      <c r="ICC25" s="11"/>
      <c r="ICD25" s="12"/>
      <c r="ICE25" s="12"/>
      <c r="ICF25" s="12"/>
      <c r="ICG25" s="13"/>
      <c r="ICH25" s="9"/>
      <c r="ICI25" s="9"/>
      <c r="ICJ25" s="9"/>
      <c r="ICK25" s="9"/>
      <c r="ICL25" s="10"/>
      <c r="ICM25" s="11"/>
      <c r="ICN25" s="12"/>
      <c r="ICO25" s="12"/>
      <c r="ICP25" s="12"/>
      <c r="ICQ25" s="13"/>
      <c r="ICR25" s="9"/>
      <c r="ICS25" s="9"/>
      <c r="ICT25" s="9"/>
      <c r="ICU25" s="9"/>
      <c r="ICV25" s="10"/>
      <c r="ICW25" s="11"/>
      <c r="ICX25" s="12"/>
      <c r="ICY25" s="12"/>
      <c r="ICZ25" s="12"/>
      <c r="IDA25" s="13"/>
      <c r="IDB25" s="9"/>
      <c r="IDC25" s="9"/>
      <c r="IDD25" s="9"/>
      <c r="IDE25" s="9"/>
      <c r="IDF25" s="10"/>
      <c r="IDG25" s="11"/>
      <c r="IDH25" s="12"/>
      <c r="IDI25" s="12"/>
      <c r="IDJ25" s="12"/>
      <c r="IDK25" s="13"/>
      <c r="IDL25" s="9"/>
      <c r="IDM25" s="9"/>
      <c r="IDN25" s="9"/>
      <c r="IDO25" s="9"/>
      <c r="IDP25" s="10"/>
      <c r="IDQ25" s="11"/>
      <c r="IDR25" s="12"/>
      <c r="IDS25" s="12"/>
      <c r="IDT25" s="12"/>
      <c r="IDU25" s="13"/>
      <c r="IDV25" s="9"/>
      <c r="IDW25" s="9"/>
      <c r="IDX25" s="9"/>
      <c r="IDY25" s="9"/>
      <c r="IDZ25" s="10"/>
      <c r="IEA25" s="11"/>
      <c r="IEB25" s="12"/>
      <c r="IEC25" s="12"/>
      <c r="IED25" s="12"/>
      <c r="IEE25" s="13"/>
      <c r="IEF25" s="9"/>
      <c r="IEG25" s="9"/>
      <c r="IEH25" s="9"/>
      <c r="IEI25" s="9"/>
      <c r="IEJ25" s="10"/>
      <c r="IEK25" s="11"/>
      <c r="IEL25" s="12"/>
      <c r="IEM25" s="12"/>
      <c r="IEN25" s="12"/>
      <c r="IEO25" s="13"/>
      <c r="IEP25" s="9"/>
      <c r="IEQ25" s="9"/>
      <c r="IER25" s="9"/>
      <c r="IES25" s="9"/>
      <c r="IET25" s="10"/>
      <c r="IEU25" s="11"/>
      <c r="IEV25" s="12"/>
      <c r="IEW25" s="12"/>
      <c r="IEX25" s="12"/>
      <c r="IEY25" s="13"/>
      <c r="IEZ25" s="9"/>
      <c r="IFA25" s="9"/>
      <c r="IFB25" s="9"/>
      <c r="IFC25" s="9"/>
      <c r="IFD25" s="10"/>
      <c r="IFE25" s="11"/>
      <c r="IFF25" s="12"/>
      <c r="IFG25" s="12"/>
      <c r="IFH25" s="12"/>
      <c r="IFI25" s="13"/>
      <c r="IFJ25" s="9"/>
      <c r="IFK25" s="9"/>
      <c r="IFL25" s="9"/>
      <c r="IFM25" s="9"/>
      <c r="IFN25" s="10"/>
      <c r="IFO25" s="11"/>
      <c r="IFP25" s="12"/>
      <c r="IFQ25" s="12"/>
      <c r="IFR25" s="12"/>
      <c r="IFS25" s="13"/>
      <c r="IFT25" s="9"/>
      <c r="IFU25" s="9"/>
      <c r="IFV25" s="9"/>
      <c r="IFW25" s="9"/>
      <c r="IFX25" s="10"/>
      <c r="IFY25" s="11"/>
      <c r="IFZ25" s="12"/>
      <c r="IGA25" s="12"/>
      <c r="IGB25" s="12"/>
      <c r="IGC25" s="13"/>
      <c r="IGD25" s="9"/>
      <c r="IGE25" s="9"/>
      <c r="IGF25" s="9"/>
      <c r="IGG25" s="9"/>
      <c r="IGH25" s="10"/>
      <c r="IGI25" s="11"/>
      <c r="IGJ25" s="12"/>
      <c r="IGK25" s="12"/>
      <c r="IGL25" s="12"/>
      <c r="IGM25" s="13"/>
      <c r="IGN25" s="9"/>
      <c r="IGO25" s="9"/>
      <c r="IGP25" s="9"/>
      <c r="IGQ25" s="9"/>
      <c r="IGR25" s="10"/>
      <c r="IGS25" s="11"/>
      <c r="IGT25" s="12"/>
      <c r="IGU25" s="12"/>
      <c r="IGV25" s="12"/>
      <c r="IGW25" s="13"/>
      <c r="IGX25" s="9"/>
      <c r="IGY25" s="9"/>
      <c r="IGZ25" s="9"/>
      <c r="IHA25" s="9"/>
      <c r="IHB25" s="10"/>
      <c r="IHC25" s="11"/>
      <c r="IHD25" s="12"/>
      <c r="IHE25" s="12"/>
      <c r="IHF25" s="12"/>
      <c r="IHG25" s="13"/>
      <c r="IHH25" s="9"/>
      <c r="IHI25" s="9"/>
      <c r="IHJ25" s="9"/>
      <c r="IHK25" s="9"/>
      <c r="IHL25" s="10"/>
      <c r="IHM25" s="11"/>
      <c r="IHN25" s="12"/>
      <c r="IHO25" s="12"/>
      <c r="IHP25" s="12"/>
      <c r="IHQ25" s="13"/>
      <c r="IHR25" s="9"/>
      <c r="IHS25" s="9"/>
      <c r="IHT25" s="9"/>
      <c r="IHU25" s="9"/>
      <c r="IHV25" s="10"/>
      <c r="IHW25" s="11"/>
      <c r="IHX25" s="12"/>
      <c r="IHY25" s="12"/>
      <c r="IHZ25" s="12"/>
      <c r="IIA25" s="13"/>
      <c r="IIB25" s="9"/>
      <c r="IIC25" s="9"/>
      <c r="IID25" s="9"/>
      <c r="IIE25" s="9"/>
      <c r="IIF25" s="10"/>
      <c r="IIG25" s="11"/>
      <c r="IIH25" s="12"/>
      <c r="III25" s="12"/>
      <c r="IIJ25" s="12"/>
      <c r="IIK25" s="13"/>
      <c r="IIL25" s="9"/>
      <c r="IIM25" s="9"/>
      <c r="IIN25" s="9"/>
      <c r="IIO25" s="9"/>
      <c r="IIP25" s="10"/>
      <c r="IIQ25" s="11"/>
      <c r="IIR25" s="12"/>
      <c r="IIS25" s="12"/>
      <c r="IIT25" s="12"/>
      <c r="IIU25" s="13"/>
      <c r="IIV25" s="9"/>
      <c r="IIW25" s="9"/>
      <c r="IIX25" s="9"/>
      <c r="IIY25" s="9"/>
      <c r="IIZ25" s="10"/>
      <c r="IJA25" s="11"/>
      <c r="IJB25" s="12"/>
      <c r="IJC25" s="12"/>
      <c r="IJD25" s="12"/>
      <c r="IJE25" s="13"/>
      <c r="IJF25" s="9"/>
      <c r="IJG25" s="9"/>
      <c r="IJH25" s="9"/>
      <c r="IJI25" s="9"/>
      <c r="IJJ25" s="10"/>
      <c r="IJK25" s="11"/>
      <c r="IJL25" s="12"/>
      <c r="IJM25" s="12"/>
      <c r="IJN25" s="12"/>
      <c r="IJO25" s="13"/>
      <c r="IJP25" s="9"/>
      <c r="IJQ25" s="9"/>
      <c r="IJR25" s="9"/>
      <c r="IJS25" s="9"/>
      <c r="IJT25" s="10"/>
      <c r="IJU25" s="11"/>
      <c r="IJV25" s="12"/>
      <c r="IJW25" s="12"/>
      <c r="IJX25" s="12"/>
      <c r="IJY25" s="13"/>
      <c r="IJZ25" s="9"/>
      <c r="IKA25" s="9"/>
      <c r="IKB25" s="9"/>
      <c r="IKC25" s="9"/>
      <c r="IKD25" s="10"/>
      <c r="IKE25" s="11"/>
      <c r="IKF25" s="12"/>
      <c r="IKG25" s="12"/>
      <c r="IKH25" s="12"/>
      <c r="IKI25" s="13"/>
      <c r="IKJ25" s="9"/>
      <c r="IKK25" s="9"/>
      <c r="IKL25" s="9"/>
      <c r="IKM25" s="9"/>
      <c r="IKN25" s="10"/>
      <c r="IKO25" s="11"/>
      <c r="IKP25" s="12"/>
      <c r="IKQ25" s="12"/>
      <c r="IKR25" s="12"/>
      <c r="IKS25" s="13"/>
      <c r="IKT25" s="9"/>
      <c r="IKU25" s="9"/>
      <c r="IKV25" s="9"/>
      <c r="IKW25" s="9"/>
      <c r="IKX25" s="10"/>
      <c r="IKY25" s="11"/>
      <c r="IKZ25" s="12"/>
      <c r="ILA25" s="12"/>
      <c r="ILB25" s="12"/>
      <c r="ILC25" s="13"/>
      <c r="ILD25" s="9"/>
      <c r="ILE25" s="9"/>
      <c r="ILF25" s="9"/>
      <c r="ILG25" s="9"/>
      <c r="ILH25" s="10"/>
      <c r="ILI25" s="11"/>
      <c r="ILJ25" s="12"/>
      <c r="ILK25" s="12"/>
      <c r="ILL25" s="12"/>
      <c r="ILM25" s="13"/>
      <c r="ILN25" s="9"/>
      <c r="ILO25" s="9"/>
      <c r="ILP25" s="9"/>
      <c r="ILQ25" s="9"/>
      <c r="ILR25" s="10"/>
      <c r="ILS25" s="11"/>
      <c r="ILT25" s="12"/>
      <c r="ILU25" s="12"/>
      <c r="ILV25" s="12"/>
      <c r="ILW25" s="13"/>
      <c r="ILX25" s="9"/>
      <c r="ILY25" s="9"/>
      <c r="ILZ25" s="9"/>
      <c r="IMA25" s="9"/>
      <c r="IMB25" s="10"/>
      <c r="IMC25" s="11"/>
      <c r="IMD25" s="12"/>
      <c r="IME25" s="12"/>
      <c r="IMF25" s="12"/>
      <c r="IMG25" s="13"/>
      <c r="IMH25" s="9"/>
      <c r="IMI25" s="9"/>
      <c r="IMJ25" s="9"/>
      <c r="IMK25" s="9"/>
      <c r="IML25" s="10"/>
      <c r="IMM25" s="11"/>
      <c r="IMN25" s="12"/>
      <c r="IMO25" s="12"/>
      <c r="IMP25" s="12"/>
      <c r="IMQ25" s="13"/>
      <c r="IMR25" s="9"/>
      <c r="IMS25" s="9"/>
      <c r="IMT25" s="9"/>
      <c r="IMU25" s="9"/>
      <c r="IMV25" s="10"/>
      <c r="IMW25" s="11"/>
      <c r="IMX25" s="12"/>
      <c r="IMY25" s="12"/>
      <c r="IMZ25" s="12"/>
      <c r="INA25" s="13"/>
      <c r="INB25" s="9"/>
      <c r="INC25" s="9"/>
      <c r="IND25" s="9"/>
      <c r="INE25" s="9"/>
      <c r="INF25" s="10"/>
      <c r="ING25" s="11"/>
      <c r="INH25" s="12"/>
      <c r="INI25" s="12"/>
      <c r="INJ25" s="12"/>
      <c r="INK25" s="13"/>
      <c r="INL25" s="9"/>
      <c r="INM25" s="9"/>
      <c r="INN25" s="9"/>
      <c r="INO25" s="9"/>
      <c r="INP25" s="10"/>
      <c r="INQ25" s="11"/>
      <c r="INR25" s="12"/>
      <c r="INS25" s="12"/>
      <c r="INT25" s="12"/>
      <c r="INU25" s="13"/>
      <c r="INV25" s="9"/>
      <c r="INW25" s="9"/>
      <c r="INX25" s="9"/>
      <c r="INY25" s="9"/>
      <c r="INZ25" s="10"/>
      <c r="IOA25" s="11"/>
      <c r="IOB25" s="12"/>
      <c r="IOC25" s="12"/>
      <c r="IOD25" s="12"/>
      <c r="IOE25" s="13"/>
      <c r="IOF25" s="9"/>
      <c r="IOG25" s="9"/>
      <c r="IOH25" s="9"/>
      <c r="IOI25" s="9"/>
      <c r="IOJ25" s="10"/>
      <c r="IOK25" s="11"/>
      <c r="IOL25" s="12"/>
      <c r="IOM25" s="12"/>
      <c r="ION25" s="12"/>
      <c r="IOO25" s="13"/>
      <c r="IOP25" s="9"/>
      <c r="IOQ25" s="9"/>
      <c r="IOR25" s="9"/>
      <c r="IOS25" s="9"/>
      <c r="IOT25" s="10"/>
      <c r="IOU25" s="11"/>
      <c r="IOV25" s="12"/>
      <c r="IOW25" s="12"/>
      <c r="IOX25" s="12"/>
      <c r="IOY25" s="13"/>
      <c r="IOZ25" s="9"/>
      <c r="IPA25" s="9"/>
      <c r="IPB25" s="9"/>
      <c r="IPC25" s="9"/>
      <c r="IPD25" s="10"/>
      <c r="IPE25" s="11"/>
      <c r="IPF25" s="12"/>
      <c r="IPG25" s="12"/>
      <c r="IPH25" s="12"/>
      <c r="IPI25" s="13"/>
      <c r="IPJ25" s="9"/>
      <c r="IPK25" s="9"/>
      <c r="IPL25" s="9"/>
      <c r="IPM25" s="9"/>
      <c r="IPN25" s="10"/>
      <c r="IPO25" s="11"/>
      <c r="IPP25" s="12"/>
      <c r="IPQ25" s="12"/>
      <c r="IPR25" s="12"/>
      <c r="IPS25" s="13"/>
      <c r="IPT25" s="9"/>
      <c r="IPU25" s="9"/>
      <c r="IPV25" s="9"/>
      <c r="IPW25" s="9"/>
      <c r="IPX25" s="10"/>
      <c r="IPY25" s="11"/>
      <c r="IPZ25" s="12"/>
      <c r="IQA25" s="12"/>
      <c r="IQB25" s="12"/>
      <c r="IQC25" s="13"/>
      <c r="IQD25" s="9"/>
      <c r="IQE25" s="9"/>
      <c r="IQF25" s="9"/>
      <c r="IQG25" s="9"/>
      <c r="IQH25" s="10"/>
      <c r="IQI25" s="11"/>
      <c r="IQJ25" s="12"/>
      <c r="IQK25" s="12"/>
      <c r="IQL25" s="12"/>
      <c r="IQM25" s="13"/>
      <c r="IQN25" s="9"/>
      <c r="IQO25" s="9"/>
      <c r="IQP25" s="9"/>
      <c r="IQQ25" s="9"/>
      <c r="IQR25" s="10"/>
      <c r="IQS25" s="11"/>
      <c r="IQT25" s="12"/>
      <c r="IQU25" s="12"/>
      <c r="IQV25" s="12"/>
      <c r="IQW25" s="13"/>
      <c r="IQX25" s="9"/>
      <c r="IQY25" s="9"/>
      <c r="IQZ25" s="9"/>
      <c r="IRA25" s="9"/>
      <c r="IRB25" s="10"/>
      <c r="IRC25" s="11"/>
      <c r="IRD25" s="12"/>
      <c r="IRE25" s="12"/>
      <c r="IRF25" s="12"/>
      <c r="IRG25" s="13"/>
      <c r="IRH25" s="9"/>
      <c r="IRI25" s="9"/>
      <c r="IRJ25" s="9"/>
      <c r="IRK25" s="9"/>
      <c r="IRL25" s="10"/>
      <c r="IRM25" s="11"/>
      <c r="IRN25" s="12"/>
      <c r="IRO25" s="12"/>
      <c r="IRP25" s="12"/>
      <c r="IRQ25" s="13"/>
      <c r="IRR25" s="9"/>
      <c r="IRS25" s="9"/>
      <c r="IRT25" s="9"/>
      <c r="IRU25" s="9"/>
      <c r="IRV25" s="10"/>
      <c r="IRW25" s="11"/>
      <c r="IRX25" s="12"/>
      <c r="IRY25" s="12"/>
      <c r="IRZ25" s="12"/>
      <c r="ISA25" s="13"/>
      <c r="ISB25" s="9"/>
      <c r="ISC25" s="9"/>
      <c r="ISD25" s="9"/>
      <c r="ISE25" s="9"/>
      <c r="ISF25" s="10"/>
      <c r="ISG25" s="11"/>
      <c r="ISH25" s="12"/>
      <c r="ISI25" s="12"/>
      <c r="ISJ25" s="12"/>
      <c r="ISK25" s="13"/>
      <c r="ISL25" s="9"/>
      <c r="ISM25" s="9"/>
      <c r="ISN25" s="9"/>
      <c r="ISO25" s="9"/>
      <c r="ISP25" s="10"/>
      <c r="ISQ25" s="11"/>
      <c r="ISR25" s="12"/>
      <c r="ISS25" s="12"/>
      <c r="IST25" s="12"/>
      <c r="ISU25" s="13"/>
      <c r="ISV25" s="9"/>
      <c r="ISW25" s="9"/>
      <c r="ISX25" s="9"/>
      <c r="ISY25" s="9"/>
      <c r="ISZ25" s="10"/>
      <c r="ITA25" s="11"/>
      <c r="ITB25" s="12"/>
      <c r="ITC25" s="12"/>
      <c r="ITD25" s="12"/>
      <c r="ITE25" s="13"/>
      <c r="ITF25" s="9"/>
      <c r="ITG25" s="9"/>
      <c r="ITH25" s="9"/>
      <c r="ITI25" s="9"/>
      <c r="ITJ25" s="10"/>
      <c r="ITK25" s="11"/>
      <c r="ITL25" s="12"/>
      <c r="ITM25" s="12"/>
      <c r="ITN25" s="12"/>
      <c r="ITO25" s="13"/>
      <c r="ITP25" s="9"/>
      <c r="ITQ25" s="9"/>
      <c r="ITR25" s="9"/>
      <c r="ITS25" s="9"/>
      <c r="ITT25" s="10"/>
      <c r="ITU25" s="11"/>
      <c r="ITV25" s="12"/>
      <c r="ITW25" s="12"/>
      <c r="ITX25" s="12"/>
      <c r="ITY25" s="13"/>
      <c r="ITZ25" s="9"/>
      <c r="IUA25" s="9"/>
      <c r="IUB25" s="9"/>
      <c r="IUC25" s="9"/>
      <c r="IUD25" s="10"/>
      <c r="IUE25" s="11"/>
      <c r="IUF25" s="12"/>
      <c r="IUG25" s="12"/>
      <c r="IUH25" s="12"/>
      <c r="IUI25" s="13"/>
      <c r="IUJ25" s="9"/>
      <c r="IUK25" s="9"/>
      <c r="IUL25" s="9"/>
      <c r="IUM25" s="9"/>
      <c r="IUN25" s="10"/>
      <c r="IUO25" s="11"/>
      <c r="IUP25" s="12"/>
      <c r="IUQ25" s="12"/>
      <c r="IUR25" s="12"/>
      <c r="IUS25" s="13"/>
      <c r="IUT25" s="9"/>
      <c r="IUU25" s="9"/>
      <c r="IUV25" s="9"/>
      <c r="IUW25" s="9"/>
      <c r="IUX25" s="10"/>
      <c r="IUY25" s="11"/>
      <c r="IUZ25" s="12"/>
      <c r="IVA25" s="12"/>
      <c r="IVB25" s="12"/>
      <c r="IVC25" s="13"/>
      <c r="IVD25" s="9"/>
      <c r="IVE25" s="9"/>
      <c r="IVF25" s="9"/>
      <c r="IVG25" s="9"/>
      <c r="IVH25" s="10"/>
      <c r="IVI25" s="11"/>
      <c r="IVJ25" s="12"/>
      <c r="IVK25" s="12"/>
      <c r="IVL25" s="12"/>
      <c r="IVM25" s="13"/>
      <c r="IVN25" s="9"/>
      <c r="IVO25" s="9"/>
      <c r="IVP25" s="9"/>
      <c r="IVQ25" s="9"/>
      <c r="IVR25" s="10"/>
      <c r="IVS25" s="11"/>
      <c r="IVT25" s="12"/>
      <c r="IVU25" s="12"/>
      <c r="IVV25" s="12"/>
      <c r="IVW25" s="13"/>
      <c r="IVX25" s="9"/>
      <c r="IVY25" s="9"/>
      <c r="IVZ25" s="9"/>
      <c r="IWA25" s="9"/>
      <c r="IWB25" s="10"/>
      <c r="IWC25" s="11"/>
      <c r="IWD25" s="12"/>
      <c r="IWE25" s="12"/>
      <c r="IWF25" s="12"/>
      <c r="IWG25" s="13"/>
      <c r="IWH25" s="9"/>
      <c r="IWI25" s="9"/>
      <c r="IWJ25" s="9"/>
      <c r="IWK25" s="9"/>
      <c r="IWL25" s="10"/>
      <c r="IWM25" s="11"/>
      <c r="IWN25" s="12"/>
      <c r="IWO25" s="12"/>
      <c r="IWP25" s="12"/>
      <c r="IWQ25" s="13"/>
      <c r="IWR25" s="9"/>
      <c r="IWS25" s="9"/>
      <c r="IWT25" s="9"/>
      <c r="IWU25" s="9"/>
      <c r="IWV25" s="10"/>
      <c r="IWW25" s="11"/>
      <c r="IWX25" s="12"/>
      <c r="IWY25" s="12"/>
      <c r="IWZ25" s="12"/>
      <c r="IXA25" s="13"/>
      <c r="IXB25" s="9"/>
      <c r="IXC25" s="9"/>
      <c r="IXD25" s="9"/>
      <c r="IXE25" s="9"/>
      <c r="IXF25" s="10"/>
      <c r="IXG25" s="11"/>
      <c r="IXH25" s="12"/>
      <c r="IXI25" s="12"/>
      <c r="IXJ25" s="12"/>
      <c r="IXK25" s="13"/>
      <c r="IXL25" s="9"/>
      <c r="IXM25" s="9"/>
      <c r="IXN25" s="9"/>
      <c r="IXO25" s="9"/>
      <c r="IXP25" s="10"/>
      <c r="IXQ25" s="11"/>
      <c r="IXR25" s="12"/>
      <c r="IXS25" s="12"/>
      <c r="IXT25" s="12"/>
      <c r="IXU25" s="13"/>
      <c r="IXV25" s="9"/>
      <c r="IXW25" s="9"/>
      <c r="IXX25" s="9"/>
      <c r="IXY25" s="9"/>
      <c r="IXZ25" s="10"/>
      <c r="IYA25" s="11"/>
      <c r="IYB25" s="12"/>
      <c r="IYC25" s="12"/>
      <c r="IYD25" s="12"/>
      <c r="IYE25" s="13"/>
      <c r="IYF25" s="9"/>
      <c r="IYG25" s="9"/>
      <c r="IYH25" s="9"/>
      <c r="IYI25" s="9"/>
      <c r="IYJ25" s="10"/>
      <c r="IYK25" s="11"/>
      <c r="IYL25" s="12"/>
      <c r="IYM25" s="12"/>
      <c r="IYN25" s="12"/>
      <c r="IYO25" s="13"/>
      <c r="IYP25" s="9"/>
      <c r="IYQ25" s="9"/>
      <c r="IYR25" s="9"/>
      <c r="IYS25" s="9"/>
      <c r="IYT25" s="10"/>
      <c r="IYU25" s="11"/>
      <c r="IYV25" s="12"/>
      <c r="IYW25" s="12"/>
      <c r="IYX25" s="12"/>
      <c r="IYY25" s="13"/>
      <c r="IYZ25" s="9"/>
      <c r="IZA25" s="9"/>
      <c r="IZB25" s="9"/>
      <c r="IZC25" s="9"/>
      <c r="IZD25" s="10"/>
      <c r="IZE25" s="11"/>
      <c r="IZF25" s="12"/>
      <c r="IZG25" s="12"/>
      <c r="IZH25" s="12"/>
      <c r="IZI25" s="13"/>
      <c r="IZJ25" s="9"/>
      <c r="IZK25" s="9"/>
      <c r="IZL25" s="9"/>
      <c r="IZM25" s="9"/>
      <c r="IZN25" s="10"/>
      <c r="IZO25" s="11"/>
      <c r="IZP25" s="12"/>
      <c r="IZQ25" s="12"/>
      <c r="IZR25" s="12"/>
      <c r="IZS25" s="13"/>
      <c r="IZT25" s="9"/>
      <c r="IZU25" s="9"/>
      <c r="IZV25" s="9"/>
      <c r="IZW25" s="9"/>
      <c r="IZX25" s="10"/>
      <c r="IZY25" s="11"/>
      <c r="IZZ25" s="12"/>
      <c r="JAA25" s="12"/>
      <c r="JAB25" s="12"/>
      <c r="JAC25" s="13"/>
      <c r="JAD25" s="9"/>
      <c r="JAE25" s="9"/>
      <c r="JAF25" s="9"/>
      <c r="JAG25" s="9"/>
      <c r="JAH25" s="10"/>
      <c r="JAI25" s="11"/>
      <c r="JAJ25" s="12"/>
      <c r="JAK25" s="12"/>
      <c r="JAL25" s="12"/>
      <c r="JAM25" s="13"/>
      <c r="JAN25" s="9"/>
      <c r="JAO25" s="9"/>
      <c r="JAP25" s="9"/>
      <c r="JAQ25" s="9"/>
      <c r="JAR25" s="10"/>
      <c r="JAS25" s="11"/>
      <c r="JAT25" s="12"/>
      <c r="JAU25" s="12"/>
      <c r="JAV25" s="12"/>
      <c r="JAW25" s="13"/>
      <c r="JAX25" s="9"/>
      <c r="JAY25" s="9"/>
      <c r="JAZ25" s="9"/>
      <c r="JBA25" s="9"/>
      <c r="JBB25" s="10"/>
      <c r="JBC25" s="11"/>
      <c r="JBD25" s="12"/>
      <c r="JBE25" s="12"/>
      <c r="JBF25" s="12"/>
      <c r="JBG25" s="13"/>
      <c r="JBH25" s="9"/>
      <c r="JBI25" s="9"/>
      <c r="JBJ25" s="9"/>
      <c r="JBK25" s="9"/>
      <c r="JBL25" s="10"/>
      <c r="JBM25" s="11"/>
      <c r="JBN25" s="12"/>
      <c r="JBO25" s="12"/>
      <c r="JBP25" s="12"/>
      <c r="JBQ25" s="13"/>
      <c r="JBR25" s="9"/>
      <c r="JBS25" s="9"/>
      <c r="JBT25" s="9"/>
      <c r="JBU25" s="9"/>
      <c r="JBV25" s="10"/>
      <c r="JBW25" s="11"/>
      <c r="JBX25" s="12"/>
      <c r="JBY25" s="12"/>
      <c r="JBZ25" s="12"/>
      <c r="JCA25" s="13"/>
      <c r="JCB25" s="9"/>
      <c r="JCC25" s="9"/>
      <c r="JCD25" s="9"/>
      <c r="JCE25" s="9"/>
      <c r="JCF25" s="10"/>
      <c r="JCG25" s="11"/>
      <c r="JCH25" s="12"/>
      <c r="JCI25" s="12"/>
      <c r="JCJ25" s="12"/>
      <c r="JCK25" s="13"/>
      <c r="JCL25" s="9"/>
      <c r="JCM25" s="9"/>
      <c r="JCN25" s="9"/>
      <c r="JCO25" s="9"/>
      <c r="JCP25" s="10"/>
      <c r="JCQ25" s="11"/>
      <c r="JCR25" s="12"/>
      <c r="JCS25" s="12"/>
      <c r="JCT25" s="12"/>
      <c r="JCU25" s="13"/>
      <c r="JCV25" s="9"/>
      <c r="JCW25" s="9"/>
      <c r="JCX25" s="9"/>
      <c r="JCY25" s="9"/>
      <c r="JCZ25" s="10"/>
      <c r="JDA25" s="11"/>
      <c r="JDB25" s="12"/>
      <c r="JDC25" s="12"/>
      <c r="JDD25" s="12"/>
      <c r="JDE25" s="13"/>
      <c r="JDF25" s="9"/>
      <c r="JDG25" s="9"/>
      <c r="JDH25" s="9"/>
      <c r="JDI25" s="9"/>
      <c r="JDJ25" s="10"/>
      <c r="JDK25" s="11"/>
      <c r="JDL25" s="12"/>
      <c r="JDM25" s="12"/>
      <c r="JDN25" s="12"/>
      <c r="JDO25" s="13"/>
      <c r="JDP25" s="9"/>
      <c r="JDQ25" s="9"/>
      <c r="JDR25" s="9"/>
      <c r="JDS25" s="9"/>
      <c r="JDT25" s="10"/>
      <c r="JDU25" s="11"/>
      <c r="JDV25" s="12"/>
      <c r="JDW25" s="12"/>
      <c r="JDX25" s="12"/>
      <c r="JDY25" s="13"/>
      <c r="JDZ25" s="9"/>
      <c r="JEA25" s="9"/>
      <c r="JEB25" s="9"/>
      <c r="JEC25" s="9"/>
      <c r="JED25" s="10"/>
      <c r="JEE25" s="11"/>
      <c r="JEF25" s="12"/>
      <c r="JEG25" s="12"/>
      <c r="JEH25" s="12"/>
      <c r="JEI25" s="13"/>
      <c r="JEJ25" s="9"/>
      <c r="JEK25" s="9"/>
      <c r="JEL25" s="9"/>
      <c r="JEM25" s="9"/>
      <c r="JEN25" s="10"/>
      <c r="JEO25" s="11"/>
      <c r="JEP25" s="12"/>
      <c r="JEQ25" s="12"/>
      <c r="JER25" s="12"/>
      <c r="JES25" s="13"/>
      <c r="JET25" s="9"/>
      <c r="JEU25" s="9"/>
      <c r="JEV25" s="9"/>
      <c r="JEW25" s="9"/>
      <c r="JEX25" s="10"/>
      <c r="JEY25" s="11"/>
      <c r="JEZ25" s="12"/>
      <c r="JFA25" s="12"/>
      <c r="JFB25" s="12"/>
      <c r="JFC25" s="13"/>
      <c r="JFD25" s="9"/>
      <c r="JFE25" s="9"/>
      <c r="JFF25" s="9"/>
      <c r="JFG25" s="9"/>
      <c r="JFH25" s="10"/>
      <c r="JFI25" s="11"/>
      <c r="JFJ25" s="12"/>
      <c r="JFK25" s="12"/>
      <c r="JFL25" s="12"/>
      <c r="JFM25" s="13"/>
      <c r="JFN25" s="9"/>
      <c r="JFO25" s="9"/>
      <c r="JFP25" s="9"/>
      <c r="JFQ25" s="9"/>
      <c r="JFR25" s="10"/>
      <c r="JFS25" s="11"/>
      <c r="JFT25" s="12"/>
      <c r="JFU25" s="12"/>
      <c r="JFV25" s="12"/>
      <c r="JFW25" s="13"/>
      <c r="JFX25" s="9"/>
      <c r="JFY25" s="9"/>
      <c r="JFZ25" s="9"/>
      <c r="JGA25" s="9"/>
      <c r="JGB25" s="10"/>
      <c r="JGC25" s="11"/>
      <c r="JGD25" s="12"/>
      <c r="JGE25" s="12"/>
      <c r="JGF25" s="12"/>
      <c r="JGG25" s="13"/>
      <c r="JGH25" s="9"/>
      <c r="JGI25" s="9"/>
      <c r="JGJ25" s="9"/>
      <c r="JGK25" s="9"/>
      <c r="JGL25" s="10"/>
      <c r="JGM25" s="11"/>
      <c r="JGN25" s="12"/>
      <c r="JGO25" s="12"/>
      <c r="JGP25" s="12"/>
      <c r="JGQ25" s="13"/>
      <c r="JGR25" s="9"/>
      <c r="JGS25" s="9"/>
      <c r="JGT25" s="9"/>
      <c r="JGU25" s="9"/>
      <c r="JGV25" s="10"/>
      <c r="JGW25" s="11"/>
      <c r="JGX25" s="12"/>
      <c r="JGY25" s="12"/>
      <c r="JGZ25" s="12"/>
      <c r="JHA25" s="13"/>
      <c r="JHB25" s="9"/>
      <c r="JHC25" s="9"/>
      <c r="JHD25" s="9"/>
      <c r="JHE25" s="9"/>
      <c r="JHF25" s="10"/>
      <c r="JHG25" s="11"/>
      <c r="JHH25" s="12"/>
      <c r="JHI25" s="12"/>
      <c r="JHJ25" s="12"/>
      <c r="JHK25" s="13"/>
      <c r="JHL25" s="9"/>
      <c r="JHM25" s="9"/>
      <c r="JHN25" s="9"/>
      <c r="JHO25" s="9"/>
      <c r="JHP25" s="10"/>
      <c r="JHQ25" s="11"/>
      <c r="JHR25" s="12"/>
      <c r="JHS25" s="12"/>
      <c r="JHT25" s="12"/>
      <c r="JHU25" s="13"/>
      <c r="JHV25" s="9"/>
      <c r="JHW25" s="9"/>
      <c r="JHX25" s="9"/>
      <c r="JHY25" s="9"/>
      <c r="JHZ25" s="10"/>
      <c r="JIA25" s="11"/>
      <c r="JIB25" s="12"/>
      <c r="JIC25" s="12"/>
      <c r="JID25" s="12"/>
      <c r="JIE25" s="13"/>
      <c r="JIF25" s="9"/>
      <c r="JIG25" s="9"/>
      <c r="JIH25" s="9"/>
      <c r="JII25" s="9"/>
      <c r="JIJ25" s="10"/>
      <c r="JIK25" s="11"/>
      <c r="JIL25" s="12"/>
      <c r="JIM25" s="12"/>
      <c r="JIN25" s="12"/>
      <c r="JIO25" s="13"/>
      <c r="JIP25" s="9"/>
      <c r="JIQ25" s="9"/>
      <c r="JIR25" s="9"/>
      <c r="JIS25" s="9"/>
      <c r="JIT25" s="10"/>
      <c r="JIU25" s="11"/>
      <c r="JIV25" s="12"/>
      <c r="JIW25" s="12"/>
      <c r="JIX25" s="12"/>
      <c r="JIY25" s="13"/>
      <c r="JIZ25" s="9"/>
      <c r="JJA25" s="9"/>
      <c r="JJB25" s="9"/>
      <c r="JJC25" s="9"/>
      <c r="JJD25" s="10"/>
      <c r="JJE25" s="11"/>
      <c r="JJF25" s="12"/>
      <c r="JJG25" s="12"/>
      <c r="JJH25" s="12"/>
      <c r="JJI25" s="13"/>
      <c r="JJJ25" s="9"/>
      <c r="JJK25" s="9"/>
      <c r="JJL25" s="9"/>
      <c r="JJM25" s="9"/>
      <c r="JJN25" s="10"/>
      <c r="JJO25" s="11"/>
      <c r="JJP25" s="12"/>
      <c r="JJQ25" s="12"/>
      <c r="JJR25" s="12"/>
      <c r="JJS25" s="13"/>
      <c r="JJT25" s="9"/>
      <c r="JJU25" s="9"/>
      <c r="JJV25" s="9"/>
      <c r="JJW25" s="9"/>
      <c r="JJX25" s="10"/>
      <c r="JJY25" s="11"/>
      <c r="JJZ25" s="12"/>
      <c r="JKA25" s="12"/>
      <c r="JKB25" s="12"/>
      <c r="JKC25" s="13"/>
      <c r="JKD25" s="9"/>
      <c r="JKE25" s="9"/>
      <c r="JKF25" s="9"/>
      <c r="JKG25" s="9"/>
      <c r="JKH25" s="10"/>
      <c r="JKI25" s="11"/>
      <c r="JKJ25" s="12"/>
      <c r="JKK25" s="12"/>
      <c r="JKL25" s="12"/>
      <c r="JKM25" s="13"/>
      <c r="JKN25" s="9"/>
      <c r="JKO25" s="9"/>
      <c r="JKP25" s="9"/>
      <c r="JKQ25" s="9"/>
      <c r="JKR25" s="10"/>
      <c r="JKS25" s="11"/>
      <c r="JKT25" s="12"/>
      <c r="JKU25" s="12"/>
      <c r="JKV25" s="12"/>
      <c r="JKW25" s="13"/>
      <c r="JKX25" s="9"/>
      <c r="JKY25" s="9"/>
      <c r="JKZ25" s="9"/>
      <c r="JLA25" s="9"/>
      <c r="JLB25" s="10"/>
      <c r="JLC25" s="11"/>
      <c r="JLD25" s="12"/>
      <c r="JLE25" s="12"/>
      <c r="JLF25" s="12"/>
      <c r="JLG25" s="13"/>
      <c r="JLH25" s="9"/>
      <c r="JLI25" s="9"/>
      <c r="JLJ25" s="9"/>
      <c r="JLK25" s="9"/>
      <c r="JLL25" s="10"/>
      <c r="JLM25" s="11"/>
      <c r="JLN25" s="12"/>
      <c r="JLO25" s="12"/>
      <c r="JLP25" s="12"/>
      <c r="JLQ25" s="13"/>
      <c r="JLR25" s="9"/>
      <c r="JLS25" s="9"/>
      <c r="JLT25" s="9"/>
      <c r="JLU25" s="9"/>
      <c r="JLV25" s="10"/>
      <c r="JLW25" s="11"/>
      <c r="JLX25" s="12"/>
      <c r="JLY25" s="12"/>
      <c r="JLZ25" s="12"/>
      <c r="JMA25" s="13"/>
      <c r="JMB25" s="9"/>
      <c r="JMC25" s="9"/>
      <c r="JMD25" s="9"/>
      <c r="JME25" s="9"/>
      <c r="JMF25" s="10"/>
      <c r="JMG25" s="11"/>
      <c r="JMH25" s="12"/>
      <c r="JMI25" s="12"/>
      <c r="JMJ25" s="12"/>
      <c r="JMK25" s="13"/>
      <c r="JML25" s="9"/>
      <c r="JMM25" s="9"/>
      <c r="JMN25" s="9"/>
      <c r="JMO25" s="9"/>
      <c r="JMP25" s="10"/>
      <c r="JMQ25" s="11"/>
      <c r="JMR25" s="12"/>
      <c r="JMS25" s="12"/>
      <c r="JMT25" s="12"/>
      <c r="JMU25" s="13"/>
      <c r="JMV25" s="9"/>
      <c r="JMW25" s="9"/>
      <c r="JMX25" s="9"/>
      <c r="JMY25" s="9"/>
      <c r="JMZ25" s="10"/>
      <c r="JNA25" s="11"/>
      <c r="JNB25" s="12"/>
      <c r="JNC25" s="12"/>
      <c r="JND25" s="12"/>
      <c r="JNE25" s="13"/>
      <c r="JNF25" s="9"/>
      <c r="JNG25" s="9"/>
      <c r="JNH25" s="9"/>
      <c r="JNI25" s="9"/>
      <c r="JNJ25" s="10"/>
      <c r="JNK25" s="11"/>
      <c r="JNL25" s="12"/>
      <c r="JNM25" s="12"/>
      <c r="JNN25" s="12"/>
      <c r="JNO25" s="13"/>
      <c r="JNP25" s="9"/>
      <c r="JNQ25" s="9"/>
      <c r="JNR25" s="9"/>
      <c r="JNS25" s="9"/>
      <c r="JNT25" s="10"/>
      <c r="JNU25" s="11"/>
      <c r="JNV25" s="12"/>
      <c r="JNW25" s="12"/>
      <c r="JNX25" s="12"/>
      <c r="JNY25" s="13"/>
      <c r="JNZ25" s="9"/>
      <c r="JOA25" s="9"/>
      <c r="JOB25" s="9"/>
      <c r="JOC25" s="9"/>
      <c r="JOD25" s="10"/>
      <c r="JOE25" s="11"/>
      <c r="JOF25" s="12"/>
      <c r="JOG25" s="12"/>
      <c r="JOH25" s="12"/>
      <c r="JOI25" s="13"/>
      <c r="JOJ25" s="9"/>
      <c r="JOK25" s="9"/>
      <c r="JOL25" s="9"/>
      <c r="JOM25" s="9"/>
      <c r="JON25" s="10"/>
      <c r="JOO25" s="11"/>
      <c r="JOP25" s="12"/>
      <c r="JOQ25" s="12"/>
      <c r="JOR25" s="12"/>
      <c r="JOS25" s="13"/>
      <c r="JOT25" s="9"/>
      <c r="JOU25" s="9"/>
      <c r="JOV25" s="9"/>
      <c r="JOW25" s="9"/>
      <c r="JOX25" s="10"/>
      <c r="JOY25" s="11"/>
      <c r="JOZ25" s="12"/>
      <c r="JPA25" s="12"/>
      <c r="JPB25" s="12"/>
      <c r="JPC25" s="13"/>
      <c r="JPD25" s="9"/>
      <c r="JPE25" s="9"/>
      <c r="JPF25" s="9"/>
      <c r="JPG25" s="9"/>
      <c r="JPH25" s="10"/>
      <c r="JPI25" s="11"/>
      <c r="JPJ25" s="12"/>
      <c r="JPK25" s="12"/>
      <c r="JPL25" s="12"/>
      <c r="JPM25" s="13"/>
      <c r="JPN25" s="9"/>
      <c r="JPO25" s="9"/>
      <c r="JPP25" s="9"/>
      <c r="JPQ25" s="9"/>
      <c r="JPR25" s="10"/>
      <c r="JPS25" s="11"/>
      <c r="JPT25" s="12"/>
      <c r="JPU25" s="12"/>
      <c r="JPV25" s="12"/>
      <c r="JPW25" s="13"/>
      <c r="JPX25" s="9"/>
      <c r="JPY25" s="9"/>
      <c r="JPZ25" s="9"/>
      <c r="JQA25" s="9"/>
      <c r="JQB25" s="10"/>
      <c r="JQC25" s="11"/>
      <c r="JQD25" s="12"/>
      <c r="JQE25" s="12"/>
      <c r="JQF25" s="12"/>
      <c r="JQG25" s="13"/>
      <c r="JQH25" s="9"/>
      <c r="JQI25" s="9"/>
      <c r="JQJ25" s="9"/>
      <c r="JQK25" s="9"/>
      <c r="JQL25" s="10"/>
      <c r="JQM25" s="11"/>
      <c r="JQN25" s="12"/>
      <c r="JQO25" s="12"/>
      <c r="JQP25" s="12"/>
      <c r="JQQ25" s="13"/>
      <c r="JQR25" s="9"/>
      <c r="JQS25" s="9"/>
      <c r="JQT25" s="9"/>
      <c r="JQU25" s="9"/>
      <c r="JQV25" s="10"/>
      <c r="JQW25" s="11"/>
      <c r="JQX25" s="12"/>
      <c r="JQY25" s="12"/>
      <c r="JQZ25" s="12"/>
      <c r="JRA25" s="13"/>
      <c r="JRB25" s="9"/>
      <c r="JRC25" s="9"/>
      <c r="JRD25" s="9"/>
      <c r="JRE25" s="9"/>
      <c r="JRF25" s="10"/>
      <c r="JRG25" s="11"/>
      <c r="JRH25" s="12"/>
      <c r="JRI25" s="12"/>
      <c r="JRJ25" s="12"/>
      <c r="JRK25" s="13"/>
      <c r="JRL25" s="9"/>
      <c r="JRM25" s="9"/>
      <c r="JRN25" s="9"/>
      <c r="JRO25" s="9"/>
      <c r="JRP25" s="10"/>
      <c r="JRQ25" s="11"/>
      <c r="JRR25" s="12"/>
      <c r="JRS25" s="12"/>
      <c r="JRT25" s="12"/>
      <c r="JRU25" s="13"/>
      <c r="JRV25" s="9"/>
      <c r="JRW25" s="9"/>
      <c r="JRX25" s="9"/>
      <c r="JRY25" s="9"/>
      <c r="JRZ25" s="10"/>
      <c r="JSA25" s="11"/>
      <c r="JSB25" s="12"/>
      <c r="JSC25" s="12"/>
      <c r="JSD25" s="12"/>
      <c r="JSE25" s="13"/>
      <c r="JSF25" s="9"/>
      <c r="JSG25" s="9"/>
      <c r="JSH25" s="9"/>
      <c r="JSI25" s="9"/>
      <c r="JSJ25" s="10"/>
      <c r="JSK25" s="11"/>
      <c r="JSL25" s="12"/>
      <c r="JSM25" s="12"/>
      <c r="JSN25" s="12"/>
      <c r="JSO25" s="13"/>
      <c r="JSP25" s="9"/>
      <c r="JSQ25" s="9"/>
      <c r="JSR25" s="9"/>
      <c r="JSS25" s="9"/>
      <c r="JST25" s="10"/>
      <c r="JSU25" s="11"/>
      <c r="JSV25" s="12"/>
      <c r="JSW25" s="12"/>
      <c r="JSX25" s="12"/>
      <c r="JSY25" s="13"/>
      <c r="JSZ25" s="9"/>
      <c r="JTA25" s="9"/>
      <c r="JTB25" s="9"/>
      <c r="JTC25" s="9"/>
      <c r="JTD25" s="10"/>
      <c r="JTE25" s="11"/>
      <c r="JTF25" s="12"/>
      <c r="JTG25" s="12"/>
      <c r="JTH25" s="12"/>
      <c r="JTI25" s="13"/>
      <c r="JTJ25" s="9"/>
      <c r="JTK25" s="9"/>
      <c r="JTL25" s="9"/>
      <c r="JTM25" s="9"/>
      <c r="JTN25" s="10"/>
      <c r="JTO25" s="11"/>
      <c r="JTP25" s="12"/>
      <c r="JTQ25" s="12"/>
      <c r="JTR25" s="12"/>
      <c r="JTS25" s="13"/>
      <c r="JTT25" s="9"/>
      <c r="JTU25" s="9"/>
      <c r="JTV25" s="9"/>
      <c r="JTW25" s="9"/>
      <c r="JTX25" s="10"/>
      <c r="JTY25" s="11"/>
      <c r="JTZ25" s="12"/>
      <c r="JUA25" s="12"/>
      <c r="JUB25" s="12"/>
      <c r="JUC25" s="13"/>
      <c r="JUD25" s="9"/>
      <c r="JUE25" s="9"/>
      <c r="JUF25" s="9"/>
      <c r="JUG25" s="9"/>
      <c r="JUH25" s="10"/>
      <c r="JUI25" s="11"/>
      <c r="JUJ25" s="12"/>
      <c r="JUK25" s="12"/>
      <c r="JUL25" s="12"/>
      <c r="JUM25" s="13"/>
      <c r="JUN25" s="9"/>
      <c r="JUO25" s="9"/>
      <c r="JUP25" s="9"/>
      <c r="JUQ25" s="9"/>
      <c r="JUR25" s="10"/>
      <c r="JUS25" s="11"/>
      <c r="JUT25" s="12"/>
      <c r="JUU25" s="12"/>
      <c r="JUV25" s="12"/>
      <c r="JUW25" s="13"/>
      <c r="JUX25" s="9"/>
      <c r="JUY25" s="9"/>
      <c r="JUZ25" s="9"/>
      <c r="JVA25" s="9"/>
      <c r="JVB25" s="10"/>
      <c r="JVC25" s="11"/>
      <c r="JVD25" s="12"/>
      <c r="JVE25" s="12"/>
      <c r="JVF25" s="12"/>
      <c r="JVG25" s="13"/>
      <c r="JVH25" s="9"/>
      <c r="JVI25" s="9"/>
      <c r="JVJ25" s="9"/>
      <c r="JVK25" s="9"/>
      <c r="JVL25" s="10"/>
      <c r="JVM25" s="11"/>
      <c r="JVN25" s="12"/>
      <c r="JVO25" s="12"/>
      <c r="JVP25" s="12"/>
      <c r="JVQ25" s="13"/>
      <c r="JVR25" s="9"/>
      <c r="JVS25" s="9"/>
      <c r="JVT25" s="9"/>
      <c r="JVU25" s="9"/>
      <c r="JVV25" s="10"/>
      <c r="JVW25" s="11"/>
      <c r="JVX25" s="12"/>
      <c r="JVY25" s="12"/>
      <c r="JVZ25" s="12"/>
      <c r="JWA25" s="13"/>
      <c r="JWB25" s="9"/>
      <c r="JWC25" s="9"/>
      <c r="JWD25" s="9"/>
      <c r="JWE25" s="9"/>
      <c r="JWF25" s="10"/>
      <c r="JWG25" s="11"/>
      <c r="JWH25" s="12"/>
      <c r="JWI25" s="12"/>
      <c r="JWJ25" s="12"/>
      <c r="JWK25" s="13"/>
      <c r="JWL25" s="9"/>
      <c r="JWM25" s="9"/>
      <c r="JWN25" s="9"/>
      <c r="JWO25" s="9"/>
      <c r="JWP25" s="10"/>
      <c r="JWQ25" s="11"/>
      <c r="JWR25" s="12"/>
      <c r="JWS25" s="12"/>
      <c r="JWT25" s="12"/>
      <c r="JWU25" s="13"/>
      <c r="JWV25" s="9"/>
      <c r="JWW25" s="9"/>
      <c r="JWX25" s="9"/>
      <c r="JWY25" s="9"/>
      <c r="JWZ25" s="10"/>
      <c r="JXA25" s="11"/>
      <c r="JXB25" s="12"/>
      <c r="JXC25" s="12"/>
      <c r="JXD25" s="12"/>
      <c r="JXE25" s="13"/>
      <c r="JXF25" s="9"/>
      <c r="JXG25" s="9"/>
      <c r="JXH25" s="9"/>
      <c r="JXI25" s="9"/>
      <c r="JXJ25" s="10"/>
      <c r="JXK25" s="11"/>
      <c r="JXL25" s="12"/>
      <c r="JXM25" s="12"/>
      <c r="JXN25" s="12"/>
      <c r="JXO25" s="13"/>
      <c r="JXP25" s="9"/>
      <c r="JXQ25" s="9"/>
      <c r="JXR25" s="9"/>
      <c r="JXS25" s="9"/>
      <c r="JXT25" s="10"/>
      <c r="JXU25" s="11"/>
      <c r="JXV25" s="12"/>
      <c r="JXW25" s="12"/>
      <c r="JXX25" s="12"/>
      <c r="JXY25" s="13"/>
      <c r="JXZ25" s="9"/>
      <c r="JYA25" s="9"/>
      <c r="JYB25" s="9"/>
      <c r="JYC25" s="9"/>
      <c r="JYD25" s="10"/>
      <c r="JYE25" s="11"/>
      <c r="JYF25" s="12"/>
      <c r="JYG25" s="12"/>
      <c r="JYH25" s="12"/>
      <c r="JYI25" s="13"/>
      <c r="JYJ25" s="9"/>
      <c r="JYK25" s="9"/>
      <c r="JYL25" s="9"/>
      <c r="JYM25" s="9"/>
      <c r="JYN25" s="10"/>
      <c r="JYO25" s="11"/>
      <c r="JYP25" s="12"/>
      <c r="JYQ25" s="12"/>
      <c r="JYR25" s="12"/>
      <c r="JYS25" s="13"/>
      <c r="JYT25" s="9"/>
      <c r="JYU25" s="9"/>
      <c r="JYV25" s="9"/>
      <c r="JYW25" s="9"/>
      <c r="JYX25" s="10"/>
      <c r="JYY25" s="11"/>
      <c r="JYZ25" s="12"/>
      <c r="JZA25" s="12"/>
      <c r="JZB25" s="12"/>
      <c r="JZC25" s="13"/>
      <c r="JZD25" s="9"/>
      <c r="JZE25" s="9"/>
      <c r="JZF25" s="9"/>
      <c r="JZG25" s="9"/>
      <c r="JZH25" s="10"/>
      <c r="JZI25" s="11"/>
      <c r="JZJ25" s="12"/>
      <c r="JZK25" s="12"/>
      <c r="JZL25" s="12"/>
      <c r="JZM25" s="13"/>
      <c r="JZN25" s="9"/>
      <c r="JZO25" s="9"/>
      <c r="JZP25" s="9"/>
      <c r="JZQ25" s="9"/>
      <c r="JZR25" s="10"/>
      <c r="JZS25" s="11"/>
      <c r="JZT25" s="12"/>
      <c r="JZU25" s="12"/>
      <c r="JZV25" s="12"/>
      <c r="JZW25" s="13"/>
      <c r="JZX25" s="9"/>
      <c r="JZY25" s="9"/>
      <c r="JZZ25" s="9"/>
      <c r="KAA25" s="9"/>
      <c r="KAB25" s="10"/>
      <c r="KAC25" s="11"/>
      <c r="KAD25" s="12"/>
      <c r="KAE25" s="12"/>
      <c r="KAF25" s="12"/>
      <c r="KAG25" s="13"/>
      <c r="KAH25" s="9"/>
      <c r="KAI25" s="9"/>
      <c r="KAJ25" s="9"/>
      <c r="KAK25" s="9"/>
      <c r="KAL25" s="10"/>
      <c r="KAM25" s="11"/>
      <c r="KAN25" s="12"/>
      <c r="KAO25" s="12"/>
      <c r="KAP25" s="12"/>
      <c r="KAQ25" s="13"/>
      <c r="KAR25" s="9"/>
      <c r="KAS25" s="9"/>
      <c r="KAT25" s="9"/>
      <c r="KAU25" s="9"/>
      <c r="KAV25" s="10"/>
      <c r="KAW25" s="11"/>
      <c r="KAX25" s="12"/>
      <c r="KAY25" s="12"/>
      <c r="KAZ25" s="12"/>
      <c r="KBA25" s="13"/>
      <c r="KBB25" s="9"/>
      <c r="KBC25" s="9"/>
      <c r="KBD25" s="9"/>
      <c r="KBE25" s="9"/>
      <c r="KBF25" s="10"/>
      <c r="KBG25" s="11"/>
      <c r="KBH25" s="12"/>
      <c r="KBI25" s="12"/>
      <c r="KBJ25" s="12"/>
      <c r="KBK25" s="13"/>
      <c r="KBL25" s="9"/>
      <c r="KBM25" s="9"/>
      <c r="KBN25" s="9"/>
      <c r="KBO25" s="9"/>
      <c r="KBP25" s="10"/>
      <c r="KBQ25" s="11"/>
      <c r="KBR25" s="12"/>
      <c r="KBS25" s="12"/>
      <c r="KBT25" s="12"/>
      <c r="KBU25" s="13"/>
      <c r="KBV25" s="9"/>
      <c r="KBW25" s="9"/>
      <c r="KBX25" s="9"/>
      <c r="KBY25" s="9"/>
      <c r="KBZ25" s="10"/>
      <c r="KCA25" s="11"/>
      <c r="KCB25" s="12"/>
      <c r="KCC25" s="12"/>
      <c r="KCD25" s="12"/>
      <c r="KCE25" s="13"/>
      <c r="KCF25" s="9"/>
      <c r="KCG25" s="9"/>
      <c r="KCH25" s="9"/>
      <c r="KCI25" s="9"/>
      <c r="KCJ25" s="10"/>
      <c r="KCK25" s="11"/>
      <c r="KCL25" s="12"/>
      <c r="KCM25" s="12"/>
      <c r="KCN25" s="12"/>
      <c r="KCO25" s="13"/>
      <c r="KCP25" s="9"/>
      <c r="KCQ25" s="9"/>
      <c r="KCR25" s="9"/>
      <c r="KCS25" s="9"/>
      <c r="KCT25" s="10"/>
      <c r="KCU25" s="11"/>
      <c r="KCV25" s="12"/>
      <c r="KCW25" s="12"/>
      <c r="KCX25" s="12"/>
      <c r="KCY25" s="13"/>
      <c r="KCZ25" s="9"/>
      <c r="KDA25" s="9"/>
      <c r="KDB25" s="9"/>
      <c r="KDC25" s="9"/>
      <c r="KDD25" s="10"/>
      <c r="KDE25" s="11"/>
      <c r="KDF25" s="12"/>
      <c r="KDG25" s="12"/>
      <c r="KDH25" s="12"/>
      <c r="KDI25" s="13"/>
      <c r="KDJ25" s="9"/>
      <c r="KDK25" s="9"/>
      <c r="KDL25" s="9"/>
      <c r="KDM25" s="9"/>
      <c r="KDN25" s="10"/>
      <c r="KDO25" s="11"/>
      <c r="KDP25" s="12"/>
      <c r="KDQ25" s="12"/>
      <c r="KDR25" s="12"/>
      <c r="KDS25" s="13"/>
      <c r="KDT25" s="9"/>
      <c r="KDU25" s="9"/>
      <c r="KDV25" s="9"/>
      <c r="KDW25" s="9"/>
      <c r="KDX25" s="10"/>
      <c r="KDY25" s="11"/>
      <c r="KDZ25" s="12"/>
      <c r="KEA25" s="12"/>
      <c r="KEB25" s="12"/>
      <c r="KEC25" s="13"/>
      <c r="KED25" s="9"/>
      <c r="KEE25" s="9"/>
      <c r="KEF25" s="9"/>
      <c r="KEG25" s="9"/>
      <c r="KEH25" s="10"/>
      <c r="KEI25" s="11"/>
      <c r="KEJ25" s="12"/>
      <c r="KEK25" s="12"/>
      <c r="KEL25" s="12"/>
      <c r="KEM25" s="13"/>
      <c r="KEN25" s="9"/>
      <c r="KEO25" s="9"/>
      <c r="KEP25" s="9"/>
      <c r="KEQ25" s="9"/>
      <c r="KER25" s="10"/>
      <c r="KES25" s="11"/>
      <c r="KET25" s="12"/>
      <c r="KEU25" s="12"/>
      <c r="KEV25" s="12"/>
      <c r="KEW25" s="13"/>
      <c r="KEX25" s="9"/>
      <c r="KEY25" s="9"/>
      <c r="KEZ25" s="9"/>
      <c r="KFA25" s="9"/>
      <c r="KFB25" s="10"/>
      <c r="KFC25" s="11"/>
      <c r="KFD25" s="12"/>
      <c r="KFE25" s="12"/>
      <c r="KFF25" s="12"/>
      <c r="KFG25" s="13"/>
      <c r="KFH25" s="9"/>
      <c r="KFI25" s="9"/>
      <c r="KFJ25" s="9"/>
      <c r="KFK25" s="9"/>
      <c r="KFL25" s="10"/>
      <c r="KFM25" s="11"/>
      <c r="KFN25" s="12"/>
      <c r="KFO25" s="12"/>
      <c r="KFP25" s="12"/>
      <c r="KFQ25" s="13"/>
      <c r="KFR25" s="9"/>
      <c r="KFS25" s="9"/>
      <c r="KFT25" s="9"/>
      <c r="KFU25" s="9"/>
      <c r="KFV25" s="10"/>
      <c r="KFW25" s="11"/>
      <c r="KFX25" s="12"/>
      <c r="KFY25" s="12"/>
      <c r="KFZ25" s="12"/>
      <c r="KGA25" s="13"/>
      <c r="KGB25" s="9"/>
      <c r="KGC25" s="9"/>
      <c r="KGD25" s="9"/>
      <c r="KGE25" s="9"/>
      <c r="KGF25" s="10"/>
      <c r="KGG25" s="11"/>
      <c r="KGH25" s="12"/>
      <c r="KGI25" s="12"/>
      <c r="KGJ25" s="12"/>
      <c r="KGK25" s="13"/>
      <c r="KGL25" s="9"/>
      <c r="KGM25" s="9"/>
      <c r="KGN25" s="9"/>
      <c r="KGO25" s="9"/>
      <c r="KGP25" s="10"/>
      <c r="KGQ25" s="11"/>
      <c r="KGR25" s="12"/>
      <c r="KGS25" s="12"/>
      <c r="KGT25" s="12"/>
      <c r="KGU25" s="13"/>
      <c r="KGV25" s="9"/>
      <c r="KGW25" s="9"/>
      <c r="KGX25" s="9"/>
      <c r="KGY25" s="9"/>
      <c r="KGZ25" s="10"/>
      <c r="KHA25" s="11"/>
      <c r="KHB25" s="12"/>
      <c r="KHC25" s="12"/>
      <c r="KHD25" s="12"/>
      <c r="KHE25" s="13"/>
      <c r="KHF25" s="9"/>
      <c r="KHG25" s="9"/>
      <c r="KHH25" s="9"/>
      <c r="KHI25" s="9"/>
      <c r="KHJ25" s="10"/>
      <c r="KHK25" s="11"/>
      <c r="KHL25" s="12"/>
      <c r="KHM25" s="12"/>
      <c r="KHN25" s="12"/>
      <c r="KHO25" s="13"/>
      <c r="KHP25" s="9"/>
      <c r="KHQ25" s="9"/>
      <c r="KHR25" s="9"/>
      <c r="KHS25" s="9"/>
      <c r="KHT25" s="10"/>
      <c r="KHU25" s="11"/>
      <c r="KHV25" s="12"/>
      <c r="KHW25" s="12"/>
      <c r="KHX25" s="12"/>
      <c r="KHY25" s="13"/>
      <c r="KHZ25" s="9"/>
      <c r="KIA25" s="9"/>
      <c r="KIB25" s="9"/>
      <c r="KIC25" s="9"/>
      <c r="KID25" s="10"/>
      <c r="KIE25" s="11"/>
      <c r="KIF25" s="12"/>
      <c r="KIG25" s="12"/>
      <c r="KIH25" s="12"/>
      <c r="KII25" s="13"/>
      <c r="KIJ25" s="9"/>
      <c r="KIK25" s="9"/>
      <c r="KIL25" s="9"/>
      <c r="KIM25" s="9"/>
      <c r="KIN25" s="10"/>
      <c r="KIO25" s="11"/>
      <c r="KIP25" s="12"/>
      <c r="KIQ25" s="12"/>
      <c r="KIR25" s="12"/>
      <c r="KIS25" s="13"/>
      <c r="KIT25" s="9"/>
      <c r="KIU25" s="9"/>
      <c r="KIV25" s="9"/>
      <c r="KIW25" s="9"/>
      <c r="KIX25" s="10"/>
      <c r="KIY25" s="11"/>
      <c r="KIZ25" s="12"/>
      <c r="KJA25" s="12"/>
      <c r="KJB25" s="12"/>
      <c r="KJC25" s="13"/>
      <c r="KJD25" s="9"/>
      <c r="KJE25" s="9"/>
      <c r="KJF25" s="9"/>
      <c r="KJG25" s="9"/>
      <c r="KJH25" s="10"/>
      <c r="KJI25" s="11"/>
      <c r="KJJ25" s="12"/>
      <c r="KJK25" s="12"/>
      <c r="KJL25" s="12"/>
      <c r="KJM25" s="13"/>
      <c r="KJN25" s="9"/>
      <c r="KJO25" s="9"/>
      <c r="KJP25" s="9"/>
      <c r="KJQ25" s="9"/>
      <c r="KJR25" s="10"/>
      <c r="KJS25" s="11"/>
      <c r="KJT25" s="12"/>
      <c r="KJU25" s="12"/>
      <c r="KJV25" s="12"/>
      <c r="KJW25" s="13"/>
      <c r="KJX25" s="9"/>
      <c r="KJY25" s="9"/>
      <c r="KJZ25" s="9"/>
      <c r="KKA25" s="9"/>
      <c r="KKB25" s="10"/>
      <c r="KKC25" s="11"/>
      <c r="KKD25" s="12"/>
      <c r="KKE25" s="12"/>
      <c r="KKF25" s="12"/>
      <c r="KKG25" s="13"/>
      <c r="KKH25" s="9"/>
      <c r="KKI25" s="9"/>
      <c r="KKJ25" s="9"/>
      <c r="KKK25" s="9"/>
      <c r="KKL25" s="10"/>
      <c r="KKM25" s="11"/>
      <c r="KKN25" s="12"/>
      <c r="KKO25" s="12"/>
      <c r="KKP25" s="12"/>
      <c r="KKQ25" s="13"/>
      <c r="KKR25" s="9"/>
      <c r="KKS25" s="9"/>
      <c r="KKT25" s="9"/>
      <c r="KKU25" s="9"/>
      <c r="KKV25" s="10"/>
      <c r="KKW25" s="11"/>
      <c r="KKX25" s="12"/>
      <c r="KKY25" s="12"/>
      <c r="KKZ25" s="12"/>
      <c r="KLA25" s="13"/>
      <c r="KLB25" s="9"/>
      <c r="KLC25" s="9"/>
      <c r="KLD25" s="9"/>
      <c r="KLE25" s="9"/>
      <c r="KLF25" s="10"/>
      <c r="KLG25" s="11"/>
      <c r="KLH25" s="12"/>
      <c r="KLI25" s="12"/>
      <c r="KLJ25" s="12"/>
      <c r="KLK25" s="13"/>
      <c r="KLL25" s="9"/>
      <c r="KLM25" s="9"/>
      <c r="KLN25" s="9"/>
      <c r="KLO25" s="9"/>
      <c r="KLP25" s="10"/>
      <c r="KLQ25" s="11"/>
      <c r="KLR25" s="12"/>
      <c r="KLS25" s="12"/>
      <c r="KLT25" s="12"/>
      <c r="KLU25" s="13"/>
      <c r="KLV25" s="9"/>
      <c r="KLW25" s="9"/>
      <c r="KLX25" s="9"/>
      <c r="KLY25" s="9"/>
      <c r="KLZ25" s="10"/>
      <c r="KMA25" s="11"/>
      <c r="KMB25" s="12"/>
      <c r="KMC25" s="12"/>
      <c r="KMD25" s="12"/>
      <c r="KME25" s="13"/>
      <c r="KMF25" s="9"/>
      <c r="KMG25" s="9"/>
      <c r="KMH25" s="9"/>
      <c r="KMI25" s="9"/>
      <c r="KMJ25" s="10"/>
      <c r="KMK25" s="11"/>
      <c r="KML25" s="12"/>
      <c r="KMM25" s="12"/>
      <c r="KMN25" s="12"/>
      <c r="KMO25" s="13"/>
      <c r="KMP25" s="9"/>
      <c r="KMQ25" s="9"/>
      <c r="KMR25" s="9"/>
      <c r="KMS25" s="9"/>
      <c r="KMT25" s="10"/>
      <c r="KMU25" s="11"/>
      <c r="KMV25" s="12"/>
      <c r="KMW25" s="12"/>
      <c r="KMX25" s="12"/>
      <c r="KMY25" s="13"/>
      <c r="KMZ25" s="9"/>
      <c r="KNA25" s="9"/>
      <c r="KNB25" s="9"/>
      <c r="KNC25" s="9"/>
      <c r="KND25" s="10"/>
      <c r="KNE25" s="11"/>
      <c r="KNF25" s="12"/>
      <c r="KNG25" s="12"/>
      <c r="KNH25" s="12"/>
      <c r="KNI25" s="13"/>
      <c r="KNJ25" s="9"/>
      <c r="KNK25" s="9"/>
      <c r="KNL25" s="9"/>
      <c r="KNM25" s="9"/>
      <c r="KNN25" s="10"/>
      <c r="KNO25" s="11"/>
      <c r="KNP25" s="12"/>
      <c r="KNQ25" s="12"/>
      <c r="KNR25" s="12"/>
      <c r="KNS25" s="13"/>
      <c r="KNT25" s="9"/>
      <c r="KNU25" s="9"/>
      <c r="KNV25" s="9"/>
      <c r="KNW25" s="9"/>
      <c r="KNX25" s="10"/>
      <c r="KNY25" s="11"/>
      <c r="KNZ25" s="12"/>
      <c r="KOA25" s="12"/>
      <c r="KOB25" s="12"/>
      <c r="KOC25" s="13"/>
      <c r="KOD25" s="9"/>
      <c r="KOE25" s="9"/>
      <c r="KOF25" s="9"/>
      <c r="KOG25" s="9"/>
      <c r="KOH25" s="10"/>
      <c r="KOI25" s="11"/>
      <c r="KOJ25" s="12"/>
      <c r="KOK25" s="12"/>
      <c r="KOL25" s="12"/>
      <c r="KOM25" s="13"/>
      <c r="KON25" s="9"/>
      <c r="KOO25" s="9"/>
      <c r="KOP25" s="9"/>
      <c r="KOQ25" s="9"/>
      <c r="KOR25" s="10"/>
      <c r="KOS25" s="11"/>
      <c r="KOT25" s="12"/>
      <c r="KOU25" s="12"/>
      <c r="KOV25" s="12"/>
      <c r="KOW25" s="13"/>
      <c r="KOX25" s="9"/>
      <c r="KOY25" s="9"/>
      <c r="KOZ25" s="9"/>
      <c r="KPA25" s="9"/>
      <c r="KPB25" s="10"/>
      <c r="KPC25" s="11"/>
      <c r="KPD25" s="12"/>
      <c r="KPE25" s="12"/>
      <c r="KPF25" s="12"/>
      <c r="KPG25" s="13"/>
      <c r="KPH25" s="9"/>
      <c r="KPI25" s="9"/>
      <c r="KPJ25" s="9"/>
      <c r="KPK25" s="9"/>
      <c r="KPL25" s="10"/>
      <c r="KPM25" s="11"/>
      <c r="KPN25" s="12"/>
      <c r="KPO25" s="12"/>
      <c r="KPP25" s="12"/>
      <c r="KPQ25" s="13"/>
      <c r="KPR25" s="9"/>
      <c r="KPS25" s="9"/>
      <c r="KPT25" s="9"/>
      <c r="KPU25" s="9"/>
      <c r="KPV25" s="10"/>
      <c r="KPW25" s="11"/>
      <c r="KPX25" s="12"/>
      <c r="KPY25" s="12"/>
      <c r="KPZ25" s="12"/>
      <c r="KQA25" s="13"/>
      <c r="KQB25" s="9"/>
      <c r="KQC25" s="9"/>
      <c r="KQD25" s="9"/>
      <c r="KQE25" s="9"/>
      <c r="KQF25" s="10"/>
      <c r="KQG25" s="11"/>
      <c r="KQH25" s="12"/>
      <c r="KQI25" s="12"/>
      <c r="KQJ25" s="12"/>
      <c r="KQK25" s="13"/>
      <c r="KQL25" s="9"/>
      <c r="KQM25" s="9"/>
      <c r="KQN25" s="9"/>
      <c r="KQO25" s="9"/>
      <c r="KQP25" s="10"/>
      <c r="KQQ25" s="11"/>
      <c r="KQR25" s="12"/>
      <c r="KQS25" s="12"/>
      <c r="KQT25" s="12"/>
      <c r="KQU25" s="13"/>
      <c r="KQV25" s="9"/>
      <c r="KQW25" s="9"/>
      <c r="KQX25" s="9"/>
      <c r="KQY25" s="9"/>
      <c r="KQZ25" s="10"/>
      <c r="KRA25" s="11"/>
      <c r="KRB25" s="12"/>
      <c r="KRC25" s="12"/>
      <c r="KRD25" s="12"/>
      <c r="KRE25" s="13"/>
      <c r="KRF25" s="9"/>
      <c r="KRG25" s="9"/>
      <c r="KRH25" s="9"/>
      <c r="KRI25" s="9"/>
      <c r="KRJ25" s="10"/>
      <c r="KRK25" s="11"/>
      <c r="KRL25" s="12"/>
      <c r="KRM25" s="12"/>
      <c r="KRN25" s="12"/>
      <c r="KRO25" s="13"/>
      <c r="KRP25" s="9"/>
      <c r="KRQ25" s="9"/>
      <c r="KRR25" s="9"/>
      <c r="KRS25" s="9"/>
      <c r="KRT25" s="10"/>
      <c r="KRU25" s="11"/>
      <c r="KRV25" s="12"/>
      <c r="KRW25" s="12"/>
      <c r="KRX25" s="12"/>
      <c r="KRY25" s="13"/>
      <c r="KRZ25" s="9"/>
      <c r="KSA25" s="9"/>
      <c r="KSB25" s="9"/>
      <c r="KSC25" s="9"/>
      <c r="KSD25" s="10"/>
      <c r="KSE25" s="11"/>
      <c r="KSF25" s="12"/>
      <c r="KSG25" s="12"/>
      <c r="KSH25" s="12"/>
      <c r="KSI25" s="13"/>
      <c r="KSJ25" s="9"/>
      <c r="KSK25" s="9"/>
      <c r="KSL25" s="9"/>
      <c r="KSM25" s="9"/>
      <c r="KSN25" s="10"/>
      <c r="KSO25" s="11"/>
      <c r="KSP25" s="12"/>
      <c r="KSQ25" s="12"/>
      <c r="KSR25" s="12"/>
      <c r="KSS25" s="13"/>
      <c r="KST25" s="9"/>
      <c r="KSU25" s="9"/>
      <c r="KSV25" s="9"/>
      <c r="KSW25" s="9"/>
      <c r="KSX25" s="10"/>
      <c r="KSY25" s="11"/>
      <c r="KSZ25" s="12"/>
      <c r="KTA25" s="12"/>
      <c r="KTB25" s="12"/>
      <c r="KTC25" s="13"/>
      <c r="KTD25" s="9"/>
      <c r="KTE25" s="9"/>
      <c r="KTF25" s="9"/>
      <c r="KTG25" s="9"/>
      <c r="KTH25" s="10"/>
      <c r="KTI25" s="11"/>
      <c r="KTJ25" s="12"/>
      <c r="KTK25" s="12"/>
      <c r="KTL25" s="12"/>
      <c r="KTM25" s="13"/>
      <c r="KTN25" s="9"/>
      <c r="KTO25" s="9"/>
      <c r="KTP25" s="9"/>
      <c r="KTQ25" s="9"/>
      <c r="KTR25" s="10"/>
      <c r="KTS25" s="11"/>
      <c r="KTT25" s="12"/>
      <c r="KTU25" s="12"/>
      <c r="KTV25" s="12"/>
      <c r="KTW25" s="13"/>
      <c r="KTX25" s="9"/>
      <c r="KTY25" s="9"/>
      <c r="KTZ25" s="9"/>
      <c r="KUA25" s="9"/>
      <c r="KUB25" s="10"/>
      <c r="KUC25" s="11"/>
      <c r="KUD25" s="12"/>
      <c r="KUE25" s="12"/>
      <c r="KUF25" s="12"/>
      <c r="KUG25" s="13"/>
      <c r="KUH25" s="9"/>
      <c r="KUI25" s="9"/>
      <c r="KUJ25" s="9"/>
      <c r="KUK25" s="9"/>
      <c r="KUL25" s="10"/>
      <c r="KUM25" s="11"/>
      <c r="KUN25" s="12"/>
      <c r="KUO25" s="12"/>
      <c r="KUP25" s="12"/>
      <c r="KUQ25" s="13"/>
      <c r="KUR25" s="9"/>
      <c r="KUS25" s="9"/>
      <c r="KUT25" s="9"/>
      <c r="KUU25" s="9"/>
      <c r="KUV25" s="10"/>
      <c r="KUW25" s="11"/>
      <c r="KUX25" s="12"/>
      <c r="KUY25" s="12"/>
      <c r="KUZ25" s="12"/>
      <c r="KVA25" s="13"/>
      <c r="KVB25" s="9"/>
      <c r="KVC25" s="9"/>
      <c r="KVD25" s="9"/>
      <c r="KVE25" s="9"/>
      <c r="KVF25" s="10"/>
      <c r="KVG25" s="11"/>
      <c r="KVH25" s="12"/>
      <c r="KVI25" s="12"/>
      <c r="KVJ25" s="12"/>
      <c r="KVK25" s="13"/>
      <c r="KVL25" s="9"/>
      <c r="KVM25" s="9"/>
      <c r="KVN25" s="9"/>
      <c r="KVO25" s="9"/>
      <c r="KVP25" s="10"/>
      <c r="KVQ25" s="11"/>
      <c r="KVR25" s="12"/>
      <c r="KVS25" s="12"/>
      <c r="KVT25" s="12"/>
      <c r="KVU25" s="13"/>
      <c r="KVV25" s="9"/>
      <c r="KVW25" s="9"/>
      <c r="KVX25" s="9"/>
      <c r="KVY25" s="9"/>
      <c r="KVZ25" s="10"/>
      <c r="KWA25" s="11"/>
      <c r="KWB25" s="12"/>
      <c r="KWC25" s="12"/>
      <c r="KWD25" s="12"/>
      <c r="KWE25" s="13"/>
      <c r="KWF25" s="9"/>
      <c r="KWG25" s="9"/>
      <c r="KWH25" s="9"/>
      <c r="KWI25" s="9"/>
      <c r="KWJ25" s="10"/>
      <c r="KWK25" s="11"/>
      <c r="KWL25" s="12"/>
      <c r="KWM25" s="12"/>
      <c r="KWN25" s="12"/>
      <c r="KWO25" s="13"/>
      <c r="KWP25" s="9"/>
      <c r="KWQ25" s="9"/>
      <c r="KWR25" s="9"/>
      <c r="KWS25" s="9"/>
      <c r="KWT25" s="10"/>
      <c r="KWU25" s="11"/>
      <c r="KWV25" s="12"/>
      <c r="KWW25" s="12"/>
      <c r="KWX25" s="12"/>
      <c r="KWY25" s="13"/>
      <c r="KWZ25" s="9"/>
      <c r="KXA25" s="9"/>
      <c r="KXB25" s="9"/>
      <c r="KXC25" s="9"/>
      <c r="KXD25" s="10"/>
      <c r="KXE25" s="11"/>
      <c r="KXF25" s="12"/>
      <c r="KXG25" s="12"/>
      <c r="KXH25" s="12"/>
      <c r="KXI25" s="13"/>
      <c r="KXJ25" s="9"/>
      <c r="KXK25" s="9"/>
      <c r="KXL25" s="9"/>
      <c r="KXM25" s="9"/>
      <c r="KXN25" s="10"/>
      <c r="KXO25" s="11"/>
      <c r="KXP25" s="12"/>
      <c r="KXQ25" s="12"/>
      <c r="KXR25" s="12"/>
      <c r="KXS25" s="13"/>
      <c r="KXT25" s="9"/>
      <c r="KXU25" s="9"/>
      <c r="KXV25" s="9"/>
      <c r="KXW25" s="9"/>
      <c r="KXX25" s="10"/>
      <c r="KXY25" s="11"/>
      <c r="KXZ25" s="12"/>
      <c r="KYA25" s="12"/>
      <c r="KYB25" s="12"/>
      <c r="KYC25" s="13"/>
      <c r="KYD25" s="9"/>
      <c r="KYE25" s="9"/>
      <c r="KYF25" s="9"/>
      <c r="KYG25" s="9"/>
      <c r="KYH25" s="10"/>
      <c r="KYI25" s="11"/>
      <c r="KYJ25" s="12"/>
      <c r="KYK25" s="12"/>
      <c r="KYL25" s="12"/>
      <c r="KYM25" s="13"/>
      <c r="KYN25" s="9"/>
      <c r="KYO25" s="9"/>
      <c r="KYP25" s="9"/>
      <c r="KYQ25" s="9"/>
      <c r="KYR25" s="10"/>
      <c r="KYS25" s="11"/>
      <c r="KYT25" s="12"/>
      <c r="KYU25" s="12"/>
      <c r="KYV25" s="12"/>
      <c r="KYW25" s="13"/>
      <c r="KYX25" s="9"/>
      <c r="KYY25" s="9"/>
      <c r="KYZ25" s="9"/>
      <c r="KZA25" s="9"/>
      <c r="KZB25" s="10"/>
      <c r="KZC25" s="11"/>
      <c r="KZD25" s="12"/>
      <c r="KZE25" s="12"/>
      <c r="KZF25" s="12"/>
      <c r="KZG25" s="13"/>
      <c r="KZH25" s="9"/>
      <c r="KZI25" s="9"/>
      <c r="KZJ25" s="9"/>
      <c r="KZK25" s="9"/>
      <c r="KZL25" s="10"/>
      <c r="KZM25" s="11"/>
      <c r="KZN25" s="12"/>
      <c r="KZO25" s="12"/>
      <c r="KZP25" s="12"/>
      <c r="KZQ25" s="13"/>
      <c r="KZR25" s="9"/>
      <c r="KZS25" s="9"/>
      <c r="KZT25" s="9"/>
      <c r="KZU25" s="9"/>
      <c r="KZV25" s="10"/>
      <c r="KZW25" s="11"/>
      <c r="KZX25" s="12"/>
      <c r="KZY25" s="12"/>
      <c r="KZZ25" s="12"/>
      <c r="LAA25" s="13"/>
      <c r="LAB25" s="9"/>
      <c r="LAC25" s="9"/>
      <c r="LAD25" s="9"/>
      <c r="LAE25" s="9"/>
      <c r="LAF25" s="10"/>
      <c r="LAG25" s="11"/>
      <c r="LAH25" s="12"/>
      <c r="LAI25" s="12"/>
      <c r="LAJ25" s="12"/>
      <c r="LAK25" s="13"/>
      <c r="LAL25" s="9"/>
      <c r="LAM25" s="9"/>
      <c r="LAN25" s="9"/>
      <c r="LAO25" s="9"/>
      <c r="LAP25" s="10"/>
      <c r="LAQ25" s="11"/>
      <c r="LAR25" s="12"/>
      <c r="LAS25" s="12"/>
      <c r="LAT25" s="12"/>
      <c r="LAU25" s="13"/>
      <c r="LAV25" s="9"/>
      <c r="LAW25" s="9"/>
      <c r="LAX25" s="9"/>
      <c r="LAY25" s="9"/>
      <c r="LAZ25" s="10"/>
      <c r="LBA25" s="11"/>
      <c r="LBB25" s="12"/>
      <c r="LBC25" s="12"/>
      <c r="LBD25" s="12"/>
      <c r="LBE25" s="13"/>
      <c r="LBF25" s="9"/>
      <c r="LBG25" s="9"/>
      <c r="LBH25" s="9"/>
      <c r="LBI25" s="9"/>
      <c r="LBJ25" s="10"/>
      <c r="LBK25" s="11"/>
      <c r="LBL25" s="12"/>
      <c r="LBM25" s="12"/>
      <c r="LBN25" s="12"/>
      <c r="LBO25" s="13"/>
      <c r="LBP25" s="9"/>
      <c r="LBQ25" s="9"/>
      <c r="LBR25" s="9"/>
      <c r="LBS25" s="9"/>
      <c r="LBT25" s="10"/>
      <c r="LBU25" s="11"/>
      <c r="LBV25" s="12"/>
      <c r="LBW25" s="12"/>
      <c r="LBX25" s="12"/>
      <c r="LBY25" s="13"/>
      <c r="LBZ25" s="9"/>
      <c r="LCA25" s="9"/>
      <c r="LCB25" s="9"/>
      <c r="LCC25" s="9"/>
      <c r="LCD25" s="10"/>
      <c r="LCE25" s="11"/>
      <c r="LCF25" s="12"/>
      <c r="LCG25" s="12"/>
      <c r="LCH25" s="12"/>
      <c r="LCI25" s="13"/>
      <c r="LCJ25" s="9"/>
      <c r="LCK25" s="9"/>
      <c r="LCL25" s="9"/>
      <c r="LCM25" s="9"/>
      <c r="LCN25" s="10"/>
      <c r="LCO25" s="11"/>
      <c r="LCP25" s="12"/>
      <c r="LCQ25" s="12"/>
      <c r="LCR25" s="12"/>
      <c r="LCS25" s="13"/>
      <c r="LCT25" s="9"/>
      <c r="LCU25" s="9"/>
      <c r="LCV25" s="9"/>
      <c r="LCW25" s="9"/>
      <c r="LCX25" s="10"/>
      <c r="LCY25" s="11"/>
      <c r="LCZ25" s="12"/>
      <c r="LDA25" s="12"/>
      <c r="LDB25" s="12"/>
      <c r="LDC25" s="13"/>
      <c r="LDD25" s="9"/>
      <c r="LDE25" s="9"/>
      <c r="LDF25" s="9"/>
      <c r="LDG25" s="9"/>
      <c r="LDH25" s="10"/>
      <c r="LDI25" s="11"/>
      <c r="LDJ25" s="12"/>
      <c r="LDK25" s="12"/>
      <c r="LDL25" s="12"/>
      <c r="LDM25" s="13"/>
      <c r="LDN25" s="9"/>
      <c r="LDO25" s="9"/>
      <c r="LDP25" s="9"/>
      <c r="LDQ25" s="9"/>
      <c r="LDR25" s="10"/>
      <c r="LDS25" s="11"/>
      <c r="LDT25" s="12"/>
      <c r="LDU25" s="12"/>
      <c r="LDV25" s="12"/>
      <c r="LDW25" s="13"/>
      <c r="LDX25" s="9"/>
      <c r="LDY25" s="9"/>
      <c r="LDZ25" s="9"/>
      <c r="LEA25" s="9"/>
      <c r="LEB25" s="10"/>
      <c r="LEC25" s="11"/>
      <c r="LED25" s="12"/>
      <c r="LEE25" s="12"/>
      <c r="LEF25" s="12"/>
      <c r="LEG25" s="13"/>
      <c r="LEH25" s="9"/>
      <c r="LEI25" s="9"/>
      <c r="LEJ25" s="9"/>
      <c r="LEK25" s="9"/>
      <c r="LEL25" s="10"/>
      <c r="LEM25" s="11"/>
      <c r="LEN25" s="12"/>
      <c r="LEO25" s="12"/>
      <c r="LEP25" s="12"/>
      <c r="LEQ25" s="13"/>
      <c r="LER25" s="9"/>
      <c r="LES25" s="9"/>
      <c r="LET25" s="9"/>
      <c r="LEU25" s="9"/>
      <c r="LEV25" s="10"/>
      <c r="LEW25" s="11"/>
      <c r="LEX25" s="12"/>
      <c r="LEY25" s="12"/>
      <c r="LEZ25" s="12"/>
      <c r="LFA25" s="13"/>
      <c r="LFB25" s="9"/>
      <c r="LFC25" s="9"/>
      <c r="LFD25" s="9"/>
      <c r="LFE25" s="9"/>
      <c r="LFF25" s="10"/>
      <c r="LFG25" s="11"/>
      <c r="LFH25" s="12"/>
      <c r="LFI25" s="12"/>
      <c r="LFJ25" s="12"/>
      <c r="LFK25" s="13"/>
      <c r="LFL25" s="9"/>
      <c r="LFM25" s="9"/>
      <c r="LFN25" s="9"/>
      <c r="LFO25" s="9"/>
      <c r="LFP25" s="10"/>
      <c r="LFQ25" s="11"/>
      <c r="LFR25" s="12"/>
      <c r="LFS25" s="12"/>
      <c r="LFT25" s="12"/>
      <c r="LFU25" s="13"/>
      <c r="LFV25" s="9"/>
      <c r="LFW25" s="9"/>
      <c r="LFX25" s="9"/>
      <c r="LFY25" s="9"/>
      <c r="LFZ25" s="10"/>
      <c r="LGA25" s="11"/>
      <c r="LGB25" s="12"/>
      <c r="LGC25" s="12"/>
      <c r="LGD25" s="12"/>
      <c r="LGE25" s="13"/>
      <c r="LGF25" s="9"/>
      <c r="LGG25" s="9"/>
      <c r="LGH25" s="9"/>
      <c r="LGI25" s="9"/>
      <c r="LGJ25" s="10"/>
      <c r="LGK25" s="11"/>
      <c r="LGL25" s="12"/>
      <c r="LGM25" s="12"/>
      <c r="LGN25" s="12"/>
      <c r="LGO25" s="13"/>
      <c r="LGP25" s="9"/>
      <c r="LGQ25" s="9"/>
      <c r="LGR25" s="9"/>
      <c r="LGS25" s="9"/>
      <c r="LGT25" s="10"/>
      <c r="LGU25" s="11"/>
      <c r="LGV25" s="12"/>
      <c r="LGW25" s="12"/>
      <c r="LGX25" s="12"/>
      <c r="LGY25" s="13"/>
      <c r="LGZ25" s="9"/>
      <c r="LHA25" s="9"/>
      <c r="LHB25" s="9"/>
      <c r="LHC25" s="9"/>
      <c r="LHD25" s="10"/>
      <c r="LHE25" s="11"/>
      <c r="LHF25" s="12"/>
      <c r="LHG25" s="12"/>
      <c r="LHH25" s="12"/>
      <c r="LHI25" s="13"/>
      <c r="LHJ25" s="9"/>
      <c r="LHK25" s="9"/>
      <c r="LHL25" s="9"/>
      <c r="LHM25" s="9"/>
      <c r="LHN25" s="10"/>
      <c r="LHO25" s="11"/>
      <c r="LHP25" s="12"/>
      <c r="LHQ25" s="12"/>
      <c r="LHR25" s="12"/>
      <c r="LHS25" s="13"/>
      <c r="LHT25" s="9"/>
      <c r="LHU25" s="9"/>
      <c r="LHV25" s="9"/>
      <c r="LHW25" s="9"/>
      <c r="LHX25" s="10"/>
      <c r="LHY25" s="11"/>
      <c r="LHZ25" s="12"/>
      <c r="LIA25" s="12"/>
      <c r="LIB25" s="12"/>
      <c r="LIC25" s="13"/>
      <c r="LID25" s="9"/>
      <c r="LIE25" s="9"/>
      <c r="LIF25" s="9"/>
      <c r="LIG25" s="9"/>
      <c r="LIH25" s="10"/>
      <c r="LII25" s="11"/>
      <c r="LIJ25" s="12"/>
      <c r="LIK25" s="12"/>
      <c r="LIL25" s="12"/>
      <c r="LIM25" s="13"/>
      <c r="LIN25" s="9"/>
      <c r="LIO25" s="9"/>
      <c r="LIP25" s="9"/>
      <c r="LIQ25" s="9"/>
      <c r="LIR25" s="10"/>
      <c r="LIS25" s="11"/>
      <c r="LIT25" s="12"/>
      <c r="LIU25" s="12"/>
      <c r="LIV25" s="12"/>
      <c r="LIW25" s="13"/>
      <c r="LIX25" s="9"/>
      <c r="LIY25" s="9"/>
      <c r="LIZ25" s="9"/>
      <c r="LJA25" s="9"/>
      <c r="LJB25" s="10"/>
      <c r="LJC25" s="11"/>
      <c r="LJD25" s="12"/>
      <c r="LJE25" s="12"/>
      <c r="LJF25" s="12"/>
      <c r="LJG25" s="13"/>
      <c r="LJH25" s="9"/>
      <c r="LJI25" s="9"/>
      <c r="LJJ25" s="9"/>
      <c r="LJK25" s="9"/>
      <c r="LJL25" s="10"/>
      <c r="LJM25" s="11"/>
      <c r="LJN25" s="12"/>
      <c r="LJO25" s="12"/>
      <c r="LJP25" s="12"/>
      <c r="LJQ25" s="13"/>
      <c r="LJR25" s="9"/>
      <c r="LJS25" s="9"/>
      <c r="LJT25" s="9"/>
      <c r="LJU25" s="9"/>
      <c r="LJV25" s="10"/>
      <c r="LJW25" s="11"/>
      <c r="LJX25" s="12"/>
      <c r="LJY25" s="12"/>
      <c r="LJZ25" s="12"/>
      <c r="LKA25" s="13"/>
      <c r="LKB25" s="9"/>
      <c r="LKC25" s="9"/>
      <c r="LKD25" s="9"/>
      <c r="LKE25" s="9"/>
      <c r="LKF25" s="10"/>
      <c r="LKG25" s="11"/>
      <c r="LKH25" s="12"/>
      <c r="LKI25" s="12"/>
      <c r="LKJ25" s="12"/>
      <c r="LKK25" s="13"/>
      <c r="LKL25" s="9"/>
      <c r="LKM25" s="9"/>
      <c r="LKN25" s="9"/>
      <c r="LKO25" s="9"/>
      <c r="LKP25" s="10"/>
      <c r="LKQ25" s="11"/>
      <c r="LKR25" s="12"/>
      <c r="LKS25" s="12"/>
      <c r="LKT25" s="12"/>
      <c r="LKU25" s="13"/>
      <c r="LKV25" s="9"/>
      <c r="LKW25" s="9"/>
      <c r="LKX25" s="9"/>
      <c r="LKY25" s="9"/>
      <c r="LKZ25" s="10"/>
      <c r="LLA25" s="11"/>
      <c r="LLB25" s="12"/>
      <c r="LLC25" s="12"/>
      <c r="LLD25" s="12"/>
      <c r="LLE25" s="13"/>
      <c r="LLF25" s="9"/>
      <c r="LLG25" s="9"/>
      <c r="LLH25" s="9"/>
      <c r="LLI25" s="9"/>
      <c r="LLJ25" s="10"/>
      <c r="LLK25" s="11"/>
      <c r="LLL25" s="12"/>
      <c r="LLM25" s="12"/>
      <c r="LLN25" s="12"/>
      <c r="LLO25" s="13"/>
      <c r="LLP25" s="9"/>
      <c r="LLQ25" s="9"/>
      <c r="LLR25" s="9"/>
      <c r="LLS25" s="9"/>
      <c r="LLT25" s="10"/>
      <c r="LLU25" s="11"/>
      <c r="LLV25" s="12"/>
      <c r="LLW25" s="12"/>
      <c r="LLX25" s="12"/>
      <c r="LLY25" s="13"/>
      <c r="LLZ25" s="9"/>
      <c r="LMA25" s="9"/>
      <c r="LMB25" s="9"/>
      <c r="LMC25" s="9"/>
      <c r="LMD25" s="10"/>
      <c r="LME25" s="11"/>
      <c r="LMF25" s="12"/>
      <c r="LMG25" s="12"/>
      <c r="LMH25" s="12"/>
      <c r="LMI25" s="13"/>
      <c r="LMJ25" s="9"/>
      <c r="LMK25" s="9"/>
      <c r="LML25" s="9"/>
      <c r="LMM25" s="9"/>
      <c r="LMN25" s="10"/>
      <c r="LMO25" s="11"/>
      <c r="LMP25" s="12"/>
      <c r="LMQ25" s="12"/>
      <c r="LMR25" s="12"/>
      <c r="LMS25" s="13"/>
      <c r="LMT25" s="9"/>
      <c r="LMU25" s="9"/>
      <c r="LMV25" s="9"/>
      <c r="LMW25" s="9"/>
      <c r="LMX25" s="10"/>
      <c r="LMY25" s="11"/>
      <c r="LMZ25" s="12"/>
      <c r="LNA25" s="12"/>
      <c r="LNB25" s="12"/>
      <c r="LNC25" s="13"/>
      <c r="LND25" s="9"/>
      <c r="LNE25" s="9"/>
      <c r="LNF25" s="9"/>
      <c r="LNG25" s="9"/>
      <c r="LNH25" s="10"/>
      <c r="LNI25" s="11"/>
      <c r="LNJ25" s="12"/>
      <c r="LNK25" s="12"/>
      <c r="LNL25" s="12"/>
      <c r="LNM25" s="13"/>
      <c r="LNN25" s="9"/>
      <c r="LNO25" s="9"/>
      <c r="LNP25" s="9"/>
      <c r="LNQ25" s="9"/>
      <c r="LNR25" s="10"/>
      <c r="LNS25" s="11"/>
      <c r="LNT25" s="12"/>
      <c r="LNU25" s="12"/>
      <c r="LNV25" s="12"/>
      <c r="LNW25" s="13"/>
      <c r="LNX25" s="9"/>
      <c r="LNY25" s="9"/>
      <c r="LNZ25" s="9"/>
      <c r="LOA25" s="9"/>
      <c r="LOB25" s="10"/>
      <c r="LOC25" s="11"/>
      <c r="LOD25" s="12"/>
      <c r="LOE25" s="12"/>
      <c r="LOF25" s="12"/>
      <c r="LOG25" s="13"/>
      <c r="LOH25" s="9"/>
      <c r="LOI25" s="9"/>
      <c r="LOJ25" s="9"/>
      <c r="LOK25" s="9"/>
      <c r="LOL25" s="10"/>
      <c r="LOM25" s="11"/>
      <c r="LON25" s="12"/>
      <c r="LOO25" s="12"/>
      <c r="LOP25" s="12"/>
      <c r="LOQ25" s="13"/>
      <c r="LOR25" s="9"/>
      <c r="LOS25" s="9"/>
      <c r="LOT25" s="9"/>
      <c r="LOU25" s="9"/>
      <c r="LOV25" s="10"/>
      <c r="LOW25" s="11"/>
      <c r="LOX25" s="12"/>
      <c r="LOY25" s="12"/>
      <c r="LOZ25" s="12"/>
      <c r="LPA25" s="13"/>
      <c r="LPB25" s="9"/>
      <c r="LPC25" s="9"/>
      <c r="LPD25" s="9"/>
      <c r="LPE25" s="9"/>
      <c r="LPF25" s="10"/>
      <c r="LPG25" s="11"/>
      <c r="LPH25" s="12"/>
      <c r="LPI25" s="12"/>
      <c r="LPJ25" s="12"/>
      <c r="LPK25" s="13"/>
      <c r="LPL25" s="9"/>
      <c r="LPM25" s="9"/>
      <c r="LPN25" s="9"/>
      <c r="LPO25" s="9"/>
      <c r="LPP25" s="10"/>
      <c r="LPQ25" s="11"/>
      <c r="LPR25" s="12"/>
      <c r="LPS25" s="12"/>
      <c r="LPT25" s="12"/>
      <c r="LPU25" s="13"/>
      <c r="LPV25" s="9"/>
      <c r="LPW25" s="9"/>
      <c r="LPX25" s="9"/>
      <c r="LPY25" s="9"/>
      <c r="LPZ25" s="10"/>
      <c r="LQA25" s="11"/>
      <c r="LQB25" s="12"/>
      <c r="LQC25" s="12"/>
      <c r="LQD25" s="12"/>
      <c r="LQE25" s="13"/>
      <c r="LQF25" s="9"/>
      <c r="LQG25" s="9"/>
      <c r="LQH25" s="9"/>
      <c r="LQI25" s="9"/>
      <c r="LQJ25" s="10"/>
      <c r="LQK25" s="11"/>
      <c r="LQL25" s="12"/>
      <c r="LQM25" s="12"/>
      <c r="LQN25" s="12"/>
      <c r="LQO25" s="13"/>
      <c r="LQP25" s="9"/>
      <c r="LQQ25" s="9"/>
      <c r="LQR25" s="9"/>
      <c r="LQS25" s="9"/>
      <c r="LQT25" s="10"/>
      <c r="LQU25" s="11"/>
      <c r="LQV25" s="12"/>
      <c r="LQW25" s="12"/>
      <c r="LQX25" s="12"/>
      <c r="LQY25" s="13"/>
      <c r="LQZ25" s="9"/>
      <c r="LRA25" s="9"/>
      <c r="LRB25" s="9"/>
      <c r="LRC25" s="9"/>
      <c r="LRD25" s="10"/>
      <c r="LRE25" s="11"/>
      <c r="LRF25" s="12"/>
      <c r="LRG25" s="12"/>
      <c r="LRH25" s="12"/>
      <c r="LRI25" s="13"/>
      <c r="LRJ25" s="9"/>
      <c r="LRK25" s="9"/>
      <c r="LRL25" s="9"/>
      <c r="LRM25" s="9"/>
      <c r="LRN25" s="10"/>
      <c r="LRO25" s="11"/>
      <c r="LRP25" s="12"/>
      <c r="LRQ25" s="12"/>
      <c r="LRR25" s="12"/>
      <c r="LRS25" s="13"/>
      <c r="LRT25" s="9"/>
      <c r="LRU25" s="9"/>
      <c r="LRV25" s="9"/>
      <c r="LRW25" s="9"/>
      <c r="LRX25" s="10"/>
      <c r="LRY25" s="11"/>
      <c r="LRZ25" s="12"/>
      <c r="LSA25" s="12"/>
      <c r="LSB25" s="12"/>
      <c r="LSC25" s="13"/>
      <c r="LSD25" s="9"/>
      <c r="LSE25" s="9"/>
      <c r="LSF25" s="9"/>
      <c r="LSG25" s="9"/>
      <c r="LSH25" s="10"/>
      <c r="LSI25" s="11"/>
      <c r="LSJ25" s="12"/>
      <c r="LSK25" s="12"/>
      <c r="LSL25" s="12"/>
      <c r="LSM25" s="13"/>
      <c r="LSN25" s="9"/>
      <c r="LSO25" s="9"/>
      <c r="LSP25" s="9"/>
      <c r="LSQ25" s="9"/>
      <c r="LSR25" s="10"/>
      <c r="LSS25" s="11"/>
      <c r="LST25" s="12"/>
      <c r="LSU25" s="12"/>
      <c r="LSV25" s="12"/>
      <c r="LSW25" s="13"/>
      <c r="LSX25" s="9"/>
      <c r="LSY25" s="9"/>
      <c r="LSZ25" s="9"/>
      <c r="LTA25" s="9"/>
      <c r="LTB25" s="10"/>
      <c r="LTC25" s="11"/>
      <c r="LTD25" s="12"/>
      <c r="LTE25" s="12"/>
      <c r="LTF25" s="12"/>
      <c r="LTG25" s="13"/>
      <c r="LTH25" s="9"/>
      <c r="LTI25" s="9"/>
      <c r="LTJ25" s="9"/>
      <c r="LTK25" s="9"/>
      <c r="LTL25" s="10"/>
      <c r="LTM25" s="11"/>
      <c r="LTN25" s="12"/>
      <c r="LTO25" s="12"/>
      <c r="LTP25" s="12"/>
      <c r="LTQ25" s="13"/>
      <c r="LTR25" s="9"/>
      <c r="LTS25" s="9"/>
      <c r="LTT25" s="9"/>
      <c r="LTU25" s="9"/>
      <c r="LTV25" s="10"/>
      <c r="LTW25" s="11"/>
      <c r="LTX25" s="12"/>
      <c r="LTY25" s="12"/>
      <c r="LTZ25" s="12"/>
      <c r="LUA25" s="13"/>
      <c r="LUB25" s="9"/>
      <c r="LUC25" s="9"/>
      <c r="LUD25" s="9"/>
      <c r="LUE25" s="9"/>
      <c r="LUF25" s="10"/>
      <c r="LUG25" s="11"/>
      <c r="LUH25" s="12"/>
      <c r="LUI25" s="12"/>
      <c r="LUJ25" s="12"/>
      <c r="LUK25" s="13"/>
      <c r="LUL25" s="9"/>
      <c r="LUM25" s="9"/>
      <c r="LUN25" s="9"/>
      <c r="LUO25" s="9"/>
      <c r="LUP25" s="10"/>
      <c r="LUQ25" s="11"/>
      <c r="LUR25" s="12"/>
      <c r="LUS25" s="12"/>
      <c r="LUT25" s="12"/>
      <c r="LUU25" s="13"/>
      <c r="LUV25" s="9"/>
      <c r="LUW25" s="9"/>
      <c r="LUX25" s="9"/>
      <c r="LUY25" s="9"/>
      <c r="LUZ25" s="10"/>
      <c r="LVA25" s="11"/>
      <c r="LVB25" s="12"/>
      <c r="LVC25" s="12"/>
      <c r="LVD25" s="12"/>
      <c r="LVE25" s="13"/>
      <c r="LVF25" s="9"/>
      <c r="LVG25" s="9"/>
      <c r="LVH25" s="9"/>
      <c r="LVI25" s="9"/>
      <c r="LVJ25" s="10"/>
      <c r="LVK25" s="11"/>
      <c r="LVL25" s="12"/>
      <c r="LVM25" s="12"/>
      <c r="LVN25" s="12"/>
      <c r="LVO25" s="13"/>
      <c r="LVP25" s="9"/>
      <c r="LVQ25" s="9"/>
      <c r="LVR25" s="9"/>
      <c r="LVS25" s="9"/>
      <c r="LVT25" s="10"/>
      <c r="LVU25" s="11"/>
      <c r="LVV25" s="12"/>
      <c r="LVW25" s="12"/>
      <c r="LVX25" s="12"/>
      <c r="LVY25" s="13"/>
      <c r="LVZ25" s="9"/>
      <c r="LWA25" s="9"/>
      <c r="LWB25" s="9"/>
      <c r="LWC25" s="9"/>
      <c r="LWD25" s="10"/>
      <c r="LWE25" s="11"/>
      <c r="LWF25" s="12"/>
      <c r="LWG25" s="12"/>
      <c r="LWH25" s="12"/>
      <c r="LWI25" s="13"/>
      <c r="LWJ25" s="9"/>
      <c r="LWK25" s="9"/>
      <c r="LWL25" s="9"/>
      <c r="LWM25" s="9"/>
      <c r="LWN25" s="10"/>
      <c r="LWO25" s="11"/>
      <c r="LWP25" s="12"/>
      <c r="LWQ25" s="12"/>
      <c r="LWR25" s="12"/>
      <c r="LWS25" s="13"/>
      <c r="LWT25" s="9"/>
      <c r="LWU25" s="9"/>
      <c r="LWV25" s="9"/>
      <c r="LWW25" s="9"/>
      <c r="LWX25" s="10"/>
      <c r="LWY25" s="11"/>
      <c r="LWZ25" s="12"/>
      <c r="LXA25" s="12"/>
      <c r="LXB25" s="12"/>
      <c r="LXC25" s="13"/>
      <c r="LXD25" s="9"/>
      <c r="LXE25" s="9"/>
      <c r="LXF25" s="9"/>
      <c r="LXG25" s="9"/>
      <c r="LXH25" s="10"/>
      <c r="LXI25" s="11"/>
      <c r="LXJ25" s="12"/>
      <c r="LXK25" s="12"/>
      <c r="LXL25" s="12"/>
      <c r="LXM25" s="13"/>
      <c r="LXN25" s="9"/>
      <c r="LXO25" s="9"/>
      <c r="LXP25" s="9"/>
      <c r="LXQ25" s="9"/>
      <c r="LXR25" s="10"/>
      <c r="LXS25" s="11"/>
      <c r="LXT25" s="12"/>
      <c r="LXU25" s="12"/>
      <c r="LXV25" s="12"/>
      <c r="LXW25" s="13"/>
      <c r="LXX25" s="9"/>
      <c r="LXY25" s="9"/>
      <c r="LXZ25" s="9"/>
      <c r="LYA25" s="9"/>
      <c r="LYB25" s="10"/>
      <c r="LYC25" s="11"/>
      <c r="LYD25" s="12"/>
      <c r="LYE25" s="12"/>
      <c r="LYF25" s="12"/>
      <c r="LYG25" s="13"/>
      <c r="LYH25" s="9"/>
      <c r="LYI25" s="9"/>
      <c r="LYJ25" s="9"/>
      <c r="LYK25" s="9"/>
      <c r="LYL25" s="10"/>
      <c r="LYM25" s="11"/>
      <c r="LYN25" s="12"/>
      <c r="LYO25" s="12"/>
      <c r="LYP25" s="12"/>
      <c r="LYQ25" s="13"/>
      <c r="LYR25" s="9"/>
      <c r="LYS25" s="9"/>
      <c r="LYT25" s="9"/>
      <c r="LYU25" s="9"/>
      <c r="LYV25" s="10"/>
      <c r="LYW25" s="11"/>
      <c r="LYX25" s="12"/>
      <c r="LYY25" s="12"/>
      <c r="LYZ25" s="12"/>
      <c r="LZA25" s="13"/>
      <c r="LZB25" s="9"/>
      <c r="LZC25" s="9"/>
      <c r="LZD25" s="9"/>
      <c r="LZE25" s="9"/>
      <c r="LZF25" s="10"/>
      <c r="LZG25" s="11"/>
      <c r="LZH25" s="12"/>
      <c r="LZI25" s="12"/>
      <c r="LZJ25" s="12"/>
      <c r="LZK25" s="13"/>
      <c r="LZL25" s="9"/>
      <c r="LZM25" s="9"/>
      <c r="LZN25" s="9"/>
      <c r="LZO25" s="9"/>
      <c r="LZP25" s="10"/>
      <c r="LZQ25" s="11"/>
      <c r="LZR25" s="12"/>
      <c r="LZS25" s="12"/>
      <c r="LZT25" s="12"/>
      <c r="LZU25" s="13"/>
      <c r="LZV25" s="9"/>
      <c r="LZW25" s="9"/>
      <c r="LZX25" s="9"/>
      <c r="LZY25" s="9"/>
      <c r="LZZ25" s="10"/>
      <c r="MAA25" s="11"/>
      <c r="MAB25" s="12"/>
      <c r="MAC25" s="12"/>
      <c r="MAD25" s="12"/>
      <c r="MAE25" s="13"/>
      <c r="MAF25" s="9"/>
      <c r="MAG25" s="9"/>
      <c r="MAH25" s="9"/>
      <c r="MAI25" s="9"/>
      <c r="MAJ25" s="10"/>
      <c r="MAK25" s="11"/>
      <c r="MAL25" s="12"/>
      <c r="MAM25" s="12"/>
      <c r="MAN25" s="12"/>
      <c r="MAO25" s="13"/>
      <c r="MAP25" s="9"/>
      <c r="MAQ25" s="9"/>
      <c r="MAR25" s="9"/>
      <c r="MAS25" s="9"/>
      <c r="MAT25" s="10"/>
      <c r="MAU25" s="11"/>
      <c r="MAV25" s="12"/>
      <c r="MAW25" s="12"/>
      <c r="MAX25" s="12"/>
      <c r="MAY25" s="13"/>
      <c r="MAZ25" s="9"/>
      <c r="MBA25" s="9"/>
      <c r="MBB25" s="9"/>
      <c r="MBC25" s="9"/>
      <c r="MBD25" s="10"/>
      <c r="MBE25" s="11"/>
      <c r="MBF25" s="12"/>
      <c r="MBG25" s="12"/>
      <c r="MBH25" s="12"/>
      <c r="MBI25" s="13"/>
      <c r="MBJ25" s="9"/>
      <c r="MBK25" s="9"/>
      <c r="MBL25" s="9"/>
      <c r="MBM25" s="9"/>
      <c r="MBN25" s="10"/>
      <c r="MBO25" s="11"/>
      <c r="MBP25" s="12"/>
      <c r="MBQ25" s="12"/>
      <c r="MBR25" s="12"/>
      <c r="MBS25" s="13"/>
      <c r="MBT25" s="9"/>
      <c r="MBU25" s="9"/>
      <c r="MBV25" s="9"/>
      <c r="MBW25" s="9"/>
      <c r="MBX25" s="10"/>
      <c r="MBY25" s="11"/>
      <c r="MBZ25" s="12"/>
      <c r="MCA25" s="12"/>
      <c r="MCB25" s="12"/>
      <c r="MCC25" s="13"/>
      <c r="MCD25" s="9"/>
      <c r="MCE25" s="9"/>
      <c r="MCF25" s="9"/>
      <c r="MCG25" s="9"/>
      <c r="MCH25" s="10"/>
      <c r="MCI25" s="11"/>
      <c r="MCJ25" s="12"/>
      <c r="MCK25" s="12"/>
      <c r="MCL25" s="12"/>
      <c r="MCM25" s="13"/>
      <c r="MCN25" s="9"/>
      <c r="MCO25" s="9"/>
      <c r="MCP25" s="9"/>
      <c r="MCQ25" s="9"/>
      <c r="MCR25" s="10"/>
      <c r="MCS25" s="11"/>
      <c r="MCT25" s="12"/>
      <c r="MCU25" s="12"/>
      <c r="MCV25" s="12"/>
      <c r="MCW25" s="13"/>
      <c r="MCX25" s="9"/>
      <c r="MCY25" s="9"/>
      <c r="MCZ25" s="9"/>
      <c r="MDA25" s="9"/>
      <c r="MDB25" s="10"/>
      <c r="MDC25" s="11"/>
      <c r="MDD25" s="12"/>
      <c r="MDE25" s="12"/>
      <c r="MDF25" s="12"/>
      <c r="MDG25" s="13"/>
      <c r="MDH25" s="9"/>
      <c r="MDI25" s="9"/>
      <c r="MDJ25" s="9"/>
      <c r="MDK25" s="9"/>
      <c r="MDL25" s="10"/>
      <c r="MDM25" s="11"/>
      <c r="MDN25" s="12"/>
      <c r="MDO25" s="12"/>
      <c r="MDP25" s="12"/>
      <c r="MDQ25" s="13"/>
      <c r="MDR25" s="9"/>
      <c r="MDS25" s="9"/>
      <c r="MDT25" s="9"/>
      <c r="MDU25" s="9"/>
      <c r="MDV25" s="10"/>
      <c r="MDW25" s="11"/>
      <c r="MDX25" s="12"/>
      <c r="MDY25" s="12"/>
      <c r="MDZ25" s="12"/>
      <c r="MEA25" s="13"/>
      <c r="MEB25" s="9"/>
      <c r="MEC25" s="9"/>
      <c r="MED25" s="9"/>
      <c r="MEE25" s="9"/>
      <c r="MEF25" s="10"/>
      <c r="MEG25" s="11"/>
      <c r="MEH25" s="12"/>
      <c r="MEI25" s="12"/>
      <c r="MEJ25" s="12"/>
      <c r="MEK25" s="13"/>
      <c r="MEL25" s="9"/>
      <c r="MEM25" s="9"/>
      <c r="MEN25" s="9"/>
      <c r="MEO25" s="9"/>
      <c r="MEP25" s="10"/>
      <c r="MEQ25" s="11"/>
      <c r="MER25" s="12"/>
      <c r="MES25" s="12"/>
      <c r="MET25" s="12"/>
      <c r="MEU25" s="13"/>
      <c r="MEV25" s="9"/>
      <c r="MEW25" s="9"/>
      <c r="MEX25" s="9"/>
      <c r="MEY25" s="9"/>
      <c r="MEZ25" s="10"/>
      <c r="MFA25" s="11"/>
      <c r="MFB25" s="12"/>
      <c r="MFC25" s="12"/>
      <c r="MFD25" s="12"/>
      <c r="MFE25" s="13"/>
      <c r="MFF25" s="9"/>
      <c r="MFG25" s="9"/>
      <c r="MFH25" s="9"/>
      <c r="MFI25" s="9"/>
      <c r="MFJ25" s="10"/>
      <c r="MFK25" s="11"/>
      <c r="MFL25" s="12"/>
      <c r="MFM25" s="12"/>
      <c r="MFN25" s="12"/>
      <c r="MFO25" s="13"/>
      <c r="MFP25" s="9"/>
      <c r="MFQ25" s="9"/>
      <c r="MFR25" s="9"/>
      <c r="MFS25" s="9"/>
      <c r="MFT25" s="10"/>
      <c r="MFU25" s="11"/>
      <c r="MFV25" s="12"/>
      <c r="MFW25" s="12"/>
      <c r="MFX25" s="12"/>
      <c r="MFY25" s="13"/>
      <c r="MFZ25" s="9"/>
      <c r="MGA25" s="9"/>
      <c r="MGB25" s="9"/>
      <c r="MGC25" s="9"/>
      <c r="MGD25" s="10"/>
      <c r="MGE25" s="11"/>
      <c r="MGF25" s="12"/>
      <c r="MGG25" s="12"/>
      <c r="MGH25" s="12"/>
      <c r="MGI25" s="13"/>
      <c r="MGJ25" s="9"/>
      <c r="MGK25" s="9"/>
      <c r="MGL25" s="9"/>
      <c r="MGM25" s="9"/>
      <c r="MGN25" s="10"/>
      <c r="MGO25" s="11"/>
      <c r="MGP25" s="12"/>
      <c r="MGQ25" s="12"/>
      <c r="MGR25" s="12"/>
      <c r="MGS25" s="13"/>
      <c r="MGT25" s="9"/>
      <c r="MGU25" s="9"/>
      <c r="MGV25" s="9"/>
      <c r="MGW25" s="9"/>
      <c r="MGX25" s="10"/>
      <c r="MGY25" s="11"/>
      <c r="MGZ25" s="12"/>
      <c r="MHA25" s="12"/>
      <c r="MHB25" s="12"/>
      <c r="MHC25" s="13"/>
      <c r="MHD25" s="9"/>
      <c r="MHE25" s="9"/>
      <c r="MHF25" s="9"/>
      <c r="MHG25" s="9"/>
      <c r="MHH25" s="10"/>
      <c r="MHI25" s="11"/>
      <c r="MHJ25" s="12"/>
      <c r="MHK25" s="12"/>
      <c r="MHL25" s="12"/>
      <c r="MHM25" s="13"/>
      <c r="MHN25" s="9"/>
      <c r="MHO25" s="9"/>
      <c r="MHP25" s="9"/>
      <c r="MHQ25" s="9"/>
      <c r="MHR25" s="10"/>
      <c r="MHS25" s="11"/>
      <c r="MHT25" s="12"/>
      <c r="MHU25" s="12"/>
      <c r="MHV25" s="12"/>
      <c r="MHW25" s="13"/>
      <c r="MHX25" s="9"/>
      <c r="MHY25" s="9"/>
      <c r="MHZ25" s="9"/>
      <c r="MIA25" s="9"/>
      <c r="MIB25" s="10"/>
      <c r="MIC25" s="11"/>
      <c r="MID25" s="12"/>
      <c r="MIE25" s="12"/>
      <c r="MIF25" s="12"/>
      <c r="MIG25" s="13"/>
      <c r="MIH25" s="9"/>
      <c r="MII25" s="9"/>
      <c r="MIJ25" s="9"/>
      <c r="MIK25" s="9"/>
      <c r="MIL25" s="10"/>
      <c r="MIM25" s="11"/>
      <c r="MIN25" s="12"/>
      <c r="MIO25" s="12"/>
      <c r="MIP25" s="12"/>
      <c r="MIQ25" s="13"/>
      <c r="MIR25" s="9"/>
      <c r="MIS25" s="9"/>
      <c r="MIT25" s="9"/>
      <c r="MIU25" s="9"/>
      <c r="MIV25" s="10"/>
      <c r="MIW25" s="11"/>
      <c r="MIX25" s="12"/>
      <c r="MIY25" s="12"/>
      <c r="MIZ25" s="12"/>
      <c r="MJA25" s="13"/>
      <c r="MJB25" s="9"/>
      <c r="MJC25" s="9"/>
      <c r="MJD25" s="9"/>
      <c r="MJE25" s="9"/>
      <c r="MJF25" s="10"/>
      <c r="MJG25" s="11"/>
      <c r="MJH25" s="12"/>
      <c r="MJI25" s="12"/>
      <c r="MJJ25" s="12"/>
      <c r="MJK25" s="13"/>
      <c r="MJL25" s="9"/>
      <c r="MJM25" s="9"/>
      <c r="MJN25" s="9"/>
      <c r="MJO25" s="9"/>
      <c r="MJP25" s="10"/>
      <c r="MJQ25" s="11"/>
      <c r="MJR25" s="12"/>
      <c r="MJS25" s="12"/>
      <c r="MJT25" s="12"/>
      <c r="MJU25" s="13"/>
      <c r="MJV25" s="9"/>
      <c r="MJW25" s="9"/>
      <c r="MJX25" s="9"/>
      <c r="MJY25" s="9"/>
      <c r="MJZ25" s="10"/>
      <c r="MKA25" s="11"/>
      <c r="MKB25" s="12"/>
      <c r="MKC25" s="12"/>
      <c r="MKD25" s="12"/>
      <c r="MKE25" s="13"/>
      <c r="MKF25" s="9"/>
      <c r="MKG25" s="9"/>
      <c r="MKH25" s="9"/>
      <c r="MKI25" s="9"/>
      <c r="MKJ25" s="10"/>
      <c r="MKK25" s="11"/>
      <c r="MKL25" s="12"/>
      <c r="MKM25" s="12"/>
      <c r="MKN25" s="12"/>
      <c r="MKO25" s="13"/>
      <c r="MKP25" s="9"/>
      <c r="MKQ25" s="9"/>
      <c r="MKR25" s="9"/>
      <c r="MKS25" s="9"/>
      <c r="MKT25" s="10"/>
      <c r="MKU25" s="11"/>
      <c r="MKV25" s="12"/>
      <c r="MKW25" s="12"/>
      <c r="MKX25" s="12"/>
      <c r="MKY25" s="13"/>
      <c r="MKZ25" s="9"/>
      <c r="MLA25" s="9"/>
      <c r="MLB25" s="9"/>
      <c r="MLC25" s="9"/>
      <c r="MLD25" s="10"/>
      <c r="MLE25" s="11"/>
      <c r="MLF25" s="12"/>
      <c r="MLG25" s="12"/>
      <c r="MLH25" s="12"/>
      <c r="MLI25" s="13"/>
      <c r="MLJ25" s="9"/>
      <c r="MLK25" s="9"/>
      <c r="MLL25" s="9"/>
      <c r="MLM25" s="9"/>
      <c r="MLN25" s="10"/>
      <c r="MLO25" s="11"/>
      <c r="MLP25" s="12"/>
      <c r="MLQ25" s="12"/>
      <c r="MLR25" s="12"/>
      <c r="MLS25" s="13"/>
      <c r="MLT25" s="9"/>
      <c r="MLU25" s="9"/>
      <c r="MLV25" s="9"/>
      <c r="MLW25" s="9"/>
      <c r="MLX25" s="10"/>
      <c r="MLY25" s="11"/>
      <c r="MLZ25" s="12"/>
      <c r="MMA25" s="12"/>
      <c r="MMB25" s="12"/>
      <c r="MMC25" s="13"/>
      <c r="MMD25" s="9"/>
      <c r="MME25" s="9"/>
      <c r="MMF25" s="9"/>
      <c r="MMG25" s="9"/>
      <c r="MMH25" s="10"/>
      <c r="MMI25" s="11"/>
      <c r="MMJ25" s="12"/>
      <c r="MMK25" s="12"/>
      <c r="MML25" s="12"/>
      <c r="MMM25" s="13"/>
      <c r="MMN25" s="9"/>
      <c r="MMO25" s="9"/>
      <c r="MMP25" s="9"/>
      <c r="MMQ25" s="9"/>
      <c r="MMR25" s="10"/>
      <c r="MMS25" s="11"/>
      <c r="MMT25" s="12"/>
      <c r="MMU25" s="12"/>
      <c r="MMV25" s="12"/>
      <c r="MMW25" s="13"/>
      <c r="MMX25" s="9"/>
      <c r="MMY25" s="9"/>
      <c r="MMZ25" s="9"/>
      <c r="MNA25" s="9"/>
      <c r="MNB25" s="10"/>
      <c r="MNC25" s="11"/>
      <c r="MND25" s="12"/>
      <c r="MNE25" s="12"/>
      <c r="MNF25" s="12"/>
      <c r="MNG25" s="13"/>
      <c r="MNH25" s="9"/>
      <c r="MNI25" s="9"/>
      <c r="MNJ25" s="9"/>
      <c r="MNK25" s="9"/>
      <c r="MNL25" s="10"/>
      <c r="MNM25" s="11"/>
      <c r="MNN25" s="12"/>
      <c r="MNO25" s="12"/>
      <c r="MNP25" s="12"/>
      <c r="MNQ25" s="13"/>
      <c r="MNR25" s="9"/>
      <c r="MNS25" s="9"/>
      <c r="MNT25" s="9"/>
      <c r="MNU25" s="9"/>
      <c r="MNV25" s="10"/>
      <c r="MNW25" s="11"/>
      <c r="MNX25" s="12"/>
      <c r="MNY25" s="12"/>
      <c r="MNZ25" s="12"/>
      <c r="MOA25" s="13"/>
      <c r="MOB25" s="9"/>
      <c r="MOC25" s="9"/>
      <c r="MOD25" s="9"/>
      <c r="MOE25" s="9"/>
      <c r="MOF25" s="10"/>
      <c r="MOG25" s="11"/>
      <c r="MOH25" s="12"/>
      <c r="MOI25" s="12"/>
      <c r="MOJ25" s="12"/>
      <c r="MOK25" s="13"/>
      <c r="MOL25" s="9"/>
      <c r="MOM25" s="9"/>
      <c r="MON25" s="9"/>
      <c r="MOO25" s="9"/>
      <c r="MOP25" s="10"/>
      <c r="MOQ25" s="11"/>
      <c r="MOR25" s="12"/>
      <c r="MOS25" s="12"/>
      <c r="MOT25" s="12"/>
      <c r="MOU25" s="13"/>
      <c r="MOV25" s="9"/>
      <c r="MOW25" s="9"/>
      <c r="MOX25" s="9"/>
      <c r="MOY25" s="9"/>
      <c r="MOZ25" s="10"/>
      <c r="MPA25" s="11"/>
      <c r="MPB25" s="12"/>
      <c r="MPC25" s="12"/>
      <c r="MPD25" s="12"/>
      <c r="MPE25" s="13"/>
      <c r="MPF25" s="9"/>
      <c r="MPG25" s="9"/>
      <c r="MPH25" s="9"/>
      <c r="MPI25" s="9"/>
      <c r="MPJ25" s="10"/>
      <c r="MPK25" s="11"/>
      <c r="MPL25" s="12"/>
      <c r="MPM25" s="12"/>
      <c r="MPN25" s="12"/>
      <c r="MPO25" s="13"/>
      <c r="MPP25" s="9"/>
      <c r="MPQ25" s="9"/>
      <c r="MPR25" s="9"/>
      <c r="MPS25" s="9"/>
      <c r="MPT25" s="10"/>
      <c r="MPU25" s="11"/>
      <c r="MPV25" s="12"/>
      <c r="MPW25" s="12"/>
      <c r="MPX25" s="12"/>
      <c r="MPY25" s="13"/>
      <c r="MPZ25" s="9"/>
      <c r="MQA25" s="9"/>
      <c r="MQB25" s="9"/>
      <c r="MQC25" s="9"/>
      <c r="MQD25" s="10"/>
      <c r="MQE25" s="11"/>
      <c r="MQF25" s="12"/>
      <c r="MQG25" s="12"/>
      <c r="MQH25" s="12"/>
      <c r="MQI25" s="13"/>
      <c r="MQJ25" s="9"/>
      <c r="MQK25" s="9"/>
      <c r="MQL25" s="9"/>
      <c r="MQM25" s="9"/>
      <c r="MQN25" s="10"/>
      <c r="MQO25" s="11"/>
      <c r="MQP25" s="12"/>
      <c r="MQQ25" s="12"/>
      <c r="MQR25" s="12"/>
      <c r="MQS25" s="13"/>
      <c r="MQT25" s="9"/>
      <c r="MQU25" s="9"/>
      <c r="MQV25" s="9"/>
      <c r="MQW25" s="9"/>
      <c r="MQX25" s="10"/>
      <c r="MQY25" s="11"/>
      <c r="MQZ25" s="12"/>
      <c r="MRA25" s="12"/>
      <c r="MRB25" s="12"/>
      <c r="MRC25" s="13"/>
      <c r="MRD25" s="9"/>
      <c r="MRE25" s="9"/>
      <c r="MRF25" s="9"/>
      <c r="MRG25" s="9"/>
      <c r="MRH25" s="10"/>
      <c r="MRI25" s="11"/>
      <c r="MRJ25" s="12"/>
      <c r="MRK25" s="12"/>
      <c r="MRL25" s="12"/>
      <c r="MRM25" s="13"/>
      <c r="MRN25" s="9"/>
      <c r="MRO25" s="9"/>
      <c r="MRP25" s="9"/>
      <c r="MRQ25" s="9"/>
      <c r="MRR25" s="10"/>
      <c r="MRS25" s="11"/>
      <c r="MRT25" s="12"/>
      <c r="MRU25" s="12"/>
      <c r="MRV25" s="12"/>
      <c r="MRW25" s="13"/>
      <c r="MRX25" s="9"/>
      <c r="MRY25" s="9"/>
      <c r="MRZ25" s="9"/>
      <c r="MSA25" s="9"/>
      <c r="MSB25" s="10"/>
      <c r="MSC25" s="11"/>
      <c r="MSD25" s="12"/>
      <c r="MSE25" s="12"/>
      <c r="MSF25" s="12"/>
      <c r="MSG25" s="13"/>
      <c r="MSH25" s="9"/>
      <c r="MSI25" s="9"/>
      <c r="MSJ25" s="9"/>
      <c r="MSK25" s="9"/>
      <c r="MSL25" s="10"/>
      <c r="MSM25" s="11"/>
      <c r="MSN25" s="12"/>
      <c r="MSO25" s="12"/>
      <c r="MSP25" s="12"/>
      <c r="MSQ25" s="13"/>
      <c r="MSR25" s="9"/>
      <c r="MSS25" s="9"/>
      <c r="MST25" s="9"/>
      <c r="MSU25" s="9"/>
      <c r="MSV25" s="10"/>
      <c r="MSW25" s="11"/>
      <c r="MSX25" s="12"/>
      <c r="MSY25" s="12"/>
      <c r="MSZ25" s="12"/>
      <c r="MTA25" s="13"/>
      <c r="MTB25" s="9"/>
      <c r="MTC25" s="9"/>
      <c r="MTD25" s="9"/>
      <c r="MTE25" s="9"/>
      <c r="MTF25" s="10"/>
      <c r="MTG25" s="11"/>
      <c r="MTH25" s="12"/>
      <c r="MTI25" s="12"/>
      <c r="MTJ25" s="12"/>
      <c r="MTK25" s="13"/>
      <c r="MTL25" s="9"/>
      <c r="MTM25" s="9"/>
      <c r="MTN25" s="9"/>
      <c r="MTO25" s="9"/>
      <c r="MTP25" s="10"/>
      <c r="MTQ25" s="11"/>
      <c r="MTR25" s="12"/>
      <c r="MTS25" s="12"/>
      <c r="MTT25" s="12"/>
      <c r="MTU25" s="13"/>
      <c r="MTV25" s="9"/>
      <c r="MTW25" s="9"/>
      <c r="MTX25" s="9"/>
      <c r="MTY25" s="9"/>
      <c r="MTZ25" s="10"/>
      <c r="MUA25" s="11"/>
      <c r="MUB25" s="12"/>
      <c r="MUC25" s="12"/>
      <c r="MUD25" s="12"/>
      <c r="MUE25" s="13"/>
      <c r="MUF25" s="9"/>
      <c r="MUG25" s="9"/>
      <c r="MUH25" s="9"/>
      <c r="MUI25" s="9"/>
      <c r="MUJ25" s="10"/>
      <c r="MUK25" s="11"/>
      <c r="MUL25" s="12"/>
      <c r="MUM25" s="12"/>
      <c r="MUN25" s="12"/>
      <c r="MUO25" s="13"/>
      <c r="MUP25" s="9"/>
      <c r="MUQ25" s="9"/>
      <c r="MUR25" s="9"/>
      <c r="MUS25" s="9"/>
      <c r="MUT25" s="10"/>
      <c r="MUU25" s="11"/>
      <c r="MUV25" s="12"/>
      <c r="MUW25" s="12"/>
      <c r="MUX25" s="12"/>
      <c r="MUY25" s="13"/>
      <c r="MUZ25" s="9"/>
      <c r="MVA25" s="9"/>
      <c r="MVB25" s="9"/>
      <c r="MVC25" s="9"/>
      <c r="MVD25" s="10"/>
      <c r="MVE25" s="11"/>
      <c r="MVF25" s="12"/>
      <c r="MVG25" s="12"/>
      <c r="MVH25" s="12"/>
      <c r="MVI25" s="13"/>
      <c r="MVJ25" s="9"/>
      <c r="MVK25" s="9"/>
      <c r="MVL25" s="9"/>
      <c r="MVM25" s="9"/>
      <c r="MVN25" s="10"/>
      <c r="MVO25" s="11"/>
      <c r="MVP25" s="12"/>
      <c r="MVQ25" s="12"/>
      <c r="MVR25" s="12"/>
      <c r="MVS25" s="13"/>
      <c r="MVT25" s="9"/>
      <c r="MVU25" s="9"/>
      <c r="MVV25" s="9"/>
      <c r="MVW25" s="9"/>
      <c r="MVX25" s="10"/>
      <c r="MVY25" s="11"/>
      <c r="MVZ25" s="12"/>
      <c r="MWA25" s="12"/>
      <c r="MWB25" s="12"/>
      <c r="MWC25" s="13"/>
      <c r="MWD25" s="9"/>
      <c r="MWE25" s="9"/>
      <c r="MWF25" s="9"/>
      <c r="MWG25" s="9"/>
      <c r="MWH25" s="10"/>
      <c r="MWI25" s="11"/>
      <c r="MWJ25" s="12"/>
      <c r="MWK25" s="12"/>
      <c r="MWL25" s="12"/>
      <c r="MWM25" s="13"/>
      <c r="MWN25" s="9"/>
      <c r="MWO25" s="9"/>
      <c r="MWP25" s="9"/>
      <c r="MWQ25" s="9"/>
      <c r="MWR25" s="10"/>
      <c r="MWS25" s="11"/>
      <c r="MWT25" s="12"/>
      <c r="MWU25" s="12"/>
      <c r="MWV25" s="12"/>
      <c r="MWW25" s="13"/>
      <c r="MWX25" s="9"/>
      <c r="MWY25" s="9"/>
      <c r="MWZ25" s="9"/>
      <c r="MXA25" s="9"/>
      <c r="MXB25" s="10"/>
      <c r="MXC25" s="11"/>
      <c r="MXD25" s="12"/>
      <c r="MXE25" s="12"/>
      <c r="MXF25" s="12"/>
      <c r="MXG25" s="13"/>
      <c r="MXH25" s="9"/>
      <c r="MXI25" s="9"/>
      <c r="MXJ25" s="9"/>
      <c r="MXK25" s="9"/>
      <c r="MXL25" s="10"/>
      <c r="MXM25" s="11"/>
      <c r="MXN25" s="12"/>
      <c r="MXO25" s="12"/>
      <c r="MXP25" s="12"/>
      <c r="MXQ25" s="13"/>
      <c r="MXR25" s="9"/>
      <c r="MXS25" s="9"/>
      <c r="MXT25" s="9"/>
      <c r="MXU25" s="9"/>
      <c r="MXV25" s="10"/>
      <c r="MXW25" s="11"/>
      <c r="MXX25" s="12"/>
      <c r="MXY25" s="12"/>
      <c r="MXZ25" s="12"/>
      <c r="MYA25" s="13"/>
      <c r="MYB25" s="9"/>
      <c r="MYC25" s="9"/>
      <c r="MYD25" s="9"/>
      <c r="MYE25" s="9"/>
      <c r="MYF25" s="10"/>
      <c r="MYG25" s="11"/>
      <c r="MYH25" s="12"/>
      <c r="MYI25" s="12"/>
      <c r="MYJ25" s="12"/>
      <c r="MYK25" s="13"/>
      <c r="MYL25" s="9"/>
      <c r="MYM25" s="9"/>
      <c r="MYN25" s="9"/>
      <c r="MYO25" s="9"/>
      <c r="MYP25" s="10"/>
      <c r="MYQ25" s="11"/>
      <c r="MYR25" s="12"/>
      <c r="MYS25" s="12"/>
      <c r="MYT25" s="12"/>
      <c r="MYU25" s="13"/>
      <c r="MYV25" s="9"/>
      <c r="MYW25" s="9"/>
      <c r="MYX25" s="9"/>
      <c r="MYY25" s="9"/>
      <c r="MYZ25" s="10"/>
      <c r="MZA25" s="11"/>
      <c r="MZB25" s="12"/>
      <c r="MZC25" s="12"/>
      <c r="MZD25" s="12"/>
      <c r="MZE25" s="13"/>
      <c r="MZF25" s="9"/>
      <c r="MZG25" s="9"/>
      <c r="MZH25" s="9"/>
      <c r="MZI25" s="9"/>
      <c r="MZJ25" s="10"/>
      <c r="MZK25" s="11"/>
      <c r="MZL25" s="12"/>
      <c r="MZM25" s="12"/>
      <c r="MZN25" s="12"/>
      <c r="MZO25" s="13"/>
      <c r="MZP25" s="9"/>
      <c r="MZQ25" s="9"/>
      <c r="MZR25" s="9"/>
      <c r="MZS25" s="9"/>
      <c r="MZT25" s="10"/>
      <c r="MZU25" s="11"/>
      <c r="MZV25" s="12"/>
      <c r="MZW25" s="12"/>
      <c r="MZX25" s="12"/>
      <c r="MZY25" s="13"/>
      <c r="MZZ25" s="9"/>
      <c r="NAA25" s="9"/>
      <c r="NAB25" s="9"/>
      <c r="NAC25" s="9"/>
      <c r="NAD25" s="10"/>
      <c r="NAE25" s="11"/>
      <c r="NAF25" s="12"/>
      <c r="NAG25" s="12"/>
      <c r="NAH25" s="12"/>
      <c r="NAI25" s="13"/>
      <c r="NAJ25" s="9"/>
      <c r="NAK25" s="9"/>
      <c r="NAL25" s="9"/>
      <c r="NAM25" s="9"/>
      <c r="NAN25" s="10"/>
      <c r="NAO25" s="11"/>
      <c r="NAP25" s="12"/>
      <c r="NAQ25" s="12"/>
      <c r="NAR25" s="12"/>
      <c r="NAS25" s="13"/>
      <c r="NAT25" s="9"/>
      <c r="NAU25" s="9"/>
      <c r="NAV25" s="9"/>
      <c r="NAW25" s="9"/>
      <c r="NAX25" s="10"/>
      <c r="NAY25" s="11"/>
      <c r="NAZ25" s="12"/>
      <c r="NBA25" s="12"/>
      <c r="NBB25" s="12"/>
      <c r="NBC25" s="13"/>
      <c r="NBD25" s="9"/>
      <c r="NBE25" s="9"/>
      <c r="NBF25" s="9"/>
      <c r="NBG25" s="9"/>
      <c r="NBH25" s="10"/>
      <c r="NBI25" s="11"/>
      <c r="NBJ25" s="12"/>
      <c r="NBK25" s="12"/>
      <c r="NBL25" s="12"/>
      <c r="NBM25" s="13"/>
      <c r="NBN25" s="9"/>
      <c r="NBO25" s="9"/>
      <c r="NBP25" s="9"/>
      <c r="NBQ25" s="9"/>
      <c r="NBR25" s="10"/>
      <c r="NBS25" s="11"/>
      <c r="NBT25" s="12"/>
      <c r="NBU25" s="12"/>
      <c r="NBV25" s="12"/>
      <c r="NBW25" s="13"/>
      <c r="NBX25" s="9"/>
      <c r="NBY25" s="9"/>
      <c r="NBZ25" s="9"/>
      <c r="NCA25" s="9"/>
      <c r="NCB25" s="10"/>
      <c r="NCC25" s="11"/>
      <c r="NCD25" s="12"/>
      <c r="NCE25" s="12"/>
      <c r="NCF25" s="12"/>
      <c r="NCG25" s="13"/>
      <c r="NCH25" s="9"/>
      <c r="NCI25" s="9"/>
      <c r="NCJ25" s="9"/>
      <c r="NCK25" s="9"/>
      <c r="NCL25" s="10"/>
      <c r="NCM25" s="11"/>
      <c r="NCN25" s="12"/>
      <c r="NCO25" s="12"/>
      <c r="NCP25" s="12"/>
      <c r="NCQ25" s="13"/>
      <c r="NCR25" s="9"/>
      <c r="NCS25" s="9"/>
      <c r="NCT25" s="9"/>
      <c r="NCU25" s="9"/>
      <c r="NCV25" s="10"/>
      <c r="NCW25" s="11"/>
      <c r="NCX25" s="12"/>
      <c r="NCY25" s="12"/>
      <c r="NCZ25" s="12"/>
      <c r="NDA25" s="13"/>
      <c r="NDB25" s="9"/>
      <c r="NDC25" s="9"/>
      <c r="NDD25" s="9"/>
      <c r="NDE25" s="9"/>
      <c r="NDF25" s="10"/>
      <c r="NDG25" s="11"/>
      <c r="NDH25" s="12"/>
      <c r="NDI25" s="12"/>
      <c r="NDJ25" s="12"/>
      <c r="NDK25" s="13"/>
      <c r="NDL25" s="9"/>
      <c r="NDM25" s="9"/>
      <c r="NDN25" s="9"/>
      <c r="NDO25" s="9"/>
      <c r="NDP25" s="10"/>
      <c r="NDQ25" s="11"/>
      <c r="NDR25" s="12"/>
      <c r="NDS25" s="12"/>
      <c r="NDT25" s="12"/>
      <c r="NDU25" s="13"/>
      <c r="NDV25" s="9"/>
      <c r="NDW25" s="9"/>
      <c r="NDX25" s="9"/>
      <c r="NDY25" s="9"/>
      <c r="NDZ25" s="10"/>
      <c r="NEA25" s="11"/>
      <c r="NEB25" s="12"/>
      <c r="NEC25" s="12"/>
      <c r="NED25" s="12"/>
      <c r="NEE25" s="13"/>
      <c r="NEF25" s="9"/>
      <c r="NEG25" s="9"/>
      <c r="NEH25" s="9"/>
      <c r="NEI25" s="9"/>
      <c r="NEJ25" s="10"/>
      <c r="NEK25" s="11"/>
      <c r="NEL25" s="12"/>
      <c r="NEM25" s="12"/>
      <c r="NEN25" s="12"/>
      <c r="NEO25" s="13"/>
      <c r="NEP25" s="9"/>
      <c r="NEQ25" s="9"/>
      <c r="NER25" s="9"/>
      <c r="NES25" s="9"/>
      <c r="NET25" s="10"/>
      <c r="NEU25" s="11"/>
      <c r="NEV25" s="12"/>
      <c r="NEW25" s="12"/>
      <c r="NEX25" s="12"/>
      <c r="NEY25" s="13"/>
      <c r="NEZ25" s="9"/>
      <c r="NFA25" s="9"/>
      <c r="NFB25" s="9"/>
      <c r="NFC25" s="9"/>
      <c r="NFD25" s="10"/>
      <c r="NFE25" s="11"/>
      <c r="NFF25" s="12"/>
      <c r="NFG25" s="12"/>
      <c r="NFH25" s="12"/>
      <c r="NFI25" s="13"/>
      <c r="NFJ25" s="9"/>
      <c r="NFK25" s="9"/>
      <c r="NFL25" s="9"/>
      <c r="NFM25" s="9"/>
      <c r="NFN25" s="10"/>
      <c r="NFO25" s="11"/>
      <c r="NFP25" s="12"/>
      <c r="NFQ25" s="12"/>
      <c r="NFR25" s="12"/>
      <c r="NFS25" s="13"/>
      <c r="NFT25" s="9"/>
      <c r="NFU25" s="9"/>
      <c r="NFV25" s="9"/>
      <c r="NFW25" s="9"/>
      <c r="NFX25" s="10"/>
      <c r="NFY25" s="11"/>
      <c r="NFZ25" s="12"/>
      <c r="NGA25" s="12"/>
      <c r="NGB25" s="12"/>
      <c r="NGC25" s="13"/>
      <c r="NGD25" s="9"/>
      <c r="NGE25" s="9"/>
      <c r="NGF25" s="9"/>
      <c r="NGG25" s="9"/>
      <c r="NGH25" s="10"/>
      <c r="NGI25" s="11"/>
      <c r="NGJ25" s="12"/>
      <c r="NGK25" s="12"/>
      <c r="NGL25" s="12"/>
      <c r="NGM25" s="13"/>
      <c r="NGN25" s="9"/>
      <c r="NGO25" s="9"/>
      <c r="NGP25" s="9"/>
      <c r="NGQ25" s="9"/>
      <c r="NGR25" s="10"/>
      <c r="NGS25" s="11"/>
      <c r="NGT25" s="12"/>
      <c r="NGU25" s="12"/>
      <c r="NGV25" s="12"/>
      <c r="NGW25" s="13"/>
      <c r="NGX25" s="9"/>
      <c r="NGY25" s="9"/>
      <c r="NGZ25" s="9"/>
      <c r="NHA25" s="9"/>
      <c r="NHB25" s="10"/>
      <c r="NHC25" s="11"/>
      <c r="NHD25" s="12"/>
      <c r="NHE25" s="12"/>
      <c r="NHF25" s="12"/>
      <c r="NHG25" s="13"/>
      <c r="NHH25" s="9"/>
      <c r="NHI25" s="9"/>
      <c r="NHJ25" s="9"/>
      <c r="NHK25" s="9"/>
      <c r="NHL25" s="10"/>
      <c r="NHM25" s="11"/>
      <c r="NHN25" s="12"/>
      <c r="NHO25" s="12"/>
      <c r="NHP25" s="12"/>
      <c r="NHQ25" s="13"/>
      <c r="NHR25" s="9"/>
      <c r="NHS25" s="9"/>
      <c r="NHT25" s="9"/>
      <c r="NHU25" s="9"/>
      <c r="NHV25" s="10"/>
      <c r="NHW25" s="11"/>
      <c r="NHX25" s="12"/>
      <c r="NHY25" s="12"/>
      <c r="NHZ25" s="12"/>
      <c r="NIA25" s="13"/>
      <c r="NIB25" s="9"/>
      <c r="NIC25" s="9"/>
      <c r="NID25" s="9"/>
      <c r="NIE25" s="9"/>
      <c r="NIF25" s="10"/>
      <c r="NIG25" s="11"/>
      <c r="NIH25" s="12"/>
      <c r="NII25" s="12"/>
      <c r="NIJ25" s="12"/>
      <c r="NIK25" s="13"/>
      <c r="NIL25" s="9"/>
      <c r="NIM25" s="9"/>
      <c r="NIN25" s="9"/>
      <c r="NIO25" s="9"/>
      <c r="NIP25" s="10"/>
      <c r="NIQ25" s="11"/>
      <c r="NIR25" s="12"/>
      <c r="NIS25" s="12"/>
      <c r="NIT25" s="12"/>
      <c r="NIU25" s="13"/>
      <c r="NIV25" s="9"/>
      <c r="NIW25" s="9"/>
      <c r="NIX25" s="9"/>
      <c r="NIY25" s="9"/>
      <c r="NIZ25" s="10"/>
      <c r="NJA25" s="11"/>
      <c r="NJB25" s="12"/>
      <c r="NJC25" s="12"/>
      <c r="NJD25" s="12"/>
      <c r="NJE25" s="13"/>
      <c r="NJF25" s="9"/>
      <c r="NJG25" s="9"/>
      <c r="NJH25" s="9"/>
      <c r="NJI25" s="9"/>
      <c r="NJJ25" s="10"/>
      <c r="NJK25" s="11"/>
      <c r="NJL25" s="12"/>
      <c r="NJM25" s="12"/>
      <c r="NJN25" s="12"/>
      <c r="NJO25" s="13"/>
      <c r="NJP25" s="9"/>
      <c r="NJQ25" s="9"/>
      <c r="NJR25" s="9"/>
      <c r="NJS25" s="9"/>
      <c r="NJT25" s="10"/>
      <c r="NJU25" s="11"/>
      <c r="NJV25" s="12"/>
      <c r="NJW25" s="12"/>
      <c r="NJX25" s="12"/>
      <c r="NJY25" s="13"/>
      <c r="NJZ25" s="9"/>
      <c r="NKA25" s="9"/>
      <c r="NKB25" s="9"/>
      <c r="NKC25" s="9"/>
      <c r="NKD25" s="10"/>
      <c r="NKE25" s="11"/>
      <c r="NKF25" s="12"/>
      <c r="NKG25" s="12"/>
      <c r="NKH25" s="12"/>
      <c r="NKI25" s="13"/>
      <c r="NKJ25" s="9"/>
      <c r="NKK25" s="9"/>
      <c r="NKL25" s="9"/>
      <c r="NKM25" s="9"/>
      <c r="NKN25" s="10"/>
      <c r="NKO25" s="11"/>
      <c r="NKP25" s="12"/>
      <c r="NKQ25" s="12"/>
      <c r="NKR25" s="12"/>
      <c r="NKS25" s="13"/>
      <c r="NKT25" s="9"/>
      <c r="NKU25" s="9"/>
      <c r="NKV25" s="9"/>
      <c r="NKW25" s="9"/>
      <c r="NKX25" s="10"/>
      <c r="NKY25" s="11"/>
      <c r="NKZ25" s="12"/>
      <c r="NLA25" s="12"/>
      <c r="NLB25" s="12"/>
      <c r="NLC25" s="13"/>
      <c r="NLD25" s="9"/>
      <c r="NLE25" s="9"/>
      <c r="NLF25" s="9"/>
      <c r="NLG25" s="9"/>
      <c r="NLH25" s="10"/>
      <c r="NLI25" s="11"/>
      <c r="NLJ25" s="12"/>
      <c r="NLK25" s="12"/>
      <c r="NLL25" s="12"/>
      <c r="NLM25" s="13"/>
      <c r="NLN25" s="9"/>
      <c r="NLO25" s="9"/>
      <c r="NLP25" s="9"/>
      <c r="NLQ25" s="9"/>
      <c r="NLR25" s="10"/>
      <c r="NLS25" s="11"/>
      <c r="NLT25" s="12"/>
      <c r="NLU25" s="12"/>
      <c r="NLV25" s="12"/>
      <c r="NLW25" s="13"/>
      <c r="NLX25" s="9"/>
      <c r="NLY25" s="9"/>
      <c r="NLZ25" s="9"/>
      <c r="NMA25" s="9"/>
      <c r="NMB25" s="10"/>
      <c r="NMC25" s="11"/>
      <c r="NMD25" s="12"/>
      <c r="NME25" s="12"/>
      <c r="NMF25" s="12"/>
      <c r="NMG25" s="13"/>
      <c r="NMH25" s="9"/>
      <c r="NMI25" s="9"/>
      <c r="NMJ25" s="9"/>
      <c r="NMK25" s="9"/>
      <c r="NML25" s="10"/>
      <c r="NMM25" s="11"/>
      <c r="NMN25" s="12"/>
      <c r="NMO25" s="12"/>
      <c r="NMP25" s="12"/>
      <c r="NMQ25" s="13"/>
      <c r="NMR25" s="9"/>
      <c r="NMS25" s="9"/>
      <c r="NMT25" s="9"/>
      <c r="NMU25" s="9"/>
      <c r="NMV25" s="10"/>
      <c r="NMW25" s="11"/>
      <c r="NMX25" s="12"/>
      <c r="NMY25" s="12"/>
      <c r="NMZ25" s="12"/>
      <c r="NNA25" s="13"/>
      <c r="NNB25" s="9"/>
      <c r="NNC25" s="9"/>
      <c r="NND25" s="9"/>
      <c r="NNE25" s="9"/>
      <c r="NNF25" s="10"/>
      <c r="NNG25" s="11"/>
      <c r="NNH25" s="12"/>
      <c r="NNI25" s="12"/>
      <c r="NNJ25" s="12"/>
      <c r="NNK25" s="13"/>
      <c r="NNL25" s="9"/>
      <c r="NNM25" s="9"/>
      <c r="NNN25" s="9"/>
      <c r="NNO25" s="9"/>
      <c r="NNP25" s="10"/>
      <c r="NNQ25" s="11"/>
      <c r="NNR25" s="12"/>
      <c r="NNS25" s="12"/>
      <c r="NNT25" s="12"/>
      <c r="NNU25" s="13"/>
      <c r="NNV25" s="9"/>
      <c r="NNW25" s="9"/>
      <c r="NNX25" s="9"/>
      <c r="NNY25" s="9"/>
      <c r="NNZ25" s="10"/>
      <c r="NOA25" s="11"/>
      <c r="NOB25" s="12"/>
      <c r="NOC25" s="12"/>
      <c r="NOD25" s="12"/>
      <c r="NOE25" s="13"/>
      <c r="NOF25" s="9"/>
      <c r="NOG25" s="9"/>
      <c r="NOH25" s="9"/>
      <c r="NOI25" s="9"/>
      <c r="NOJ25" s="10"/>
      <c r="NOK25" s="11"/>
      <c r="NOL25" s="12"/>
      <c r="NOM25" s="12"/>
      <c r="NON25" s="12"/>
      <c r="NOO25" s="13"/>
      <c r="NOP25" s="9"/>
      <c r="NOQ25" s="9"/>
      <c r="NOR25" s="9"/>
      <c r="NOS25" s="9"/>
      <c r="NOT25" s="10"/>
      <c r="NOU25" s="11"/>
      <c r="NOV25" s="12"/>
      <c r="NOW25" s="12"/>
      <c r="NOX25" s="12"/>
      <c r="NOY25" s="13"/>
      <c r="NOZ25" s="9"/>
      <c r="NPA25" s="9"/>
      <c r="NPB25" s="9"/>
      <c r="NPC25" s="9"/>
      <c r="NPD25" s="10"/>
      <c r="NPE25" s="11"/>
      <c r="NPF25" s="12"/>
      <c r="NPG25" s="12"/>
      <c r="NPH25" s="12"/>
      <c r="NPI25" s="13"/>
      <c r="NPJ25" s="9"/>
      <c r="NPK25" s="9"/>
      <c r="NPL25" s="9"/>
      <c r="NPM25" s="9"/>
      <c r="NPN25" s="10"/>
      <c r="NPO25" s="11"/>
      <c r="NPP25" s="12"/>
      <c r="NPQ25" s="12"/>
      <c r="NPR25" s="12"/>
      <c r="NPS25" s="13"/>
      <c r="NPT25" s="9"/>
      <c r="NPU25" s="9"/>
      <c r="NPV25" s="9"/>
      <c r="NPW25" s="9"/>
      <c r="NPX25" s="10"/>
      <c r="NPY25" s="11"/>
      <c r="NPZ25" s="12"/>
      <c r="NQA25" s="12"/>
      <c r="NQB25" s="12"/>
      <c r="NQC25" s="13"/>
      <c r="NQD25" s="9"/>
      <c r="NQE25" s="9"/>
      <c r="NQF25" s="9"/>
      <c r="NQG25" s="9"/>
      <c r="NQH25" s="10"/>
      <c r="NQI25" s="11"/>
      <c r="NQJ25" s="12"/>
      <c r="NQK25" s="12"/>
      <c r="NQL25" s="12"/>
      <c r="NQM25" s="13"/>
      <c r="NQN25" s="9"/>
      <c r="NQO25" s="9"/>
      <c r="NQP25" s="9"/>
      <c r="NQQ25" s="9"/>
      <c r="NQR25" s="10"/>
      <c r="NQS25" s="11"/>
      <c r="NQT25" s="12"/>
      <c r="NQU25" s="12"/>
      <c r="NQV25" s="12"/>
      <c r="NQW25" s="13"/>
      <c r="NQX25" s="9"/>
      <c r="NQY25" s="9"/>
      <c r="NQZ25" s="9"/>
      <c r="NRA25" s="9"/>
      <c r="NRB25" s="10"/>
      <c r="NRC25" s="11"/>
      <c r="NRD25" s="12"/>
      <c r="NRE25" s="12"/>
      <c r="NRF25" s="12"/>
      <c r="NRG25" s="13"/>
      <c r="NRH25" s="9"/>
      <c r="NRI25" s="9"/>
      <c r="NRJ25" s="9"/>
      <c r="NRK25" s="9"/>
      <c r="NRL25" s="10"/>
      <c r="NRM25" s="11"/>
      <c r="NRN25" s="12"/>
      <c r="NRO25" s="12"/>
      <c r="NRP25" s="12"/>
      <c r="NRQ25" s="13"/>
      <c r="NRR25" s="9"/>
      <c r="NRS25" s="9"/>
      <c r="NRT25" s="9"/>
      <c r="NRU25" s="9"/>
      <c r="NRV25" s="10"/>
      <c r="NRW25" s="11"/>
      <c r="NRX25" s="12"/>
      <c r="NRY25" s="12"/>
      <c r="NRZ25" s="12"/>
      <c r="NSA25" s="13"/>
      <c r="NSB25" s="9"/>
      <c r="NSC25" s="9"/>
      <c r="NSD25" s="9"/>
      <c r="NSE25" s="9"/>
      <c r="NSF25" s="10"/>
      <c r="NSG25" s="11"/>
      <c r="NSH25" s="12"/>
      <c r="NSI25" s="12"/>
      <c r="NSJ25" s="12"/>
      <c r="NSK25" s="13"/>
      <c r="NSL25" s="9"/>
      <c r="NSM25" s="9"/>
      <c r="NSN25" s="9"/>
      <c r="NSO25" s="9"/>
      <c r="NSP25" s="10"/>
      <c r="NSQ25" s="11"/>
      <c r="NSR25" s="12"/>
      <c r="NSS25" s="12"/>
      <c r="NST25" s="12"/>
      <c r="NSU25" s="13"/>
      <c r="NSV25" s="9"/>
      <c r="NSW25" s="9"/>
      <c r="NSX25" s="9"/>
      <c r="NSY25" s="9"/>
      <c r="NSZ25" s="10"/>
      <c r="NTA25" s="11"/>
      <c r="NTB25" s="12"/>
      <c r="NTC25" s="12"/>
      <c r="NTD25" s="12"/>
      <c r="NTE25" s="13"/>
      <c r="NTF25" s="9"/>
      <c r="NTG25" s="9"/>
      <c r="NTH25" s="9"/>
      <c r="NTI25" s="9"/>
      <c r="NTJ25" s="10"/>
      <c r="NTK25" s="11"/>
      <c r="NTL25" s="12"/>
      <c r="NTM25" s="12"/>
      <c r="NTN25" s="12"/>
      <c r="NTO25" s="13"/>
      <c r="NTP25" s="9"/>
      <c r="NTQ25" s="9"/>
      <c r="NTR25" s="9"/>
      <c r="NTS25" s="9"/>
      <c r="NTT25" s="10"/>
      <c r="NTU25" s="11"/>
      <c r="NTV25" s="12"/>
      <c r="NTW25" s="12"/>
      <c r="NTX25" s="12"/>
      <c r="NTY25" s="13"/>
      <c r="NTZ25" s="9"/>
      <c r="NUA25" s="9"/>
      <c r="NUB25" s="9"/>
      <c r="NUC25" s="9"/>
      <c r="NUD25" s="10"/>
      <c r="NUE25" s="11"/>
      <c r="NUF25" s="12"/>
      <c r="NUG25" s="12"/>
      <c r="NUH25" s="12"/>
      <c r="NUI25" s="13"/>
      <c r="NUJ25" s="9"/>
      <c r="NUK25" s="9"/>
      <c r="NUL25" s="9"/>
      <c r="NUM25" s="9"/>
      <c r="NUN25" s="10"/>
      <c r="NUO25" s="11"/>
      <c r="NUP25" s="12"/>
      <c r="NUQ25" s="12"/>
      <c r="NUR25" s="12"/>
      <c r="NUS25" s="13"/>
      <c r="NUT25" s="9"/>
      <c r="NUU25" s="9"/>
      <c r="NUV25" s="9"/>
      <c r="NUW25" s="9"/>
      <c r="NUX25" s="10"/>
      <c r="NUY25" s="11"/>
      <c r="NUZ25" s="12"/>
      <c r="NVA25" s="12"/>
      <c r="NVB25" s="12"/>
      <c r="NVC25" s="13"/>
      <c r="NVD25" s="9"/>
      <c r="NVE25" s="9"/>
      <c r="NVF25" s="9"/>
      <c r="NVG25" s="9"/>
      <c r="NVH25" s="10"/>
      <c r="NVI25" s="11"/>
      <c r="NVJ25" s="12"/>
      <c r="NVK25" s="12"/>
      <c r="NVL25" s="12"/>
      <c r="NVM25" s="13"/>
      <c r="NVN25" s="9"/>
      <c r="NVO25" s="9"/>
      <c r="NVP25" s="9"/>
      <c r="NVQ25" s="9"/>
      <c r="NVR25" s="10"/>
      <c r="NVS25" s="11"/>
      <c r="NVT25" s="12"/>
      <c r="NVU25" s="12"/>
      <c r="NVV25" s="12"/>
      <c r="NVW25" s="13"/>
      <c r="NVX25" s="9"/>
      <c r="NVY25" s="9"/>
      <c r="NVZ25" s="9"/>
      <c r="NWA25" s="9"/>
      <c r="NWB25" s="10"/>
      <c r="NWC25" s="11"/>
      <c r="NWD25" s="12"/>
      <c r="NWE25" s="12"/>
      <c r="NWF25" s="12"/>
      <c r="NWG25" s="13"/>
      <c r="NWH25" s="9"/>
      <c r="NWI25" s="9"/>
      <c r="NWJ25" s="9"/>
      <c r="NWK25" s="9"/>
      <c r="NWL25" s="10"/>
      <c r="NWM25" s="11"/>
      <c r="NWN25" s="12"/>
      <c r="NWO25" s="12"/>
      <c r="NWP25" s="12"/>
      <c r="NWQ25" s="13"/>
      <c r="NWR25" s="9"/>
      <c r="NWS25" s="9"/>
      <c r="NWT25" s="9"/>
      <c r="NWU25" s="9"/>
      <c r="NWV25" s="10"/>
      <c r="NWW25" s="11"/>
      <c r="NWX25" s="12"/>
      <c r="NWY25" s="12"/>
      <c r="NWZ25" s="12"/>
      <c r="NXA25" s="13"/>
      <c r="NXB25" s="9"/>
      <c r="NXC25" s="9"/>
      <c r="NXD25" s="9"/>
      <c r="NXE25" s="9"/>
      <c r="NXF25" s="10"/>
      <c r="NXG25" s="11"/>
      <c r="NXH25" s="12"/>
      <c r="NXI25" s="12"/>
      <c r="NXJ25" s="12"/>
      <c r="NXK25" s="13"/>
      <c r="NXL25" s="9"/>
      <c r="NXM25" s="9"/>
      <c r="NXN25" s="9"/>
      <c r="NXO25" s="9"/>
      <c r="NXP25" s="10"/>
      <c r="NXQ25" s="11"/>
      <c r="NXR25" s="12"/>
      <c r="NXS25" s="12"/>
      <c r="NXT25" s="12"/>
      <c r="NXU25" s="13"/>
      <c r="NXV25" s="9"/>
      <c r="NXW25" s="9"/>
      <c r="NXX25" s="9"/>
      <c r="NXY25" s="9"/>
      <c r="NXZ25" s="10"/>
      <c r="NYA25" s="11"/>
      <c r="NYB25" s="12"/>
      <c r="NYC25" s="12"/>
      <c r="NYD25" s="12"/>
      <c r="NYE25" s="13"/>
      <c r="NYF25" s="9"/>
      <c r="NYG25" s="9"/>
      <c r="NYH25" s="9"/>
      <c r="NYI25" s="9"/>
      <c r="NYJ25" s="10"/>
      <c r="NYK25" s="11"/>
      <c r="NYL25" s="12"/>
      <c r="NYM25" s="12"/>
      <c r="NYN25" s="12"/>
      <c r="NYO25" s="13"/>
      <c r="NYP25" s="9"/>
      <c r="NYQ25" s="9"/>
      <c r="NYR25" s="9"/>
      <c r="NYS25" s="9"/>
      <c r="NYT25" s="10"/>
      <c r="NYU25" s="11"/>
      <c r="NYV25" s="12"/>
      <c r="NYW25" s="12"/>
      <c r="NYX25" s="12"/>
      <c r="NYY25" s="13"/>
      <c r="NYZ25" s="9"/>
      <c r="NZA25" s="9"/>
      <c r="NZB25" s="9"/>
      <c r="NZC25" s="9"/>
      <c r="NZD25" s="10"/>
      <c r="NZE25" s="11"/>
      <c r="NZF25" s="12"/>
      <c r="NZG25" s="12"/>
      <c r="NZH25" s="12"/>
      <c r="NZI25" s="13"/>
      <c r="NZJ25" s="9"/>
      <c r="NZK25" s="9"/>
      <c r="NZL25" s="9"/>
      <c r="NZM25" s="9"/>
      <c r="NZN25" s="10"/>
      <c r="NZO25" s="11"/>
      <c r="NZP25" s="12"/>
      <c r="NZQ25" s="12"/>
      <c r="NZR25" s="12"/>
      <c r="NZS25" s="13"/>
      <c r="NZT25" s="9"/>
      <c r="NZU25" s="9"/>
      <c r="NZV25" s="9"/>
      <c r="NZW25" s="9"/>
      <c r="NZX25" s="10"/>
      <c r="NZY25" s="11"/>
      <c r="NZZ25" s="12"/>
      <c r="OAA25" s="12"/>
      <c r="OAB25" s="12"/>
      <c r="OAC25" s="13"/>
      <c r="OAD25" s="9"/>
      <c r="OAE25" s="9"/>
      <c r="OAF25" s="9"/>
      <c r="OAG25" s="9"/>
      <c r="OAH25" s="10"/>
      <c r="OAI25" s="11"/>
      <c r="OAJ25" s="12"/>
      <c r="OAK25" s="12"/>
      <c r="OAL25" s="12"/>
      <c r="OAM25" s="13"/>
      <c r="OAN25" s="9"/>
      <c r="OAO25" s="9"/>
      <c r="OAP25" s="9"/>
      <c r="OAQ25" s="9"/>
      <c r="OAR25" s="10"/>
      <c r="OAS25" s="11"/>
      <c r="OAT25" s="12"/>
      <c r="OAU25" s="12"/>
      <c r="OAV25" s="12"/>
      <c r="OAW25" s="13"/>
      <c r="OAX25" s="9"/>
      <c r="OAY25" s="9"/>
      <c r="OAZ25" s="9"/>
      <c r="OBA25" s="9"/>
      <c r="OBB25" s="10"/>
      <c r="OBC25" s="11"/>
      <c r="OBD25" s="12"/>
      <c r="OBE25" s="12"/>
      <c r="OBF25" s="12"/>
      <c r="OBG25" s="13"/>
      <c r="OBH25" s="9"/>
      <c r="OBI25" s="9"/>
      <c r="OBJ25" s="9"/>
      <c r="OBK25" s="9"/>
      <c r="OBL25" s="10"/>
      <c r="OBM25" s="11"/>
      <c r="OBN25" s="12"/>
      <c r="OBO25" s="12"/>
      <c r="OBP25" s="12"/>
      <c r="OBQ25" s="13"/>
      <c r="OBR25" s="9"/>
      <c r="OBS25" s="9"/>
      <c r="OBT25" s="9"/>
      <c r="OBU25" s="9"/>
      <c r="OBV25" s="10"/>
      <c r="OBW25" s="11"/>
      <c r="OBX25" s="12"/>
      <c r="OBY25" s="12"/>
      <c r="OBZ25" s="12"/>
      <c r="OCA25" s="13"/>
      <c r="OCB25" s="9"/>
      <c r="OCC25" s="9"/>
      <c r="OCD25" s="9"/>
      <c r="OCE25" s="9"/>
      <c r="OCF25" s="10"/>
      <c r="OCG25" s="11"/>
      <c r="OCH25" s="12"/>
      <c r="OCI25" s="12"/>
      <c r="OCJ25" s="12"/>
      <c r="OCK25" s="13"/>
      <c r="OCL25" s="9"/>
      <c r="OCM25" s="9"/>
      <c r="OCN25" s="9"/>
      <c r="OCO25" s="9"/>
      <c r="OCP25" s="10"/>
      <c r="OCQ25" s="11"/>
      <c r="OCR25" s="12"/>
      <c r="OCS25" s="12"/>
      <c r="OCT25" s="12"/>
      <c r="OCU25" s="13"/>
      <c r="OCV25" s="9"/>
      <c r="OCW25" s="9"/>
      <c r="OCX25" s="9"/>
      <c r="OCY25" s="9"/>
      <c r="OCZ25" s="10"/>
      <c r="ODA25" s="11"/>
      <c r="ODB25" s="12"/>
      <c r="ODC25" s="12"/>
      <c r="ODD25" s="12"/>
      <c r="ODE25" s="13"/>
      <c r="ODF25" s="9"/>
      <c r="ODG25" s="9"/>
      <c r="ODH25" s="9"/>
      <c r="ODI25" s="9"/>
      <c r="ODJ25" s="10"/>
      <c r="ODK25" s="11"/>
      <c r="ODL25" s="12"/>
      <c r="ODM25" s="12"/>
      <c r="ODN25" s="12"/>
      <c r="ODO25" s="13"/>
      <c r="ODP25" s="9"/>
      <c r="ODQ25" s="9"/>
      <c r="ODR25" s="9"/>
      <c r="ODS25" s="9"/>
      <c r="ODT25" s="10"/>
      <c r="ODU25" s="11"/>
      <c r="ODV25" s="12"/>
      <c r="ODW25" s="12"/>
      <c r="ODX25" s="12"/>
      <c r="ODY25" s="13"/>
      <c r="ODZ25" s="9"/>
      <c r="OEA25" s="9"/>
      <c r="OEB25" s="9"/>
      <c r="OEC25" s="9"/>
      <c r="OED25" s="10"/>
      <c r="OEE25" s="11"/>
      <c r="OEF25" s="12"/>
      <c r="OEG25" s="12"/>
      <c r="OEH25" s="12"/>
      <c r="OEI25" s="13"/>
      <c r="OEJ25" s="9"/>
      <c r="OEK25" s="9"/>
      <c r="OEL25" s="9"/>
      <c r="OEM25" s="9"/>
      <c r="OEN25" s="10"/>
      <c r="OEO25" s="11"/>
      <c r="OEP25" s="12"/>
      <c r="OEQ25" s="12"/>
      <c r="OER25" s="12"/>
      <c r="OES25" s="13"/>
      <c r="OET25" s="9"/>
      <c r="OEU25" s="9"/>
      <c r="OEV25" s="9"/>
      <c r="OEW25" s="9"/>
      <c r="OEX25" s="10"/>
      <c r="OEY25" s="11"/>
      <c r="OEZ25" s="12"/>
      <c r="OFA25" s="12"/>
      <c r="OFB25" s="12"/>
      <c r="OFC25" s="13"/>
      <c r="OFD25" s="9"/>
      <c r="OFE25" s="9"/>
      <c r="OFF25" s="9"/>
      <c r="OFG25" s="9"/>
      <c r="OFH25" s="10"/>
      <c r="OFI25" s="11"/>
      <c r="OFJ25" s="12"/>
      <c r="OFK25" s="12"/>
      <c r="OFL25" s="12"/>
      <c r="OFM25" s="13"/>
      <c r="OFN25" s="9"/>
      <c r="OFO25" s="9"/>
      <c r="OFP25" s="9"/>
      <c r="OFQ25" s="9"/>
      <c r="OFR25" s="10"/>
      <c r="OFS25" s="11"/>
      <c r="OFT25" s="12"/>
      <c r="OFU25" s="12"/>
      <c r="OFV25" s="12"/>
      <c r="OFW25" s="13"/>
      <c r="OFX25" s="9"/>
      <c r="OFY25" s="9"/>
      <c r="OFZ25" s="9"/>
      <c r="OGA25" s="9"/>
      <c r="OGB25" s="10"/>
      <c r="OGC25" s="11"/>
      <c r="OGD25" s="12"/>
      <c r="OGE25" s="12"/>
      <c r="OGF25" s="12"/>
      <c r="OGG25" s="13"/>
      <c r="OGH25" s="9"/>
      <c r="OGI25" s="9"/>
      <c r="OGJ25" s="9"/>
      <c r="OGK25" s="9"/>
      <c r="OGL25" s="10"/>
      <c r="OGM25" s="11"/>
      <c r="OGN25" s="12"/>
      <c r="OGO25" s="12"/>
      <c r="OGP25" s="12"/>
      <c r="OGQ25" s="13"/>
      <c r="OGR25" s="9"/>
      <c r="OGS25" s="9"/>
      <c r="OGT25" s="9"/>
      <c r="OGU25" s="9"/>
      <c r="OGV25" s="10"/>
      <c r="OGW25" s="11"/>
      <c r="OGX25" s="12"/>
      <c r="OGY25" s="12"/>
      <c r="OGZ25" s="12"/>
      <c r="OHA25" s="13"/>
      <c r="OHB25" s="9"/>
      <c r="OHC25" s="9"/>
      <c r="OHD25" s="9"/>
      <c r="OHE25" s="9"/>
      <c r="OHF25" s="10"/>
      <c r="OHG25" s="11"/>
      <c r="OHH25" s="12"/>
      <c r="OHI25" s="12"/>
      <c r="OHJ25" s="12"/>
      <c r="OHK25" s="13"/>
      <c r="OHL25" s="9"/>
      <c r="OHM25" s="9"/>
      <c r="OHN25" s="9"/>
      <c r="OHO25" s="9"/>
      <c r="OHP25" s="10"/>
      <c r="OHQ25" s="11"/>
      <c r="OHR25" s="12"/>
      <c r="OHS25" s="12"/>
      <c r="OHT25" s="12"/>
      <c r="OHU25" s="13"/>
      <c r="OHV25" s="9"/>
      <c r="OHW25" s="9"/>
      <c r="OHX25" s="9"/>
      <c r="OHY25" s="9"/>
      <c r="OHZ25" s="10"/>
      <c r="OIA25" s="11"/>
      <c r="OIB25" s="12"/>
      <c r="OIC25" s="12"/>
      <c r="OID25" s="12"/>
      <c r="OIE25" s="13"/>
      <c r="OIF25" s="9"/>
      <c r="OIG25" s="9"/>
      <c r="OIH25" s="9"/>
      <c r="OII25" s="9"/>
      <c r="OIJ25" s="10"/>
      <c r="OIK25" s="11"/>
      <c r="OIL25" s="12"/>
      <c r="OIM25" s="12"/>
      <c r="OIN25" s="12"/>
      <c r="OIO25" s="13"/>
      <c r="OIP25" s="9"/>
      <c r="OIQ25" s="9"/>
      <c r="OIR25" s="9"/>
      <c r="OIS25" s="9"/>
      <c r="OIT25" s="10"/>
      <c r="OIU25" s="11"/>
      <c r="OIV25" s="12"/>
      <c r="OIW25" s="12"/>
      <c r="OIX25" s="12"/>
      <c r="OIY25" s="13"/>
      <c r="OIZ25" s="9"/>
      <c r="OJA25" s="9"/>
      <c r="OJB25" s="9"/>
      <c r="OJC25" s="9"/>
      <c r="OJD25" s="10"/>
      <c r="OJE25" s="11"/>
      <c r="OJF25" s="12"/>
      <c r="OJG25" s="12"/>
      <c r="OJH25" s="12"/>
      <c r="OJI25" s="13"/>
      <c r="OJJ25" s="9"/>
      <c r="OJK25" s="9"/>
      <c r="OJL25" s="9"/>
      <c r="OJM25" s="9"/>
      <c r="OJN25" s="10"/>
      <c r="OJO25" s="11"/>
      <c r="OJP25" s="12"/>
      <c r="OJQ25" s="12"/>
      <c r="OJR25" s="12"/>
      <c r="OJS25" s="13"/>
      <c r="OJT25" s="9"/>
      <c r="OJU25" s="9"/>
      <c r="OJV25" s="9"/>
      <c r="OJW25" s="9"/>
      <c r="OJX25" s="10"/>
      <c r="OJY25" s="11"/>
      <c r="OJZ25" s="12"/>
      <c r="OKA25" s="12"/>
      <c r="OKB25" s="12"/>
      <c r="OKC25" s="13"/>
      <c r="OKD25" s="9"/>
      <c r="OKE25" s="9"/>
      <c r="OKF25" s="9"/>
      <c r="OKG25" s="9"/>
      <c r="OKH25" s="10"/>
      <c r="OKI25" s="11"/>
      <c r="OKJ25" s="12"/>
      <c r="OKK25" s="12"/>
      <c r="OKL25" s="12"/>
      <c r="OKM25" s="13"/>
      <c r="OKN25" s="9"/>
      <c r="OKO25" s="9"/>
      <c r="OKP25" s="9"/>
      <c r="OKQ25" s="9"/>
      <c r="OKR25" s="10"/>
      <c r="OKS25" s="11"/>
      <c r="OKT25" s="12"/>
      <c r="OKU25" s="12"/>
      <c r="OKV25" s="12"/>
      <c r="OKW25" s="13"/>
      <c r="OKX25" s="9"/>
      <c r="OKY25" s="9"/>
      <c r="OKZ25" s="9"/>
      <c r="OLA25" s="9"/>
      <c r="OLB25" s="10"/>
      <c r="OLC25" s="11"/>
      <c r="OLD25" s="12"/>
      <c r="OLE25" s="12"/>
      <c r="OLF25" s="12"/>
      <c r="OLG25" s="13"/>
      <c r="OLH25" s="9"/>
      <c r="OLI25" s="9"/>
      <c r="OLJ25" s="9"/>
      <c r="OLK25" s="9"/>
      <c r="OLL25" s="10"/>
      <c r="OLM25" s="11"/>
      <c r="OLN25" s="12"/>
      <c r="OLO25" s="12"/>
      <c r="OLP25" s="12"/>
      <c r="OLQ25" s="13"/>
      <c r="OLR25" s="9"/>
      <c r="OLS25" s="9"/>
      <c r="OLT25" s="9"/>
      <c r="OLU25" s="9"/>
      <c r="OLV25" s="10"/>
      <c r="OLW25" s="11"/>
      <c r="OLX25" s="12"/>
      <c r="OLY25" s="12"/>
      <c r="OLZ25" s="12"/>
      <c r="OMA25" s="13"/>
      <c r="OMB25" s="9"/>
      <c r="OMC25" s="9"/>
      <c r="OMD25" s="9"/>
      <c r="OME25" s="9"/>
      <c r="OMF25" s="10"/>
      <c r="OMG25" s="11"/>
      <c r="OMH25" s="12"/>
      <c r="OMI25" s="12"/>
      <c r="OMJ25" s="12"/>
      <c r="OMK25" s="13"/>
      <c r="OML25" s="9"/>
      <c r="OMM25" s="9"/>
      <c r="OMN25" s="9"/>
      <c r="OMO25" s="9"/>
      <c r="OMP25" s="10"/>
      <c r="OMQ25" s="11"/>
      <c r="OMR25" s="12"/>
      <c r="OMS25" s="12"/>
      <c r="OMT25" s="12"/>
      <c r="OMU25" s="13"/>
      <c r="OMV25" s="9"/>
      <c r="OMW25" s="9"/>
      <c r="OMX25" s="9"/>
      <c r="OMY25" s="9"/>
      <c r="OMZ25" s="10"/>
      <c r="ONA25" s="11"/>
      <c r="ONB25" s="12"/>
      <c r="ONC25" s="12"/>
      <c r="OND25" s="12"/>
      <c r="ONE25" s="13"/>
      <c r="ONF25" s="9"/>
      <c r="ONG25" s="9"/>
      <c r="ONH25" s="9"/>
      <c r="ONI25" s="9"/>
      <c r="ONJ25" s="10"/>
      <c r="ONK25" s="11"/>
      <c r="ONL25" s="12"/>
      <c r="ONM25" s="12"/>
      <c r="ONN25" s="12"/>
      <c r="ONO25" s="13"/>
      <c r="ONP25" s="9"/>
      <c r="ONQ25" s="9"/>
      <c r="ONR25" s="9"/>
      <c r="ONS25" s="9"/>
      <c r="ONT25" s="10"/>
      <c r="ONU25" s="11"/>
      <c r="ONV25" s="12"/>
      <c r="ONW25" s="12"/>
      <c r="ONX25" s="12"/>
      <c r="ONY25" s="13"/>
      <c r="ONZ25" s="9"/>
      <c r="OOA25" s="9"/>
      <c r="OOB25" s="9"/>
      <c r="OOC25" s="9"/>
      <c r="OOD25" s="10"/>
      <c r="OOE25" s="11"/>
      <c r="OOF25" s="12"/>
      <c r="OOG25" s="12"/>
      <c r="OOH25" s="12"/>
      <c r="OOI25" s="13"/>
      <c r="OOJ25" s="9"/>
      <c r="OOK25" s="9"/>
      <c r="OOL25" s="9"/>
      <c r="OOM25" s="9"/>
      <c r="OON25" s="10"/>
      <c r="OOO25" s="11"/>
      <c r="OOP25" s="12"/>
      <c r="OOQ25" s="12"/>
      <c r="OOR25" s="12"/>
      <c r="OOS25" s="13"/>
      <c r="OOT25" s="9"/>
      <c r="OOU25" s="9"/>
      <c r="OOV25" s="9"/>
      <c r="OOW25" s="9"/>
      <c r="OOX25" s="10"/>
      <c r="OOY25" s="11"/>
      <c r="OOZ25" s="12"/>
      <c r="OPA25" s="12"/>
      <c r="OPB25" s="12"/>
      <c r="OPC25" s="13"/>
      <c r="OPD25" s="9"/>
      <c r="OPE25" s="9"/>
      <c r="OPF25" s="9"/>
      <c r="OPG25" s="9"/>
      <c r="OPH25" s="10"/>
      <c r="OPI25" s="11"/>
      <c r="OPJ25" s="12"/>
      <c r="OPK25" s="12"/>
      <c r="OPL25" s="12"/>
      <c r="OPM25" s="13"/>
      <c r="OPN25" s="9"/>
      <c r="OPO25" s="9"/>
      <c r="OPP25" s="9"/>
      <c r="OPQ25" s="9"/>
      <c r="OPR25" s="10"/>
      <c r="OPS25" s="11"/>
      <c r="OPT25" s="12"/>
      <c r="OPU25" s="12"/>
      <c r="OPV25" s="12"/>
      <c r="OPW25" s="13"/>
      <c r="OPX25" s="9"/>
      <c r="OPY25" s="9"/>
      <c r="OPZ25" s="9"/>
      <c r="OQA25" s="9"/>
      <c r="OQB25" s="10"/>
      <c r="OQC25" s="11"/>
      <c r="OQD25" s="12"/>
      <c r="OQE25" s="12"/>
      <c r="OQF25" s="12"/>
      <c r="OQG25" s="13"/>
      <c r="OQH25" s="9"/>
      <c r="OQI25" s="9"/>
      <c r="OQJ25" s="9"/>
      <c r="OQK25" s="9"/>
      <c r="OQL25" s="10"/>
      <c r="OQM25" s="11"/>
      <c r="OQN25" s="12"/>
      <c r="OQO25" s="12"/>
      <c r="OQP25" s="12"/>
      <c r="OQQ25" s="13"/>
      <c r="OQR25" s="9"/>
      <c r="OQS25" s="9"/>
      <c r="OQT25" s="9"/>
      <c r="OQU25" s="9"/>
      <c r="OQV25" s="10"/>
      <c r="OQW25" s="11"/>
      <c r="OQX25" s="12"/>
      <c r="OQY25" s="12"/>
      <c r="OQZ25" s="12"/>
      <c r="ORA25" s="13"/>
      <c r="ORB25" s="9"/>
      <c r="ORC25" s="9"/>
      <c r="ORD25" s="9"/>
      <c r="ORE25" s="9"/>
      <c r="ORF25" s="10"/>
      <c r="ORG25" s="11"/>
      <c r="ORH25" s="12"/>
      <c r="ORI25" s="12"/>
      <c r="ORJ25" s="12"/>
      <c r="ORK25" s="13"/>
      <c r="ORL25" s="9"/>
      <c r="ORM25" s="9"/>
      <c r="ORN25" s="9"/>
      <c r="ORO25" s="9"/>
      <c r="ORP25" s="10"/>
      <c r="ORQ25" s="11"/>
      <c r="ORR25" s="12"/>
      <c r="ORS25" s="12"/>
      <c r="ORT25" s="12"/>
      <c r="ORU25" s="13"/>
      <c r="ORV25" s="9"/>
      <c r="ORW25" s="9"/>
      <c r="ORX25" s="9"/>
      <c r="ORY25" s="9"/>
      <c r="ORZ25" s="10"/>
      <c r="OSA25" s="11"/>
      <c r="OSB25" s="12"/>
      <c r="OSC25" s="12"/>
      <c r="OSD25" s="12"/>
      <c r="OSE25" s="13"/>
      <c r="OSF25" s="9"/>
      <c r="OSG25" s="9"/>
      <c r="OSH25" s="9"/>
      <c r="OSI25" s="9"/>
      <c r="OSJ25" s="10"/>
      <c r="OSK25" s="11"/>
      <c r="OSL25" s="12"/>
      <c r="OSM25" s="12"/>
      <c r="OSN25" s="12"/>
      <c r="OSO25" s="13"/>
      <c r="OSP25" s="9"/>
      <c r="OSQ25" s="9"/>
      <c r="OSR25" s="9"/>
      <c r="OSS25" s="9"/>
      <c r="OST25" s="10"/>
      <c r="OSU25" s="11"/>
      <c r="OSV25" s="12"/>
      <c r="OSW25" s="12"/>
      <c r="OSX25" s="12"/>
      <c r="OSY25" s="13"/>
      <c r="OSZ25" s="9"/>
      <c r="OTA25" s="9"/>
      <c r="OTB25" s="9"/>
      <c r="OTC25" s="9"/>
      <c r="OTD25" s="10"/>
      <c r="OTE25" s="11"/>
      <c r="OTF25" s="12"/>
      <c r="OTG25" s="12"/>
      <c r="OTH25" s="12"/>
      <c r="OTI25" s="13"/>
      <c r="OTJ25" s="9"/>
      <c r="OTK25" s="9"/>
      <c r="OTL25" s="9"/>
      <c r="OTM25" s="9"/>
      <c r="OTN25" s="10"/>
      <c r="OTO25" s="11"/>
      <c r="OTP25" s="12"/>
      <c r="OTQ25" s="12"/>
      <c r="OTR25" s="12"/>
      <c r="OTS25" s="13"/>
      <c r="OTT25" s="9"/>
      <c r="OTU25" s="9"/>
      <c r="OTV25" s="9"/>
      <c r="OTW25" s="9"/>
      <c r="OTX25" s="10"/>
      <c r="OTY25" s="11"/>
      <c r="OTZ25" s="12"/>
      <c r="OUA25" s="12"/>
      <c r="OUB25" s="12"/>
      <c r="OUC25" s="13"/>
      <c r="OUD25" s="9"/>
      <c r="OUE25" s="9"/>
      <c r="OUF25" s="9"/>
      <c r="OUG25" s="9"/>
      <c r="OUH25" s="10"/>
      <c r="OUI25" s="11"/>
      <c r="OUJ25" s="12"/>
      <c r="OUK25" s="12"/>
      <c r="OUL25" s="12"/>
      <c r="OUM25" s="13"/>
      <c r="OUN25" s="9"/>
      <c r="OUO25" s="9"/>
      <c r="OUP25" s="9"/>
      <c r="OUQ25" s="9"/>
      <c r="OUR25" s="10"/>
      <c r="OUS25" s="11"/>
      <c r="OUT25" s="12"/>
      <c r="OUU25" s="12"/>
      <c r="OUV25" s="12"/>
      <c r="OUW25" s="13"/>
      <c r="OUX25" s="9"/>
      <c r="OUY25" s="9"/>
      <c r="OUZ25" s="9"/>
      <c r="OVA25" s="9"/>
      <c r="OVB25" s="10"/>
      <c r="OVC25" s="11"/>
      <c r="OVD25" s="12"/>
      <c r="OVE25" s="12"/>
      <c r="OVF25" s="12"/>
      <c r="OVG25" s="13"/>
      <c r="OVH25" s="9"/>
      <c r="OVI25" s="9"/>
      <c r="OVJ25" s="9"/>
      <c r="OVK25" s="9"/>
      <c r="OVL25" s="10"/>
      <c r="OVM25" s="11"/>
      <c r="OVN25" s="12"/>
      <c r="OVO25" s="12"/>
      <c r="OVP25" s="12"/>
      <c r="OVQ25" s="13"/>
      <c r="OVR25" s="9"/>
      <c r="OVS25" s="9"/>
      <c r="OVT25" s="9"/>
      <c r="OVU25" s="9"/>
      <c r="OVV25" s="10"/>
      <c r="OVW25" s="11"/>
      <c r="OVX25" s="12"/>
      <c r="OVY25" s="12"/>
      <c r="OVZ25" s="12"/>
      <c r="OWA25" s="13"/>
      <c r="OWB25" s="9"/>
      <c r="OWC25" s="9"/>
      <c r="OWD25" s="9"/>
      <c r="OWE25" s="9"/>
      <c r="OWF25" s="10"/>
      <c r="OWG25" s="11"/>
      <c r="OWH25" s="12"/>
      <c r="OWI25" s="12"/>
      <c r="OWJ25" s="12"/>
      <c r="OWK25" s="13"/>
      <c r="OWL25" s="9"/>
      <c r="OWM25" s="9"/>
      <c r="OWN25" s="9"/>
      <c r="OWO25" s="9"/>
      <c r="OWP25" s="10"/>
      <c r="OWQ25" s="11"/>
      <c r="OWR25" s="12"/>
      <c r="OWS25" s="12"/>
      <c r="OWT25" s="12"/>
      <c r="OWU25" s="13"/>
      <c r="OWV25" s="9"/>
      <c r="OWW25" s="9"/>
      <c r="OWX25" s="9"/>
      <c r="OWY25" s="9"/>
      <c r="OWZ25" s="10"/>
      <c r="OXA25" s="11"/>
      <c r="OXB25" s="12"/>
      <c r="OXC25" s="12"/>
      <c r="OXD25" s="12"/>
      <c r="OXE25" s="13"/>
      <c r="OXF25" s="9"/>
      <c r="OXG25" s="9"/>
      <c r="OXH25" s="9"/>
      <c r="OXI25" s="9"/>
      <c r="OXJ25" s="10"/>
      <c r="OXK25" s="11"/>
      <c r="OXL25" s="12"/>
      <c r="OXM25" s="12"/>
      <c r="OXN25" s="12"/>
      <c r="OXO25" s="13"/>
      <c r="OXP25" s="9"/>
      <c r="OXQ25" s="9"/>
      <c r="OXR25" s="9"/>
      <c r="OXS25" s="9"/>
      <c r="OXT25" s="10"/>
      <c r="OXU25" s="11"/>
      <c r="OXV25" s="12"/>
      <c r="OXW25" s="12"/>
      <c r="OXX25" s="12"/>
      <c r="OXY25" s="13"/>
      <c r="OXZ25" s="9"/>
      <c r="OYA25" s="9"/>
      <c r="OYB25" s="9"/>
      <c r="OYC25" s="9"/>
      <c r="OYD25" s="10"/>
      <c r="OYE25" s="11"/>
      <c r="OYF25" s="12"/>
      <c r="OYG25" s="12"/>
      <c r="OYH25" s="12"/>
      <c r="OYI25" s="13"/>
      <c r="OYJ25" s="9"/>
      <c r="OYK25" s="9"/>
      <c r="OYL25" s="9"/>
      <c r="OYM25" s="9"/>
      <c r="OYN25" s="10"/>
      <c r="OYO25" s="11"/>
      <c r="OYP25" s="12"/>
      <c r="OYQ25" s="12"/>
      <c r="OYR25" s="12"/>
      <c r="OYS25" s="13"/>
      <c r="OYT25" s="9"/>
      <c r="OYU25" s="9"/>
      <c r="OYV25" s="9"/>
      <c r="OYW25" s="9"/>
      <c r="OYX25" s="10"/>
      <c r="OYY25" s="11"/>
      <c r="OYZ25" s="12"/>
      <c r="OZA25" s="12"/>
      <c r="OZB25" s="12"/>
      <c r="OZC25" s="13"/>
      <c r="OZD25" s="9"/>
      <c r="OZE25" s="9"/>
      <c r="OZF25" s="9"/>
      <c r="OZG25" s="9"/>
      <c r="OZH25" s="10"/>
      <c r="OZI25" s="11"/>
      <c r="OZJ25" s="12"/>
      <c r="OZK25" s="12"/>
      <c r="OZL25" s="12"/>
      <c r="OZM25" s="13"/>
      <c r="OZN25" s="9"/>
      <c r="OZO25" s="9"/>
      <c r="OZP25" s="9"/>
      <c r="OZQ25" s="9"/>
      <c r="OZR25" s="10"/>
      <c r="OZS25" s="11"/>
      <c r="OZT25" s="12"/>
      <c r="OZU25" s="12"/>
      <c r="OZV25" s="12"/>
      <c r="OZW25" s="13"/>
      <c r="OZX25" s="9"/>
      <c r="OZY25" s="9"/>
      <c r="OZZ25" s="9"/>
      <c r="PAA25" s="9"/>
      <c r="PAB25" s="10"/>
      <c r="PAC25" s="11"/>
      <c r="PAD25" s="12"/>
      <c r="PAE25" s="12"/>
      <c r="PAF25" s="12"/>
      <c r="PAG25" s="13"/>
      <c r="PAH25" s="9"/>
      <c r="PAI25" s="9"/>
      <c r="PAJ25" s="9"/>
      <c r="PAK25" s="9"/>
      <c r="PAL25" s="10"/>
      <c r="PAM25" s="11"/>
      <c r="PAN25" s="12"/>
      <c r="PAO25" s="12"/>
      <c r="PAP25" s="12"/>
      <c r="PAQ25" s="13"/>
      <c r="PAR25" s="9"/>
      <c r="PAS25" s="9"/>
      <c r="PAT25" s="9"/>
      <c r="PAU25" s="9"/>
      <c r="PAV25" s="10"/>
      <c r="PAW25" s="11"/>
      <c r="PAX25" s="12"/>
      <c r="PAY25" s="12"/>
      <c r="PAZ25" s="12"/>
      <c r="PBA25" s="13"/>
      <c r="PBB25" s="9"/>
      <c r="PBC25" s="9"/>
      <c r="PBD25" s="9"/>
      <c r="PBE25" s="9"/>
      <c r="PBF25" s="10"/>
      <c r="PBG25" s="11"/>
      <c r="PBH25" s="12"/>
      <c r="PBI25" s="12"/>
      <c r="PBJ25" s="12"/>
      <c r="PBK25" s="13"/>
      <c r="PBL25" s="9"/>
      <c r="PBM25" s="9"/>
      <c r="PBN25" s="9"/>
      <c r="PBO25" s="9"/>
      <c r="PBP25" s="10"/>
      <c r="PBQ25" s="11"/>
      <c r="PBR25" s="12"/>
      <c r="PBS25" s="12"/>
      <c r="PBT25" s="12"/>
      <c r="PBU25" s="13"/>
      <c r="PBV25" s="9"/>
      <c r="PBW25" s="9"/>
      <c r="PBX25" s="9"/>
      <c r="PBY25" s="9"/>
      <c r="PBZ25" s="10"/>
      <c r="PCA25" s="11"/>
      <c r="PCB25" s="12"/>
      <c r="PCC25" s="12"/>
      <c r="PCD25" s="12"/>
      <c r="PCE25" s="13"/>
      <c r="PCF25" s="9"/>
      <c r="PCG25" s="9"/>
      <c r="PCH25" s="9"/>
      <c r="PCI25" s="9"/>
      <c r="PCJ25" s="10"/>
      <c r="PCK25" s="11"/>
      <c r="PCL25" s="12"/>
      <c r="PCM25" s="12"/>
      <c r="PCN25" s="12"/>
      <c r="PCO25" s="13"/>
      <c r="PCP25" s="9"/>
      <c r="PCQ25" s="9"/>
      <c r="PCR25" s="9"/>
      <c r="PCS25" s="9"/>
      <c r="PCT25" s="10"/>
      <c r="PCU25" s="11"/>
      <c r="PCV25" s="12"/>
      <c r="PCW25" s="12"/>
      <c r="PCX25" s="12"/>
      <c r="PCY25" s="13"/>
      <c r="PCZ25" s="9"/>
      <c r="PDA25" s="9"/>
      <c r="PDB25" s="9"/>
      <c r="PDC25" s="9"/>
      <c r="PDD25" s="10"/>
      <c r="PDE25" s="11"/>
      <c r="PDF25" s="12"/>
      <c r="PDG25" s="12"/>
      <c r="PDH25" s="12"/>
      <c r="PDI25" s="13"/>
      <c r="PDJ25" s="9"/>
      <c r="PDK25" s="9"/>
      <c r="PDL25" s="9"/>
      <c r="PDM25" s="9"/>
      <c r="PDN25" s="10"/>
      <c r="PDO25" s="11"/>
      <c r="PDP25" s="12"/>
      <c r="PDQ25" s="12"/>
      <c r="PDR25" s="12"/>
      <c r="PDS25" s="13"/>
      <c r="PDT25" s="9"/>
      <c r="PDU25" s="9"/>
      <c r="PDV25" s="9"/>
      <c r="PDW25" s="9"/>
      <c r="PDX25" s="10"/>
      <c r="PDY25" s="11"/>
      <c r="PDZ25" s="12"/>
      <c r="PEA25" s="12"/>
      <c r="PEB25" s="12"/>
      <c r="PEC25" s="13"/>
      <c r="PED25" s="9"/>
      <c r="PEE25" s="9"/>
      <c r="PEF25" s="9"/>
      <c r="PEG25" s="9"/>
      <c r="PEH25" s="10"/>
      <c r="PEI25" s="11"/>
      <c r="PEJ25" s="12"/>
      <c r="PEK25" s="12"/>
      <c r="PEL25" s="12"/>
      <c r="PEM25" s="13"/>
      <c r="PEN25" s="9"/>
      <c r="PEO25" s="9"/>
      <c r="PEP25" s="9"/>
      <c r="PEQ25" s="9"/>
      <c r="PER25" s="10"/>
      <c r="PES25" s="11"/>
      <c r="PET25" s="12"/>
      <c r="PEU25" s="12"/>
      <c r="PEV25" s="12"/>
      <c r="PEW25" s="13"/>
      <c r="PEX25" s="9"/>
      <c r="PEY25" s="9"/>
      <c r="PEZ25" s="9"/>
      <c r="PFA25" s="9"/>
      <c r="PFB25" s="10"/>
      <c r="PFC25" s="11"/>
      <c r="PFD25" s="12"/>
      <c r="PFE25" s="12"/>
      <c r="PFF25" s="12"/>
      <c r="PFG25" s="13"/>
      <c r="PFH25" s="9"/>
      <c r="PFI25" s="9"/>
      <c r="PFJ25" s="9"/>
      <c r="PFK25" s="9"/>
      <c r="PFL25" s="10"/>
      <c r="PFM25" s="11"/>
      <c r="PFN25" s="12"/>
      <c r="PFO25" s="12"/>
      <c r="PFP25" s="12"/>
      <c r="PFQ25" s="13"/>
      <c r="PFR25" s="9"/>
      <c r="PFS25" s="9"/>
      <c r="PFT25" s="9"/>
      <c r="PFU25" s="9"/>
      <c r="PFV25" s="10"/>
      <c r="PFW25" s="11"/>
      <c r="PFX25" s="12"/>
      <c r="PFY25" s="12"/>
      <c r="PFZ25" s="12"/>
      <c r="PGA25" s="13"/>
      <c r="PGB25" s="9"/>
      <c r="PGC25" s="9"/>
      <c r="PGD25" s="9"/>
      <c r="PGE25" s="9"/>
      <c r="PGF25" s="10"/>
      <c r="PGG25" s="11"/>
      <c r="PGH25" s="12"/>
      <c r="PGI25" s="12"/>
      <c r="PGJ25" s="12"/>
      <c r="PGK25" s="13"/>
      <c r="PGL25" s="9"/>
      <c r="PGM25" s="9"/>
      <c r="PGN25" s="9"/>
      <c r="PGO25" s="9"/>
      <c r="PGP25" s="10"/>
      <c r="PGQ25" s="11"/>
      <c r="PGR25" s="12"/>
      <c r="PGS25" s="12"/>
      <c r="PGT25" s="12"/>
      <c r="PGU25" s="13"/>
      <c r="PGV25" s="9"/>
      <c r="PGW25" s="9"/>
      <c r="PGX25" s="9"/>
      <c r="PGY25" s="9"/>
      <c r="PGZ25" s="10"/>
      <c r="PHA25" s="11"/>
      <c r="PHB25" s="12"/>
      <c r="PHC25" s="12"/>
      <c r="PHD25" s="12"/>
      <c r="PHE25" s="13"/>
      <c r="PHF25" s="9"/>
      <c r="PHG25" s="9"/>
      <c r="PHH25" s="9"/>
      <c r="PHI25" s="9"/>
      <c r="PHJ25" s="10"/>
      <c r="PHK25" s="11"/>
      <c r="PHL25" s="12"/>
      <c r="PHM25" s="12"/>
      <c r="PHN25" s="12"/>
      <c r="PHO25" s="13"/>
      <c r="PHP25" s="9"/>
      <c r="PHQ25" s="9"/>
      <c r="PHR25" s="9"/>
      <c r="PHS25" s="9"/>
      <c r="PHT25" s="10"/>
      <c r="PHU25" s="11"/>
      <c r="PHV25" s="12"/>
      <c r="PHW25" s="12"/>
      <c r="PHX25" s="12"/>
      <c r="PHY25" s="13"/>
      <c r="PHZ25" s="9"/>
      <c r="PIA25" s="9"/>
      <c r="PIB25" s="9"/>
      <c r="PIC25" s="9"/>
      <c r="PID25" s="10"/>
      <c r="PIE25" s="11"/>
      <c r="PIF25" s="12"/>
      <c r="PIG25" s="12"/>
      <c r="PIH25" s="12"/>
      <c r="PII25" s="13"/>
      <c r="PIJ25" s="9"/>
      <c r="PIK25" s="9"/>
      <c r="PIL25" s="9"/>
      <c r="PIM25" s="9"/>
      <c r="PIN25" s="10"/>
      <c r="PIO25" s="11"/>
      <c r="PIP25" s="12"/>
      <c r="PIQ25" s="12"/>
      <c r="PIR25" s="12"/>
      <c r="PIS25" s="13"/>
      <c r="PIT25" s="9"/>
      <c r="PIU25" s="9"/>
      <c r="PIV25" s="9"/>
      <c r="PIW25" s="9"/>
      <c r="PIX25" s="10"/>
      <c r="PIY25" s="11"/>
      <c r="PIZ25" s="12"/>
      <c r="PJA25" s="12"/>
      <c r="PJB25" s="12"/>
      <c r="PJC25" s="13"/>
      <c r="PJD25" s="9"/>
      <c r="PJE25" s="9"/>
      <c r="PJF25" s="9"/>
      <c r="PJG25" s="9"/>
      <c r="PJH25" s="10"/>
      <c r="PJI25" s="11"/>
      <c r="PJJ25" s="12"/>
      <c r="PJK25" s="12"/>
      <c r="PJL25" s="12"/>
      <c r="PJM25" s="13"/>
      <c r="PJN25" s="9"/>
      <c r="PJO25" s="9"/>
      <c r="PJP25" s="9"/>
      <c r="PJQ25" s="9"/>
      <c r="PJR25" s="10"/>
      <c r="PJS25" s="11"/>
      <c r="PJT25" s="12"/>
      <c r="PJU25" s="12"/>
      <c r="PJV25" s="12"/>
      <c r="PJW25" s="13"/>
      <c r="PJX25" s="9"/>
      <c r="PJY25" s="9"/>
      <c r="PJZ25" s="9"/>
      <c r="PKA25" s="9"/>
      <c r="PKB25" s="10"/>
      <c r="PKC25" s="11"/>
      <c r="PKD25" s="12"/>
      <c r="PKE25" s="12"/>
      <c r="PKF25" s="12"/>
      <c r="PKG25" s="13"/>
      <c r="PKH25" s="9"/>
      <c r="PKI25" s="9"/>
      <c r="PKJ25" s="9"/>
      <c r="PKK25" s="9"/>
      <c r="PKL25" s="10"/>
      <c r="PKM25" s="11"/>
      <c r="PKN25" s="12"/>
      <c r="PKO25" s="12"/>
      <c r="PKP25" s="12"/>
      <c r="PKQ25" s="13"/>
      <c r="PKR25" s="9"/>
      <c r="PKS25" s="9"/>
      <c r="PKT25" s="9"/>
      <c r="PKU25" s="9"/>
      <c r="PKV25" s="10"/>
      <c r="PKW25" s="11"/>
      <c r="PKX25" s="12"/>
      <c r="PKY25" s="12"/>
      <c r="PKZ25" s="12"/>
      <c r="PLA25" s="13"/>
      <c r="PLB25" s="9"/>
      <c r="PLC25" s="9"/>
      <c r="PLD25" s="9"/>
      <c r="PLE25" s="9"/>
      <c r="PLF25" s="10"/>
      <c r="PLG25" s="11"/>
      <c r="PLH25" s="12"/>
      <c r="PLI25" s="12"/>
      <c r="PLJ25" s="12"/>
      <c r="PLK25" s="13"/>
      <c r="PLL25" s="9"/>
      <c r="PLM25" s="9"/>
      <c r="PLN25" s="9"/>
      <c r="PLO25" s="9"/>
      <c r="PLP25" s="10"/>
      <c r="PLQ25" s="11"/>
      <c r="PLR25" s="12"/>
      <c r="PLS25" s="12"/>
      <c r="PLT25" s="12"/>
      <c r="PLU25" s="13"/>
      <c r="PLV25" s="9"/>
      <c r="PLW25" s="9"/>
      <c r="PLX25" s="9"/>
      <c r="PLY25" s="9"/>
      <c r="PLZ25" s="10"/>
      <c r="PMA25" s="11"/>
      <c r="PMB25" s="12"/>
      <c r="PMC25" s="12"/>
      <c r="PMD25" s="12"/>
      <c r="PME25" s="13"/>
      <c r="PMF25" s="9"/>
      <c r="PMG25" s="9"/>
      <c r="PMH25" s="9"/>
      <c r="PMI25" s="9"/>
      <c r="PMJ25" s="10"/>
      <c r="PMK25" s="11"/>
      <c r="PML25" s="12"/>
      <c r="PMM25" s="12"/>
      <c r="PMN25" s="12"/>
      <c r="PMO25" s="13"/>
      <c r="PMP25" s="9"/>
      <c r="PMQ25" s="9"/>
      <c r="PMR25" s="9"/>
      <c r="PMS25" s="9"/>
      <c r="PMT25" s="10"/>
      <c r="PMU25" s="11"/>
      <c r="PMV25" s="12"/>
      <c r="PMW25" s="12"/>
      <c r="PMX25" s="12"/>
      <c r="PMY25" s="13"/>
      <c r="PMZ25" s="9"/>
      <c r="PNA25" s="9"/>
      <c r="PNB25" s="9"/>
      <c r="PNC25" s="9"/>
      <c r="PND25" s="10"/>
      <c r="PNE25" s="11"/>
      <c r="PNF25" s="12"/>
      <c r="PNG25" s="12"/>
      <c r="PNH25" s="12"/>
      <c r="PNI25" s="13"/>
      <c r="PNJ25" s="9"/>
      <c r="PNK25" s="9"/>
      <c r="PNL25" s="9"/>
      <c r="PNM25" s="9"/>
      <c r="PNN25" s="10"/>
      <c r="PNO25" s="11"/>
      <c r="PNP25" s="12"/>
      <c r="PNQ25" s="12"/>
      <c r="PNR25" s="12"/>
      <c r="PNS25" s="13"/>
      <c r="PNT25" s="9"/>
      <c r="PNU25" s="9"/>
      <c r="PNV25" s="9"/>
      <c r="PNW25" s="9"/>
      <c r="PNX25" s="10"/>
      <c r="PNY25" s="11"/>
      <c r="PNZ25" s="12"/>
      <c r="POA25" s="12"/>
      <c r="POB25" s="12"/>
      <c r="POC25" s="13"/>
      <c r="POD25" s="9"/>
      <c r="POE25" s="9"/>
      <c r="POF25" s="9"/>
      <c r="POG25" s="9"/>
      <c r="POH25" s="10"/>
      <c r="POI25" s="11"/>
      <c r="POJ25" s="12"/>
      <c r="POK25" s="12"/>
      <c r="POL25" s="12"/>
      <c r="POM25" s="13"/>
      <c r="PON25" s="9"/>
      <c r="POO25" s="9"/>
      <c r="POP25" s="9"/>
      <c r="POQ25" s="9"/>
      <c r="POR25" s="10"/>
      <c r="POS25" s="11"/>
      <c r="POT25" s="12"/>
      <c r="POU25" s="12"/>
      <c r="POV25" s="12"/>
      <c r="POW25" s="13"/>
      <c r="POX25" s="9"/>
      <c r="POY25" s="9"/>
      <c r="POZ25" s="9"/>
      <c r="PPA25" s="9"/>
      <c r="PPB25" s="10"/>
      <c r="PPC25" s="11"/>
      <c r="PPD25" s="12"/>
      <c r="PPE25" s="12"/>
      <c r="PPF25" s="12"/>
      <c r="PPG25" s="13"/>
      <c r="PPH25" s="9"/>
      <c r="PPI25" s="9"/>
      <c r="PPJ25" s="9"/>
      <c r="PPK25" s="9"/>
      <c r="PPL25" s="10"/>
      <c r="PPM25" s="11"/>
      <c r="PPN25" s="12"/>
      <c r="PPO25" s="12"/>
      <c r="PPP25" s="12"/>
      <c r="PPQ25" s="13"/>
      <c r="PPR25" s="9"/>
      <c r="PPS25" s="9"/>
      <c r="PPT25" s="9"/>
      <c r="PPU25" s="9"/>
      <c r="PPV25" s="10"/>
      <c r="PPW25" s="11"/>
      <c r="PPX25" s="12"/>
      <c r="PPY25" s="12"/>
      <c r="PPZ25" s="12"/>
      <c r="PQA25" s="13"/>
      <c r="PQB25" s="9"/>
      <c r="PQC25" s="9"/>
      <c r="PQD25" s="9"/>
      <c r="PQE25" s="9"/>
      <c r="PQF25" s="10"/>
      <c r="PQG25" s="11"/>
      <c r="PQH25" s="12"/>
      <c r="PQI25" s="12"/>
      <c r="PQJ25" s="12"/>
      <c r="PQK25" s="13"/>
      <c r="PQL25" s="9"/>
      <c r="PQM25" s="9"/>
      <c r="PQN25" s="9"/>
      <c r="PQO25" s="9"/>
      <c r="PQP25" s="10"/>
      <c r="PQQ25" s="11"/>
      <c r="PQR25" s="12"/>
      <c r="PQS25" s="12"/>
      <c r="PQT25" s="12"/>
      <c r="PQU25" s="13"/>
      <c r="PQV25" s="9"/>
      <c r="PQW25" s="9"/>
      <c r="PQX25" s="9"/>
      <c r="PQY25" s="9"/>
      <c r="PQZ25" s="10"/>
      <c r="PRA25" s="11"/>
      <c r="PRB25" s="12"/>
      <c r="PRC25" s="12"/>
      <c r="PRD25" s="12"/>
      <c r="PRE25" s="13"/>
      <c r="PRF25" s="9"/>
      <c r="PRG25" s="9"/>
      <c r="PRH25" s="9"/>
      <c r="PRI25" s="9"/>
      <c r="PRJ25" s="10"/>
      <c r="PRK25" s="11"/>
      <c r="PRL25" s="12"/>
      <c r="PRM25" s="12"/>
      <c r="PRN25" s="12"/>
      <c r="PRO25" s="13"/>
      <c r="PRP25" s="9"/>
      <c r="PRQ25" s="9"/>
      <c r="PRR25" s="9"/>
      <c r="PRS25" s="9"/>
      <c r="PRT25" s="10"/>
      <c r="PRU25" s="11"/>
      <c r="PRV25" s="12"/>
      <c r="PRW25" s="12"/>
      <c r="PRX25" s="12"/>
      <c r="PRY25" s="13"/>
      <c r="PRZ25" s="9"/>
      <c r="PSA25" s="9"/>
      <c r="PSB25" s="9"/>
      <c r="PSC25" s="9"/>
      <c r="PSD25" s="10"/>
      <c r="PSE25" s="11"/>
      <c r="PSF25" s="12"/>
      <c r="PSG25" s="12"/>
      <c r="PSH25" s="12"/>
      <c r="PSI25" s="13"/>
      <c r="PSJ25" s="9"/>
      <c r="PSK25" s="9"/>
      <c r="PSL25" s="9"/>
      <c r="PSM25" s="9"/>
      <c r="PSN25" s="10"/>
      <c r="PSO25" s="11"/>
      <c r="PSP25" s="12"/>
      <c r="PSQ25" s="12"/>
      <c r="PSR25" s="12"/>
      <c r="PSS25" s="13"/>
      <c r="PST25" s="9"/>
      <c r="PSU25" s="9"/>
      <c r="PSV25" s="9"/>
      <c r="PSW25" s="9"/>
      <c r="PSX25" s="10"/>
      <c r="PSY25" s="11"/>
      <c r="PSZ25" s="12"/>
      <c r="PTA25" s="12"/>
      <c r="PTB25" s="12"/>
      <c r="PTC25" s="13"/>
      <c r="PTD25" s="9"/>
      <c r="PTE25" s="9"/>
      <c r="PTF25" s="9"/>
      <c r="PTG25" s="9"/>
      <c r="PTH25" s="10"/>
      <c r="PTI25" s="11"/>
      <c r="PTJ25" s="12"/>
      <c r="PTK25" s="12"/>
      <c r="PTL25" s="12"/>
      <c r="PTM25" s="13"/>
      <c r="PTN25" s="9"/>
      <c r="PTO25" s="9"/>
      <c r="PTP25" s="9"/>
      <c r="PTQ25" s="9"/>
      <c r="PTR25" s="10"/>
      <c r="PTS25" s="11"/>
      <c r="PTT25" s="12"/>
      <c r="PTU25" s="12"/>
      <c r="PTV25" s="12"/>
      <c r="PTW25" s="13"/>
      <c r="PTX25" s="9"/>
      <c r="PTY25" s="9"/>
      <c r="PTZ25" s="9"/>
      <c r="PUA25" s="9"/>
      <c r="PUB25" s="10"/>
      <c r="PUC25" s="11"/>
      <c r="PUD25" s="12"/>
      <c r="PUE25" s="12"/>
      <c r="PUF25" s="12"/>
      <c r="PUG25" s="13"/>
      <c r="PUH25" s="9"/>
      <c r="PUI25" s="9"/>
      <c r="PUJ25" s="9"/>
      <c r="PUK25" s="9"/>
      <c r="PUL25" s="10"/>
      <c r="PUM25" s="11"/>
      <c r="PUN25" s="12"/>
      <c r="PUO25" s="12"/>
      <c r="PUP25" s="12"/>
      <c r="PUQ25" s="13"/>
      <c r="PUR25" s="9"/>
      <c r="PUS25" s="9"/>
      <c r="PUT25" s="9"/>
      <c r="PUU25" s="9"/>
      <c r="PUV25" s="10"/>
      <c r="PUW25" s="11"/>
      <c r="PUX25" s="12"/>
      <c r="PUY25" s="12"/>
      <c r="PUZ25" s="12"/>
      <c r="PVA25" s="13"/>
      <c r="PVB25" s="9"/>
      <c r="PVC25" s="9"/>
      <c r="PVD25" s="9"/>
      <c r="PVE25" s="9"/>
      <c r="PVF25" s="10"/>
      <c r="PVG25" s="11"/>
      <c r="PVH25" s="12"/>
      <c r="PVI25" s="12"/>
      <c r="PVJ25" s="12"/>
      <c r="PVK25" s="13"/>
      <c r="PVL25" s="9"/>
      <c r="PVM25" s="9"/>
      <c r="PVN25" s="9"/>
      <c r="PVO25" s="9"/>
      <c r="PVP25" s="10"/>
      <c r="PVQ25" s="11"/>
      <c r="PVR25" s="12"/>
      <c r="PVS25" s="12"/>
      <c r="PVT25" s="12"/>
      <c r="PVU25" s="13"/>
      <c r="PVV25" s="9"/>
      <c r="PVW25" s="9"/>
      <c r="PVX25" s="9"/>
      <c r="PVY25" s="9"/>
      <c r="PVZ25" s="10"/>
      <c r="PWA25" s="11"/>
      <c r="PWB25" s="12"/>
      <c r="PWC25" s="12"/>
      <c r="PWD25" s="12"/>
      <c r="PWE25" s="13"/>
      <c r="PWF25" s="9"/>
      <c r="PWG25" s="9"/>
      <c r="PWH25" s="9"/>
      <c r="PWI25" s="9"/>
      <c r="PWJ25" s="10"/>
      <c r="PWK25" s="11"/>
      <c r="PWL25" s="12"/>
      <c r="PWM25" s="12"/>
      <c r="PWN25" s="12"/>
      <c r="PWO25" s="13"/>
      <c r="PWP25" s="9"/>
      <c r="PWQ25" s="9"/>
      <c r="PWR25" s="9"/>
      <c r="PWS25" s="9"/>
      <c r="PWT25" s="10"/>
      <c r="PWU25" s="11"/>
      <c r="PWV25" s="12"/>
      <c r="PWW25" s="12"/>
      <c r="PWX25" s="12"/>
      <c r="PWY25" s="13"/>
      <c r="PWZ25" s="9"/>
      <c r="PXA25" s="9"/>
      <c r="PXB25" s="9"/>
      <c r="PXC25" s="9"/>
      <c r="PXD25" s="10"/>
      <c r="PXE25" s="11"/>
      <c r="PXF25" s="12"/>
      <c r="PXG25" s="12"/>
      <c r="PXH25" s="12"/>
      <c r="PXI25" s="13"/>
      <c r="PXJ25" s="9"/>
      <c r="PXK25" s="9"/>
      <c r="PXL25" s="9"/>
      <c r="PXM25" s="9"/>
      <c r="PXN25" s="10"/>
      <c r="PXO25" s="11"/>
      <c r="PXP25" s="12"/>
      <c r="PXQ25" s="12"/>
      <c r="PXR25" s="12"/>
      <c r="PXS25" s="13"/>
      <c r="PXT25" s="9"/>
      <c r="PXU25" s="9"/>
      <c r="PXV25" s="9"/>
      <c r="PXW25" s="9"/>
      <c r="PXX25" s="10"/>
      <c r="PXY25" s="11"/>
      <c r="PXZ25" s="12"/>
      <c r="PYA25" s="12"/>
      <c r="PYB25" s="12"/>
      <c r="PYC25" s="13"/>
      <c r="PYD25" s="9"/>
      <c r="PYE25" s="9"/>
      <c r="PYF25" s="9"/>
      <c r="PYG25" s="9"/>
      <c r="PYH25" s="10"/>
      <c r="PYI25" s="11"/>
      <c r="PYJ25" s="12"/>
      <c r="PYK25" s="12"/>
      <c r="PYL25" s="12"/>
      <c r="PYM25" s="13"/>
      <c r="PYN25" s="9"/>
      <c r="PYO25" s="9"/>
      <c r="PYP25" s="9"/>
      <c r="PYQ25" s="9"/>
      <c r="PYR25" s="10"/>
      <c r="PYS25" s="11"/>
      <c r="PYT25" s="12"/>
      <c r="PYU25" s="12"/>
      <c r="PYV25" s="12"/>
      <c r="PYW25" s="13"/>
      <c r="PYX25" s="9"/>
      <c r="PYY25" s="9"/>
      <c r="PYZ25" s="9"/>
      <c r="PZA25" s="9"/>
      <c r="PZB25" s="10"/>
      <c r="PZC25" s="11"/>
      <c r="PZD25" s="12"/>
      <c r="PZE25" s="12"/>
      <c r="PZF25" s="12"/>
      <c r="PZG25" s="13"/>
      <c r="PZH25" s="9"/>
      <c r="PZI25" s="9"/>
      <c r="PZJ25" s="9"/>
      <c r="PZK25" s="9"/>
      <c r="PZL25" s="10"/>
      <c r="PZM25" s="11"/>
      <c r="PZN25" s="12"/>
      <c r="PZO25" s="12"/>
      <c r="PZP25" s="12"/>
      <c r="PZQ25" s="13"/>
      <c r="PZR25" s="9"/>
      <c r="PZS25" s="9"/>
      <c r="PZT25" s="9"/>
      <c r="PZU25" s="9"/>
      <c r="PZV25" s="10"/>
      <c r="PZW25" s="11"/>
      <c r="PZX25" s="12"/>
      <c r="PZY25" s="12"/>
      <c r="PZZ25" s="12"/>
      <c r="QAA25" s="13"/>
      <c r="QAB25" s="9"/>
      <c r="QAC25" s="9"/>
      <c r="QAD25" s="9"/>
      <c r="QAE25" s="9"/>
      <c r="QAF25" s="10"/>
      <c r="QAG25" s="11"/>
      <c r="QAH25" s="12"/>
      <c r="QAI25" s="12"/>
      <c r="QAJ25" s="12"/>
      <c r="QAK25" s="13"/>
      <c r="QAL25" s="9"/>
      <c r="QAM25" s="9"/>
      <c r="QAN25" s="9"/>
      <c r="QAO25" s="9"/>
      <c r="QAP25" s="10"/>
      <c r="QAQ25" s="11"/>
      <c r="QAR25" s="12"/>
      <c r="QAS25" s="12"/>
      <c r="QAT25" s="12"/>
      <c r="QAU25" s="13"/>
      <c r="QAV25" s="9"/>
      <c r="QAW25" s="9"/>
      <c r="QAX25" s="9"/>
      <c r="QAY25" s="9"/>
      <c r="QAZ25" s="10"/>
      <c r="QBA25" s="11"/>
      <c r="QBB25" s="12"/>
      <c r="QBC25" s="12"/>
      <c r="QBD25" s="12"/>
      <c r="QBE25" s="13"/>
      <c r="QBF25" s="9"/>
      <c r="QBG25" s="9"/>
      <c r="QBH25" s="9"/>
      <c r="QBI25" s="9"/>
      <c r="QBJ25" s="10"/>
      <c r="QBK25" s="11"/>
      <c r="QBL25" s="12"/>
      <c r="QBM25" s="12"/>
      <c r="QBN25" s="12"/>
      <c r="QBO25" s="13"/>
      <c r="QBP25" s="9"/>
      <c r="QBQ25" s="9"/>
      <c r="QBR25" s="9"/>
      <c r="QBS25" s="9"/>
      <c r="QBT25" s="10"/>
      <c r="QBU25" s="11"/>
      <c r="QBV25" s="12"/>
      <c r="QBW25" s="12"/>
      <c r="QBX25" s="12"/>
      <c r="QBY25" s="13"/>
      <c r="QBZ25" s="9"/>
      <c r="QCA25" s="9"/>
      <c r="QCB25" s="9"/>
      <c r="QCC25" s="9"/>
      <c r="QCD25" s="10"/>
      <c r="QCE25" s="11"/>
      <c r="QCF25" s="12"/>
      <c r="QCG25" s="12"/>
      <c r="QCH25" s="12"/>
      <c r="QCI25" s="13"/>
      <c r="QCJ25" s="9"/>
      <c r="QCK25" s="9"/>
      <c r="QCL25" s="9"/>
      <c r="QCM25" s="9"/>
      <c r="QCN25" s="10"/>
      <c r="QCO25" s="11"/>
      <c r="QCP25" s="12"/>
      <c r="QCQ25" s="12"/>
      <c r="QCR25" s="12"/>
      <c r="QCS25" s="13"/>
      <c r="QCT25" s="9"/>
      <c r="QCU25" s="9"/>
      <c r="QCV25" s="9"/>
      <c r="QCW25" s="9"/>
      <c r="QCX25" s="10"/>
      <c r="QCY25" s="11"/>
      <c r="QCZ25" s="12"/>
      <c r="QDA25" s="12"/>
      <c r="QDB25" s="12"/>
      <c r="QDC25" s="13"/>
      <c r="QDD25" s="9"/>
      <c r="QDE25" s="9"/>
      <c r="QDF25" s="9"/>
      <c r="QDG25" s="9"/>
      <c r="QDH25" s="10"/>
      <c r="QDI25" s="11"/>
      <c r="QDJ25" s="12"/>
      <c r="QDK25" s="12"/>
      <c r="QDL25" s="12"/>
      <c r="QDM25" s="13"/>
      <c r="QDN25" s="9"/>
      <c r="QDO25" s="9"/>
      <c r="QDP25" s="9"/>
      <c r="QDQ25" s="9"/>
      <c r="QDR25" s="10"/>
      <c r="QDS25" s="11"/>
      <c r="QDT25" s="12"/>
      <c r="QDU25" s="12"/>
      <c r="QDV25" s="12"/>
      <c r="QDW25" s="13"/>
      <c r="QDX25" s="9"/>
      <c r="QDY25" s="9"/>
      <c r="QDZ25" s="9"/>
      <c r="QEA25" s="9"/>
      <c r="QEB25" s="10"/>
      <c r="QEC25" s="11"/>
      <c r="QED25" s="12"/>
      <c r="QEE25" s="12"/>
      <c r="QEF25" s="12"/>
      <c r="QEG25" s="13"/>
      <c r="QEH25" s="9"/>
      <c r="QEI25" s="9"/>
      <c r="QEJ25" s="9"/>
      <c r="QEK25" s="9"/>
      <c r="QEL25" s="10"/>
      <c r="QEM25" s="11"/>
      <c r="QEN25" s="12"/>
      <c r="QEO25" s="12"/>
      <c r="QEP25" s="12"/>
      <c r="QEQ25" s="13"/>
      <c r="QER25" s="9"/>
      <c r="QES25" s="9"/>
      <c r="QET25" s="9"/>
      <c r="QEU25" s="9"/>
      <c r="QEV25" s="10"/>
      <c r="QEW25" s="11"/>
      <c r="QEX25" s="12"/>
      <c r="QEY25" s="12"/>
      <c r="QEZ25" s="12"/>
      <c r="QFA25" s="13"/>
      <c r="QFB25" s="9"/>
      <c r="QFC25" s="9"/>
      <c r="QFD25" s="9"/>
      <c r="QFE25" s="9"/>
      <c r="QFF25" s="10"/>
      <c r="QFG25" s="11"/>
      <c r="QFH25" s="12"/>
      <c r="QFI25" s="12"/>
      <c r="QFJ25" s="12"/>
      <c r="QFK25" s="13"/>
      <c r="QFL25" s="9"/>
      <c r="QFM25" s="9"/>
      <c r="QFN25" s="9"/>
      <c r="QFO25" s="9"/>
      <c r="QFP25" s="10"/>
      <c r="QFQ25" s="11"/>
      <c r="QFR25" s="12"/>
      <c r="QFS25" s="12"/>
      <c r="QFT25" s="12"/>
      <c r="QFU25" s="13"/>
      <c r="QFV25" s="9"/>
      <c r="QFW25" s="9"/>
      <c r="QFX25" s="9"/>
      <c r="QFY25" s="9"/>
      <c r="QFZ25" s="10"/>
      <c r="QGA25" s="11"/>
      <c r="QGB25" s="12"/>
      <c r="QGC25" s="12"/>
      <c r="QGD25" s="12"/>
      <c r="QGE25" s="13"/>
      <c r="QGF25" s="9"/>
      <c r="QGG25" s="9"/>
      <c r="QGH25" s="9"/>
      <c r="QGI25" s="9"/>
      <c r="QGJ25" s="10"/>
      <c r="QGK25" s="11"/>
      <c r="QGL25" s="12"/>
      <c r="QGM25" s="12"/>
      <c r="QGN25" s="12"/>
      <c r="QGO25" s="13"/>
      <c r="QGP25" s="9"/>
      <c r="QGQ25" s="9"/>
      <c r="QGR25" s="9"/>
      <c r="QGS25" s="9"/>
      <c r="QGT25" s="10"/>
      <c r="QGU25" s="11"/>
      <c r="QGV25" s="12"/>
      <c r="QGW25" s="12"/>
      <c r="QGX25" s="12"/>
      <c r="QGY25" s="13"/>
      <c r="QGZ25" s="9"/>
      <c r="QHA25" s="9"/>
      <c r="QHB25" s="9"/>
      <c r="QHC25" s="9"/>
      <c r="QHD25" s="10"/>
      <c r="QHE25" s="11"/>
      <c r="QHF25" s="12"/>
      <c r="QHG25" s="12"/>
      <c r="QHH25" s="12"/>
      <c r="QHI25" s="13"/>
      <c r="QHJ25" s="9"/>
      <c r="QHK25" s="9"/>
      <c r="QHL25" s="9"/>
      <c r="QHM25" s="9"/>
      <c r="QHN25" s="10"/>
      <c r="QHO25" s="11"/>
      <c r="QHP25" s="12"/>
      <c r="QHQ25" s="12"/>
      <c r="QHR25" s="12"/>
      <c r="QHS25" s="13"/>
      <c r="QHT25" s="9"/>
      <c r="QHU25" s="9"/>
      <c r="QHV25" s="9"/>
      <c r="QHW25" s="9"/>
      <c r="QHX25" s="10"/>
      <c r="QHY25" s="11"/>
      <c r="QHZ25" s="12"/>
      <c r="QIA25" s="12"/>
      <c r="QIB25" s="12"/>
      <c r="QIC25" s="13"/>
      <c r="QID25" s="9"/>
      <c r="QIE25" s="9"/>
      <c r="QIF25" s="9"/>
      <c r="QIG25" s="9"/>
      <c r="QIH25" s="10"/>
      <c r="QII25" s="11"/>
      <c r="QIJ25" s="12"/>
      <c r="QIK25" s="12"/>
      <c r="QIL25" s="12"/>
      <c r="QIM25" s="13"/>
      <c r="QIN25" s="9"/>
      <c r="QIO25" s="9"/>
      <c r="QIP25" s="9"/>
      <c r="QIQ25" s="9"/>
      <c r="QIR25" s="10"/>
      <c r="QIS25" s="11"/>
      <c r="QIT25" s="12"/>
      <c r="QIU25" s="12"/>
      <c r="QIV25" s="12"/>
      <c r="QIW25" s="13"/>
      <c r="QIX25" s="9"/>
      <c r="QIY25" s="9"/>
      <c r="QIZ25" s="9"/>
      <c r="QJA25" s="9"/>
      <c r="QJB25" s="10"/>
      <c r="QJC25" s="11"/>
      <c r="QJD25" s="12"/>
      <c r="QJE25" s="12"/>
      <c r="QJF25" s="12"/>
      <c r="QJG25" s="13"/>
      <c r="QJH25" s="9"/>
      <c r="QJI25" s="9"/>
      <c r="QJJ25" s="9"/>
      <c r="QJK25" s="9"/>
      <c r="QJL25" s="10"/>
      <c r="QJM25" s="11"/>
      <c r="QJN25" s="12"/>
      <c r="QJO25" s="12"/>
      <c r="QJP25" s="12"/>
      <c r="QJQ25" s="13"/>
      <c r="QJR25" s="9"/>
      <c r="QJS25" s="9"/>
      <c r="QJT25" s="9"/>
      <c r="QJU25" s="9"/>
      <c r="QJV25" s="10"/>
      <c r="QJW25" s="11"/>
      <c r="QJX25" s="12"/>
      <c r="QJY25" s="12"/>
      <c r="QJZ25" s="12"/>
      <c r="QKA25" s="13"/>
      <c r="QKB25" s="9"/>
      <c r="QKC25" s="9"/>
      <c r="QKD25" s="9"/>
      <c r="QKE25" s="9"/>
      <c r="QKF25" s="10"/>
      <c r="QKG25" s="11"/>
      <c r="QKH25" s="12"/>
      <c r="QKI25" s="12"/>
      <c r="QKJ25" s="12"/>
      <c r="QKK25" s="13"/>
      <c r="QKL25" s="9"/>
      <c r="QKM25" s="9"/>
      <c r="QKN25" s="9"/>
      <c r="QKO25" s="9"/>
      <c r="QKP25" s="10"/>
      <c r="QKQ25" s="11"/>
      <c r="QKR25" s="12"/>
      <c r="QKS25" s="12"/>
      <c r="QKT25" s="12"/>
      <c r="QKU25" s="13"/>
      <c r="QKV25" s="9"/>
      <c r="QKW25" s="9"/>
      <c r="QKX25" s="9"/>
      <c r="QKY25" s="9"/>
      <c r="QKZ25" s="10"/>
      <c r="QLA25" s="11"/>
      <c r="QLB25" s="12"/>
      <c r="QLC25" s="12"/>
      <c r="QLD25" s="12"/>
      <c r="QLE25" s="13"/>
      <c r="QLF25" s="9"/>
      <c r="QLG25" s="9"/>
      <c r="QLH25" s="9"/>
      <c r="QLI25" s="9"/>
      <c r="QLJ25" s="10"/>
      <c r="QLK25" s="11"/>
      <c r="QLL25" s="12"/>
      <c r="QLM25" s="12"/>
      <c r="QLN25" s="12"/>
      <c r="QLO25" s="13"/>
      <c r="QLP25" s="9"/>
      <c r="QLQ25" s="9"/>
      <c r="QLR25" s="9"/>
      <c r="QLS25" s="9"/>
      <c r="QLT25" s="10"/>
      <c r="QLU25" s="11"/>
      <c r="QLV25" s="12"/>
      <c r="QLW25" s="12"/>
      <c r="QLX25" s="12"/>
      <c r="QLY25" s="13"/>
      <c r="QLZ25" s="9"/>
      <c r="QMA25" s="9"/>
      <c r="QMB25" s="9"/>
      <c r="QMC25" s="9"/>
      <c r="QMD25" s="10"/>
      <c r="QME25" s="11"/>
      <c r="QMF25" s="12"/>
      <c r="QMG25" s="12"/>
      <c r="QMH25" s="12"/>
      <c r="QMI25" s="13"/>
      <c r="QMJ25" s="9"/>
      <c r="QMK25" s="9"/>
      <c r="QML25" s="9"/>
      <c r="QMM25" s="9"/>
      <c r="QMN25" s="10"/>
      <c r="QMO25" s="11"/>
      <c r="QMP25" s="12"/>
      <c r="QMQ25" s="12"/>
      <c r="QMR25" s="12"/>
      <c r="QMS25" s="13"/>
      <c r="QMT25" s="9"/>
      <c r="QMU25" s="9"/>
      <c r="QMV25" s="9"/>
      <c r="QMW25" s="9"/>
      <c r="QMX25" s="10"/>
      <c r="QMY25" s="11"/>
      <c r="QMZ25" s="12"/>
      <c r="QNA25" s="12"/>
      <c r="QNB25" s="12"/>
      <c r="QNC25" s="13"/>
      <c r="QND25" s="9"/>
      <c r="QNE25" s="9"/>
      <c r="QNF25" s="9"/>
      <c r="QNG25" s="9"/>
      <c r="QNH25" s="10"/>
      <c r="QNI25" s="11"/>
      <c r="QNJ25" s="12"/>
      <c r="QNK25" s="12"/>
      <c r="QNL25" s="12"/>
      <c r="QNM25" s="13"/>
      <c r="QNN25" s="9"/>
      <c r="QNO25" s="9"/>
      <c r="QNP25" s="9"/>
      <c r="QNQ25" s="9"/>
      <c r="QNR25" s="10"/>
      <c r="QNS25" s="11"/>
      <c r="QNT25" s="12"/>
      <c r="QNU25" s="12"/>
      <c r="QNV25" s="12"/>
      <c r="QNW25" s="13"/>
      <c r="QNX25" s="9"/>
      <c r="QNY25" s="9"/>
      <c r="QNZ25" s="9"/>
      <c r="QOA25" s="9"/>
      <c r="QOB25" s="10"/>
      <c r="QOC25" s="11"/>
      <c r="QOD25" s="12"/>
      <c r="QOE25" s="12"/>
      <c r="QOF25" s="12"/>
      <c r="QOG25" s="13"/>
      <c r="QOH25" s="9"/>
      <c r="QOI25" s="9"/>
      <c r="QOJ25" s="9"/>
      <c r="QOK25" s="9"/>
      <c r="QOL25" s="10"/>
      <c r="QOM25" s="11"/>
      <c r="QON25" s="12"/>
      <c r="QOO25" s="12"/>
      <c r="QOP25" s="12"/>
      <c r="QOQ25" s="13"/>
      <c r="QOR25" s="9"/>
      <c r="QOS25" s="9"/>
      <c r="QOT25" s="9"/>
      <c r="QOU25" s="9"/>
      <c r="QOV25" s="10"/>
      <c r="QOW25" s="11"/>
      <c r="QOX25" s="12"/>
      <c r="QOY25" s="12"/>
      <c r="QOZ25" s="12"/>
      <c r="QPA25" s="13"/>
      <c r="QPB25" s="9"/>
      <c r="QPC25" s="9"/>
      <c r="QPD25" s="9"/>
      <c r="QPE25" s="9"/>
      <c r="QPF25" s="10"/>
      <c r="QPG25" s="11"/>
      <c r="QPH25" s="12"/>
      <c r="QPI25" s="12"/>
      <c r="QPJ25" s="12"/>
      <c r="QPK25" s="13"/>
      <c r="QPL25" s="9"/>
      <c r="QPM25" s="9"/>
      <c r="QPN25" s="9"/>
      <c r="QPO25" s="9"/>
      <c r="QPP25" s="10"/>
      <c r="QPQ25" s="11"/>
      <c r="QPR25" s="12"/>
      <c r="QPS25" s="12"/>
      <c r="QPT25" s="12"/>
      <c r="QPU25" s="13"/>
      <c r="QPV25" s="9"/>
      <c r="QPW25" s="9"/>
      <c r="QPX25" s="9"/>
      <c r="QPY25" s="9"/>
      <c r="QPZ25" s="10"/>
      <c r="QQA25" s="11"/>
      <c r="QQB25" s="12"/>
      <c r="QQC25" s="12"/>
      <c r="QQD25" s="12"/>
      <c r="QQE25" s="13"/>
      <c r="QQF25" s="9"/>
      <c r="QQG25" s="9"/>
      <c r="QQH25" s="9"/>
      <c r="QQI25" s="9"/>
      <c r="QQJ25" s="10"/>
      <c r="QQK25" s="11"/>
      <c r="QQL25" s="12"/>
      <c r="QQM25" s="12"/>
      <c r="QQN25" s="12"/>
      <c r="QQO25" s="13"/>
      <c r="QQP25" s="9"/>
      <c r="QQQ25" s="9"/>
      <c r="QQR25" s="9"/>
      <c r="QQS25" s="9"/>
      <c r="QQT25" s="10"/>
      <c r="QQU25" s="11"/>
      <c r="QQV25" s="12"/>
      <c r="QQW25" s="12"/>
      <c r="QQX25" s="12"/>
      <c r="QQY25" s="13"/>
      <c r="QQZ25" s="9"/>
      <c r="QRA25" s="9"/>
      <c r="QRB25" s="9"/>
      <c r="QRC25" s="9"/>
      <c r="QRD25" s="10"/>
      <c r="QRE25" s="11"/>
      <c r="QRF25" s="12"/>
      <c r="QRG25" s="12"/>
      <c r="QRH25" s="12"/>
      <c r="QRI25" s="13"/>
      <c r="QRJ25" s="9"/>
      <c r="QRK25" s="9"/>
      <c r="QRL25" s="9"/>
      <c r="QRM25" s="9"/>
      <c r="QRN25" s="10"/>
      <c r="QRO25" s="11"/>
      <c r="QRP25" s="12"/>
      <c r="QRQ25" s="12"/>
      <c r="QRR25" s="12"/>
      <c r="QRS25" s="13"/>
      <c r="QRT25" s="9"/>
      <c r="QRU25" s="9"/>
      <c r="QRV25" s="9"/>
      <c r="QRW25" s="9"/>
      <c r="QRX25" s="10"/>
      <c r="QRY25" s="11"/>
      <c r="QRZ25" s="12"/>
      <c r="QSA25" s="12"/>
      <c r="QSB25" s="12"/>
      <c r="QSC25" s="13"/>
      <c r="QSD25" s="9"/>
      <c r="QSE25" s="9"/>
      <c r="QSF25" s="9"/>
      <c r="QSG25" s="9"/>
      <c r="QSH25" s="10"/>
      <c r="QSI25" s="11"/>
      <c r="QSJ25" s="12"/>
      <c r="QSK25" s="12"/>
      <c r="QSL25" s="12"/>
      <c r="QSM25" s="13"/>
      <c r="QSN25" s="9"/>
      <c r="QSO25" s="9"/>
      <c r="QSP25" s="9"/>
      <c r="QSQ25" s="9"/>
      <c r="QSR25" s="10"/>
      <c r="QSS25" s="11"/>
      <c r="QST25" s="12"/>
      <c r="QSU25" s="12"/>
      <c r="QSV25" s="12"/>
      <c r="QSW25" s="13"/>
      <c r="QSX25" s="9"/>
      <c r="QSY25" s="9"/>
      <c r="QSZ25" s="9"/>
      <c r="QTA25" s="9"/>
      <c r="QTB25" s="10"/>
      <c r="QTC25" s="11"/>
      <c r="QTD25" s="12"/>
      <c r="QTE25" s="12"/>
      <c r="QTF25" s="12"/>
      <c r="QTG25" s="13"/>
      <c r="QTH25" s="9"/>
      <c r="QTI25" s="9"/>
      <c r="QTJ25" s="9"/>
      <c r="QTK25" s="9"/>
      <c r="QTL25" s="10"/>
      <c r="QTM25" s="11"/>
      <c r="QTN25" s="12"/>
      <c r="QTO25" s="12"/>
      <c r="QTP25" s="12"/>
      <c r="QTQ25" s="13"/>
      <c r="QTR25" s="9"/>
      <c r="QTS25" s="9"/>
      <c r="QTT25" s="9"/>
      <c r="QTU25" s="9"/>
      <c r="QTV25" s="10"/>
      <c r="QTW25" s="11"/>
      <c r="QTX25" s="12"/>
      <c r="QTY25" s="12"/>
      <c r="QTZ25" s="12"/>
      <c r="QUA25" s="13"/>
      <c r="QUB25" s="9"/>
      <c r="QUC25" s="9"/>
      <c r="QUD25" s="9"/>
      <c r="QUE25" s="9"/>
      <c r="QUF25" s="10"/>
      <c r="QUG25" s="11"/>
      <c r="QUH25" s="12"/>
      <c r="QUI25" s="12"/>
      <c r="QUJ25" s="12"/>
      <c r="QUK25" s="13"/>
      <c r="QUL25" s="9"/>
      <c r="QUM25" s="9"/>
      <c r="QUN25" s="9"/>
      <c r="QUO25" s="9"/>
      <c r="QUP25" s="10"/>
      <c r="QUQ25" s="11"/>
      <c r="QUR25" s="12"/>
      <c r="QUS25" s="12"/>
      <c r="QUT25" s="12"/>
      <c r="QUU25" s="13"/>
      <c r="QUV25" s="9"/>
      <c r="QUW25" s="9"/>
      <c r="QUX25" s="9"/>
      <c r="QUY25" s="9"/>
      <c r="QUZ25" s="10"/>
      <c r="QVA25" s="11"/>
      <c r="QVB25" s="12"/>
      <c r="QVC25" s="12"/>
      <c r="QVD25" s="12"/>
      <c r="QVE25" s="13"/>
      <c r="QVF25" s="9"/>
      <c r="QVG25" s="9"/>
      <c r="QVH25" s="9"/>
      <c r="QVI25" s="9"/>
      <c r="QVJ25" s="10"/>
      <c r="QVK25" s="11"/>
      <c r="QVL25" s="12"/>
      <c r="QVM25" s="12"/>
      <c r="QVN25" s="12"/>
      <c r="QVO25" s="13"/>
      <c r="QVP25" s="9"/>
      <c r="QVQ25" s="9"/>
      <c r="QVR25" s="9"/>
      <c r="QVS25" s="9"/>
      <c r="QVT25" s="10"/>
      <c r="QVU25" s="11"/>
      <c r="QVV25" s="12"/>
      <c r="QVW25" s="12"/>
      <c r="QVX25" s="12"/>
      <c r="QVY25" s="13"/>
      <c r="QVZ25" s="9"/>
      <c r="QWA25" s="9"/>
      <c r="QWB25" s="9"/>
      <c r="QWC25" s="9"/>
      <c r="QWD25" s="10"/>
      <c r="QWE25" s="11"/>
      <c r="QWF25" s="12"/>
      <c r="QWG25" s="12"/>
      <c r="QWH25" s="12"/>
      <c r="QWI25" s="13"/>
      <c r="QWJ25" s="9"/>
      <c r="QWK25" s="9"/>
      <c r="QWL25" s="9"/>
      <c r="QWM25" s="9"/>
      <c r="QWN25" s="10"/>
      <c r="QWO25" s="11"/>
      <c r="QWP25" s="12"/>
      <c r="QWQ25" s="12"/>
      <c r="QWR25" s="12"/>
      <c r="QWS25" s="13"/>
      <c r="QWT25" s="9"/>
      <c r="QWU25" s="9"/>
      <c r="QWV25" s="9"/>
      <c r="QWW25" s="9"/>
      <c r="QWX25" s="10"/>
      <c r="QWY25" s="11"/>
      <c r="QWZ25" s="12"/>
      <c r="QXA25" s="12"/>
      <c r="QXB25" s="12"/>
      <c r="QXC25" s="13"/>
      <c r="QXD25" s="9"/>
      <c r="QXE25" s="9"/>
      <c r="QXF25" s="9"/>
      <c r="QXG25" s="9"/>
      <c r="QXH25" s="10"/>
      <c r="QXI25" s="11"/>
      <c r="QXJ25" s="12"/>
      <c r="QXK25" s="12"/>
      <c r="QXL25" s="12"/>
      <c r="QXM25" s="13"/>
      <c r="QXN25" s="9"/>
      <c r="QXO25" s="9"/>
      <c r="QXP25" s="9"/>
      <c r="QXQ25" s="9"/>
      <c r="QXR25" s="10"/>
      <c r="QXS25" s="11"/>
      <c r="QXT25" s="12"/>
      <c r="QXU25" s="12"/>
      <c r="QXV25" s="12"/>
      <c r="QXW25" s="13"/>
      <c r="QXX25" s="9"/>
      <c r="QXY25" s="9"/>
      <c r="QXZ25" s="9"/>
      <c r="QYA25" s="9"/>
      <c r="QYB25" s="10"/>
      <c r="QYC25" s="11"/>
      <c r="QYD25" s="12"/>
      <c r="QYE25" s="12"/>
      <c r="QYF25" s="12"/>
      <c r="QYG25" s="13"/>
      <c r="QYH25" s="9"/>
      <c r="QYI25" s="9"/>
      <c r="QYJ25" s="9"/>
      <c r="QYK25" s="9"/>
      <c r="QYL25" s="10"/>
      <c r="QYM25" s="11"/>
      <c r="QYN25" s="12"/>
      <c r="QYO25" s="12"/>
      <c r="QYP25" s="12"/>
      <c r="QYQ25" s="13"/>
      <c r="QYR25" s="9"/>
      <c r="QYS25" s="9"/>
      <c r="QYT25" s="9"/>
      <c r="QYU25" s="9"/>
      <c r="QYV25" s="10"/>
      <c r="QYW25" s="11"/>
      <c r="QYX25" s="12"/>
      <c r="QYY25" s="12"/>
      <c r="QYZ25" s="12"/>
      <c r="QZA25" s="13"/>
      <c r="QZB25" s="9"/>
      <c r="QZC25" s="9"/>
      <c r="QZD25" s="9"/>
      <c r="QZE25" s="9"/>
      <c r="QZF25" s="10"/>
      <c r="QZG25" s="11"/>
      <c r="QZH25" s="12"/>
      <c r="QZI25" s="12"/>
      <c r="QZJ25" s="12"/>
      <c r="QZK25" s="13"/>
      <c r="QZL25" s="9"/>
      <c r="QZM25" s="9"/>
      <c r="QZN25" s="9"/>
      <c r="QZO25" s="9"/>
      <c r="QZP25" s="10"/>
      <c r="QZQ25" s="11"/>
      <c r="QZR25" s="12"/>
      <c r="QZS25" s="12"/>
      <c r="QZT25" s="12"/>
      <c r="QZU25" s="13"/>
      <c r="QZV25" s="9"/>
      <c r="QZW25" s="9"/>
      <c r="QZX25" s="9"/>
      <c r="QZY25" s="9"/>
      <c r="QZZ25" s="10"/>
      <c r="RAA25" s="11"/>
      <c r="RAB25" s="12"/>
      <c r="RAC25" s="12"/>
      <c r="RAD25" s="12"/>
      <c r="RAE25" s="13"/>
      <c r="RAF25" s="9"/>
      <c r="RAG25" s="9"/>
      <c r="RAH25" s="9"/>
      <c r="RAI25" s="9"/>
      <c r="RAJ25" s="10"/>
      <c r="RAK25" s="11"/>
      <c r="RAL25" s="12"/>
      <c r="RAM25" s="12"/>
      <c r="RAN25" s="12"/>
      <c r="RAO25" s="13"/>
      <c r="RAP25" s="9"/>
      <c r="RAQ25" s="9"/>
      <c r="RAR25" s="9"/>
      <c r="RAS25" s="9"/>
      <c r="RAT25" s="10"/>
      <c r="RAU25" s="11"/>
      <c r="RAV25" s="12"/>
      <c r="RAW25" s="12"/>
      <c r="RAX25" s="12"/>
      <c r="RAY25" s="13"/>
      <c r="RAZ25" s="9"/>
      <c r="RBA25" s="9"/>
      <c r="RBB25" s="9"/>
      <c r="RBC25" s="9"/>
      <c r="RBD25" s="10"/>
      <c r="RBE25" s="11"/>
      <c r="RBF25" s="12"/>
      <c r="RBG25" s="12"/>
      <c r="RBH25" s="12"/>
      <c r="RBI25" s="13"/>
      <c r="RBJ25" s="9"/>
      <c r="RBK25" s="9"/>
      <c r="RBL25" s="9"/>
      <c r="RBM25" s="9"/>
      <c r="RBN25" s="10"/>
      <c r="RBO25" s="11"/>
      <c r="RBP25" s="12"/>
      <c r="RBQ25" s="12"/>
      <c r="RBR25" s="12"/>
      <c r="RBS25" s="13"/>
      <c r="RBT25" s="9"/>
      <c r="RBU25" s="9"/>
      <c r="RBV25" s="9"/>
      <c r="RBW25" s="9"/>
      <c r="RBX25" s="10"/>
      <c r="RBY25" s="11"/>
      <c r="RBZ25" s="12"/>
      <c r="RCA25" s="12"/>
      <c r="RCB25" s="12"/>
      <c r="RCC25" s="13"/>
      <c r="RCD25" s="9"/>
      <c r="RCE25" s="9"/>
      <c r="RCF25" s="9"/>
      <c r="RCG25" s="9"/>
      <c r="RCH25" s="10"/>
      <c r="RCI25" s="11"/>
      <c r="RCJ25" s="12"/>
      <c r="RCK25" s="12"/>
      <c r="RCL25" s="12"/>
      <c r="RCM25" s="13"/>
      <c r="RCN25" s="9"/>
      <c r="RCO25" s="9"/>
      <c r="RCP25" s="9"/>
      <c r="RCQ25" s="9"/>
      <c r="RCR25" s="10"/>
      <c r="RCS25" s="11"/>
      <c r="RCT25" s="12"/>
      <c r="RCU25" s="12"/>
      <c r="RCV25" s="12"/>
      <c r="RCW25" s="13"/>
      <c r="RCX25" s="9"/>
      <c r="RCY25" s="9"/>
      <c r="RCZ25" s="9"/>
      <c r="RDA25" s="9"/>
      <c r="RDB25" s="10"/>
      <c r="RDC25" s="11"/>
      <c r="RDD25" s="12"/>
      <c r="RDE25" s="12"/>
      <c r="RDF25" s="12"/>
      <c r="RDG25" s="13"/>
      <c r="RDH25" s="9"/>
      <c r="RDI25" s="9"/>
      <c r="RDJ25" s="9"/>
      <c r="RDK25" s="9"/>
      <c r="RDL25" s="10"/>
      <c r="RDM25" s="11"/>
      <c r="RDN25" s="12"/>
      <c r="RDO25" s="12"/>
      <c r="RDP25" s="12"/>
      <c r="RDQ25" s="13"/>
      <c r="RDR25" s="9"/>
      <c r="RDS25" s="9"/>
      <c r="RDT25" s="9"/>
      <c r="RDU25" s="9"/>
      <c r="RDV25" s="10"/>
      <c r="RDW25" s="11"/>
      <c r="RDX25" s="12"/>
      <c r="RDY25" s="12"/>
      <c r="RDZ25" s="12"/>
      <c r="REA25" s="13"/>
      <c r="REB25" s="9"/>
      <c r="REC25" s="9"/>
      <c r="RED25" s="9"/>
      <c r="REE25" s="9"/>
      <c r="REF25" s="10"/>
      <c r="REG25" s="11"/>
      <c r="REH25" s="12"/>
      <c r="REI25" s="12"/>
      <c r="REJ25" s="12"/>
      <c r="REK25" s="13"/>
      <c r="REL25" s="9"/>
      <c r="REM25" s="9"/>
      <c r="REN25" s="9"/>
      <c r="REO25" s="9"/>
      <c r="REP25" s="10"/>
      <c r="REQ25" s="11"/>
      <c r="RER25" s="12"/>
      <c r="RES25" s="12"/>
      <c r="RET25" s="12"/>
      <c r="REU25" s="13"/>
      <c r="REV25" s="9"/>
      <c r="REW25" s="9"/>
      <c r="REX25" s="9"/>
      <c r="REY25" s="9"/>
      <c r="REZ25" s="10"/>
      <c r="RFA25" s="11"/>
      <c r="RFB25" s="12"/>
      <c r="RFC25" s="12"/>
      <c r="RFD25" s="12"/>
      <c r="RFE25" s="13"/>
      <c r="RFF25" s="9"/>
      <c r="RFG25" s="9"/>
      <c r="RFH25" s="9"/>
      <c r="RFI25" s="9"/>
      <c r="RFJ25" s="10"/>
      <c r="RFK25" s="11"/>
      <c r="RFL25" s="12"/>
      <c r="RFM25" s="12"/>
      <c r="RFN25" s="12"/>
      <c r="RFO25" s="13"/>
      <c r="RFP25" s="9"/>
      <c r="RFQ25" s="9"/>
      <c r="RFR25" s="9"/>
      <c r="RFS25" s="9"/>
      <c r="RFT25" s="10"/>
      <c r="RFU25" s="11"/>
      <c r="RFV25" s="12"/>
      <c r="RFW25" s="12"/>
      <c r="RFX25" s="12"/>
      <c r="RFY25" s="13"/>
      <c r="RFZ25" s="9"/>
      <c r="RGA25" s="9"/>
      <c r="RGB25" s="9"/>
      <c r="RGC25" s="9"/>
      <c r="RGD25" s="10"/>
      <c r="RGE25" s="11"/>
      <c r="RGF25" s="12"/>
      <c r="RGG25" s="12"/>
      <c r="RGH25" s="12"/>
      <c r="RGI25" s="13"/>
      <c r="RGJ25" s="9"/>
      <c r="RGK25" s="9"/>
      <c r="RGL25" s="9"/>
      <c r="RGM25" s="9"/>
      <c r="RGN25" s="10"/>
      <c r="RGO25" s="11"/>
      <c r="RGP25" s="12"/>
      <c r="RGQ25" s="12"/>
      <c r="RGR25" s="12"/>
      <c r="RGS25" s="13"/>
      <c r="RGT25" s="9"/>
      <c r="RGU25" s="9"/>
      <c r="RGV25" s="9"/>
      <c r="RGW25" s="9"/>
      <c r="RGX25" s="10"/>
      <c r="RGY25" s="11"/>
      <c r="RGZ25" s="12"/>
      <c r="RHA25" s="12"/>
      <c r="RHB25" s="12"/>
      <c r="RHC25" s="13"/>
      <c r="RHD25" s="9"/>
      <c r="RHE25" s="9"/>
      <c r="RHF25" s="9"/>
      <c r="RHG25" s="9"/>
      <c r="RHH25" s="10"/>
      <c r="RHI25" s="11"/>
      <c r="RHJ25" s="12"/>
      <c r="RHK25" s="12"/>
      <c r="RHL25" s="12"/>
      <c r="RHM25" s="13"/>
      <c r="RHN25" s="9"/>
      <c r="RHO25" s="9"/>
      <c r="RHP25" s="9"/>
      <c r="RHQ25" s="9"/>
      <c r="RHR25" s="10"/>
      <c r="RHS25" s="11"/>
      <c r="RHT25" s="12"/>
      <c r="RHU25" s="12"/>
      <c r="RHV25" s="12"/>
      <c r="RHW25" s="13"/>
      <c r="RHX25" s="9"/>
      <c r="RHY25" s="9"/>
      <c r="RHZ25" s="9"/>
      <c r="RIA25" s="9"/>
      <c r="RIB25" s="10"/>
      <c r="RIC25" s="11"/>
      <c r="RID25" s="12"/>
      <c r="RIE25" s="12"/>
      <c r="RIF25" s="12"/>
      <c r="RIG25" s="13"/>
      <c r="RIH25" s="9"/>
      <c r="RII25" s="9"/>
      <c r="RIJ25" s="9"/>
      <c r="RIK25" s="9"/>
      <c r="RIL25" s="10"/>
      <c r="RIM25" s="11"/>
      <c r="RIN25" s="12"/>
      <c r="RIO25" s="12"/>
      <c r="RIP25" s="12"/>
      <c r="RIQ25" s="13"/>
      <c r="RIR25" s="9"/>
      <c r="RIS25" s="9"/>
      <c r="RIT25" s="9"/>
      <c r="RIU25" s="9"/>
      <c r="RIV25" s="10"/>
      <c r="RIW25" s="11"/>
      <c r="RIX25" s="12"/>
      <c r="RIY25" s="12"/>
      <c r="RIZ25" s="12"/>
      <c r="RJA25" s="13"/>
      <c r="RJB25" s="9"/>
      <c r="RJC25" s="9"/>
      <c r="RJD25" s="9"/>
      <c r="RJE25" s="9"/>
      <c r="RJF25" s="10"/>
      <c r="RJG25" s="11"/>
      <c r="RJH25" s="12"/>
      <c r="RJI25" s="12"/>
      <c r="RJJ25" s="12"/>
      <c r="RJK25" s="13"/>
      <c r="RJL25" s="9"/>
      <c r="RJM25" s="9"/>
      <c r="RJN25" s="9"/>
      <c r="RJO25" s="9"/>
      <c r="RJP25" s="10"/>
      <c r="RJQ25" s="11"/>
      <c r="RJR25" s="12"/>
      <c r="RJS25" s="12"/>
      <c r="RJT25" s="12"/>
      <c r="RJU25" s="13"/>
      <c r="RJV25" s="9"/>
      <c r="RJW25" s="9"/>
      <c r="RJX25" s="9"/>
      <c r="RJY25" s="9"/>
      <c r="RJZ25" s="10"/>
      <c r="RKA25" s="11"/>
      <c r="RKB25" s="12"/>
      <c r="RKC25" s="12"/>
      <c r="RKD25" s="12"/>
      <c r="RKE25" s="13"/>
      <c r="RKF25" s="9"/>
      <c r="RKG25" s="9"/>
      <c r="RKH25" s="9"/>
      <c r="RKI25" s="9"/>
      <c r="RKJ25" s="10"/>
      <c r="RKK25" s="11"/>
      <c r="RKL25" s="12"/>
      <c r="RKM25" s="12"/>
      <c r="RKN25" s="12"/>
      <c r="RKO25" s="13"/>
      <c r="RKP25" s="9"/>
      <c r="RKQ25" s="9"/>
      <c r="RKR25" s="9"/>
      <c r="RKS25" s="9"/>
      <c r="RKT25" s="10"/>
      <c r="RKU25" s="11"/>
      <c r="RKV25" s="12"/>
      <c r="RKW25" s="12"/>
      <c r="RKX25" s="12"/>
      <c r="RKY25" s="13"/>
      <c r="RKZ25" s="9"/>
      <c r="RLA25" s="9"/>
      <c r="RLB25" s="9"/>
      <c r="RLC25" s="9"/>
      <c r="RLD25" s="10"/>
      <c r="RLE25" s="11"/>
      <c r="RLF25" s="12"/>
      <c r="RLG25" s="12"/>
      <c r="RLH25" s="12"/>
      <c r="RLI25" s="13"/>
      <c r="RLJ25" s="9"/>
      <c r="RLK25" s="9"/>
      <c r="RLL25" s="9"/>
      <c r="RLM25" s="9"/>
      <c r="RLN25" s="10"/>
      <c r="RLO25" s="11"/>
      <c r="RLP25" s="12"/>
      <c r="RLQ25" s="12"/>
      <c r="RLR25" s="12"/>
      <c r="RLS25" s="13"/>
      <c r="RLT25" s="9"/>
      <c r="RLU25" s="9"/>
      <c r="RLV25" s="9"/>
      <c r="RLW25" s="9"/>
      <c r="RLX25" s="10"/>
      <c r="RLY25" s="11"/>
      <c r="RLZ25" s="12"/>
      <c r="RMA25" s="12"/>
      <c r="RMB25" s="12"/>
      <c r="RMC25" s="13"/>
      <c r="RMD25" s="9"/>
      <c r="RME25" s="9"/>
      <c r="RMF25" s="9"/>
      <c r="RMG25" s="9"/>
      <c r="RMH25" s="10"/>
      <c r="RMI25" s="11"/>
      <c r="RMJ25" s="12"/>
      <c r="RMK25" s="12"/>
      <c r="RML25" s="12"/>
      <c r="RMM25" s="13"/>
      <c r="RMN25" s="9"/>
      <c r="RMO25" s="9"/>
      <c r="RMP25" s="9"/>
      <c r="RMQ25" s="9"/>
      <c r="RMR25" s="10"/>
      <c r="RMS25" s="11"/>
      <c r="RMT25" s="12"/>
      <c r="RMU25" s="12"/>
      <c r="RMV25" s="12"/>
      <c r="RMW25" s="13"/>
      <c r="RMX25" s="9"/>
      <c r="RMY25" s="9"/>
      <c r="RMZ25" s="9"/>
      <c r="RNA25" s="9"/>
      <c r="RNB25" s="10"/>
      <c r="RNC25" s="11"/>
      <c r="RND25" s="12"/>
      <c r="RNE25" s="12"/>
      <c r="RNF25" s="12"/>
      <c r="RNG25" s="13"/>
      <c r="RNH25" s="9"/>
      <c r="RNI25" s="9"/>
      <c r="RNJ25" s="9"/>
      <c r="RNK25" s="9"/>
      <c r="RNL25" s="10"/>
      <c r="RNM25" s="11"/>
      <c r="RNN25" s="12"/>
      <c r="RNO25" s="12"/>
      <c r="RNP25" s="12"/>
      <c r="RNQ25" s="13"/>
      <c r="RNR25" s="9"/>
      <c r="RNS25" s="9"/>
      <c r="RNT25" s="9"/>
      <c r="RNU25" s="9"/>
      <c r="RNV25" s="10"/>
      <c r="RNW25" s="11"/>
      <c r="RNX25" s="12"/>
      <c r="RNY25" s="12"/>
      <c r="RNZ25" s="12"/>
      <c r="ROA25" s="13"/>
      <c r="ROB25" s="9"/>
      <c r="ROC25" s="9"/>
      <c r="ROD25" s="9"/>
      <c r="ROE25" s="9"/>
      <c r="ROF25" s="10"/>
      <c r="ROG25" s="11"/>
      <c r="ROH25" s="12"/>
      <c r="ROI25" s="12"/>
      <c r="ROJ25" s="12"/>
      <c r="ROK25" s="13"/>
      <c r="ROL25" s="9"/>
      <c r="ROM25" s="9"/>
      <c r="RON25" s="9"/>
      <c r="ROO25" s="9"/>
      <c r="ROP25" s="10"/>
      <c r="ROQ25" s="11"/>
      <c r="ROR25" s="12"/>
      <c r="ROS25" s="12"/>
      <c r="ROT25" s="12"/>
      <c r="ROU25" s="13"/>
      <c r="ROV25" s="9"/>
      <c r="ROW25" s="9"/>
      <c r="ROX25" s="9"/>
      <c r="ROY25" s="9"/>
      <c r="ROZ25" s="10"/>
      <c r="RPA25" s="11"/>
      <c r="RPB25" s="12"/>
      <c r="RPC25" s="12"/>
      <c r="RPD25" s="12"/>
      <c r="RPE25" s="13"/>
      <c r="RPF25" s="9"/>
      <c r="RPG25" s="9"/>
      <c r="RPH25" s="9"/>
      <c r="RPI25" s="9"/>
      <c r="RPJ25" s="10"/>
      <c r="RPK25" s="11"/>
      <c r="RPL25" s="12"/>
      <c r="RPM25" s="12"/>
      <c r="RPN25" s="12"/>
      <c r="RPO25" s="13"/>
      <c r="RPP25" s="9"/>
      <c r="RPQ25" s="9"/>
      <c r="RPR25" s="9"/>
      <c r="RPS25" s="9"/>
      <c r="RPT25" s="10"/>
      <c r="RPU25" s="11"/>
      <c r="RPV25" s="12"/>
      <c r="RPW25" s="12"/>
      <c r="RPX25" s="12"/>
      <c r="RPY25" s="13"/>
      <c r="RPZ25" s="9"/>
      <c r="RQA25" s="9"/>
      <c r="RQB25" s="9"/>
      <c r="RQC25" s="9"/>
      <c r="RQD25" s="10"/>
      <c r="RQE25" s="11"/>
      <c r="RQF25" s="12"/>
      <c r="RQG25" s="12"/>
      <c r="RQH25" s="12"/>
      <c r="RQI25" s="13"/>
      <c r="RQJ25" s="9"/>
      <c r="RQK25" s="9"/>
      <c r="RQL25" s="9"/>
      <c r="RQM25" s="9"/>
      <c r="RQN25" s="10"/>
      <c r="RQO25" s="11"/>
      <c r="RQP25" s="12"/>
      <c r="RQQ25" s="12"/>
      <c r="RQR25" s="12"/>
      <c r="RQS25" s="13"/>
      <c r="RQT25" s="9"/>
      <c r="RQU25" s="9"/>
      <c r="RQV25" s="9"/>
      <c r="RQW25" s="9"/>
      <c r="RQX25" s="10"/>
      <c r="RQY25" s="11"/>
      <c r="RQZ25" s="12"/>
      <c r="RRA25" s="12"/>
      <c r="RRB25" s="12"/>
      <c r="RRC25" s="13"/>
      <c r="RRD25" s="9"/>
      <c r="RRE25" s="9"/>
      <c r="RRF25" s="9"/>
      <c r="RRG25" s="9"/>
      <c r="RRH25" s="10"/>
      <c r="RRI25" s="11"/>
      <c r="RRJ25" s="12"/>
      <c r="RRK25" s="12"/>
      <c r="RRL25" s="12"/>
      <c r="RRM25" s="13"/>
      <c r="RRN25" s="9"/>
      <c r="RRO25" s="9"/>
      <c r="RRP25" s="9"/>
      <c r="RRQ25" s="9"/>
      <c r="RRR25" s="10"/>
      <c r="RRS25" s="11"/>
      <c r="RRT25" s="12"/>
      <c r="RRU25" s="12"/>
      <c r="RRV25" s="12"/>
      <c r="RRW25" s="13"/>
      <c r="RRX25" s="9"/>
      <c r="RRY25" s="9"/>
      <c r="RRZ25" s="9"/>
      <c r="RSA25" s="9"/>
      <c r="RSB25" s="10"/>
      <c r="RSC25" s="11"/>
      <c r="RSD25" s="12"/>
      <c r="RSE25" s="12"/>
      <c r="RSF25" s="12"/>
      <c r="RSG25" s="13"/>
      <c r="RSH25" s="9"/>
      <c r="RSI25" s="9"/>
      <c r="RSJ25" s="9"/>
      <c r="RSK25" s="9"/>
      <c r="RSL25" s="10"/>
      <c r="RSM25" s="11"/>
      <c r="RSN25" s="12"/>
      <c r="RSO25" s="12"/>
      <c r="RSP25" s="12"/>
      <c r="RSQ25" s="13"/>
      <c r="RSR25" s="9"/>
      <c r="RSS25" s="9"/>
      <c r="RST25" s="9"/>
      <c r="RSU25" s="9"/>
      <c r="RSV25" s="10"/>
      <c r="RSW25" s="11"/>
      <c r="RSX25" s="12"/>
      <c r="RSY25" s="12"/>
      <c r="RSZ25" s="12"/>
      <c r="RTA25" s="13"/>
      <c r="RTB25" s="9"/>
      <c r="RTC25" s="9"/>
      <c r="RTD25" s="9"/>
      <c r="RTE25" s="9"/>
      <c r="RTF25" s="10"/>
      <c r="RTG25" s="11"/>
      <c r="RTH25" s="12"/>
      <c r="RTI25" s="12"/>
      <c r="RTJ25" s="12"/>
      <c r="RTK25" s="13"/>
      <c r="RTL25" s="9"/>
      <c r="RTM25" s="9"/>
      <c r="RTN25" s="9"/>
      <c r="RTO25" s="9"/>
      <c r="RTP25" s="10"/>
      <c r="RTQ25" s="11"/>
      <c r="RTR25" s="12"/>
      <c r="RTS25" s="12"/>
      <c r="RTT25" s="12"/>
      <c r="RTU25" s="13"/>
      <c r="RTV25" s="9"/>
      <c r="RTW25" s="9"/>
      <c r="RTX25" s="9"/>
      <c r="RTY25" s="9"/>
      <c r="RTZ25" s="10"/>
      <c r="RUA25" s="11"/>
      <c r="RUB25" s="12"/>
      <c r="RUC25" s="12"/>
      <c r="RUD25" s="12"/>
      <c r="RUE25" s="13"/>
      <c r="RUF25" s="9"/>
      <c r="RUG25" s="9"/>
      <c r="RUH25" s="9"/>
      <c r="RUI25" s="9"/>
      <c r="RUJ25" s="10"/>
      <c r="RUK25" s="11"/>
      <c r="RUL25" s="12"/>
      <c r="RUM25" s="12"/>
      <c r="RUN25" s="12"/>
      <c r="RUO25" s="13"/>
      <c r="RUP25" s="9"/>
      <c r="RUQ25" s="9"/>
      <c r="RUR25" s="9"/>
      <c r="RUS25" s="9"/>
      <c r="RUT25" s="10"/>
      <c r="RUU25" s="11"/>
      <c r="RUV25" s="12"/>
      <c r="RUW25" s="12"/>
      <c r="RUX25" s="12"/>
      <c r="RUY25" s="13"/>
      <c r="RUZ25" s="9"/>
      <c r="RVA25" s="9"/>
      <c r="RVB25" s="9"/>
      <c r="RVC25" s="9"/>
      <c r="RVD25" s="10"/>
      <c r="RVE25" s="11"/>
      <c r="RVF25" s="12"/>
      <c r="RVG25" s="12"/>
      <c r="RVH25" s="12"/>
      <c r="RVI25" s="13"/>
      <c r="RVJ25" s="9"/>
      <c r="RVK25" s="9"/>
      <c r="RVL25" s="9"/>
      <c r="RVM25" s="9"/>
      <c r="RVN25" s="10"/>
      <c r="RVO25" s="11"/>
      <c r="RVP25" s="12"/>
      <c r="RVQ25" s="12"/>
      <c r="RVR25" s="12"/>
      <c r="RVS25" s="13"/>
      <c r="RVT25" s="9"/>
      <c r="RVU25" s="9"/>
      <c r="RVV25" s="9"/>
      <c r="RVW25" s="9"/>
      <c r="RVX25" s="10"/>
      <c r="RVY25" s="11"/>
      <c r="RVZ25" s="12"/>
      <c r="RWA25" s="12"/>
      <c r="RWB25" s="12"/>
      <c r="RWC25" s="13"/>
      <c r="RWD25" s="9"/>
      <c r="RWE25" s="9"/>
      <c r="RWF25" s="9"/>
      <c r="RWG25" s="9"/>
      <c r="RWH25" s="10"/>
      <c r="RWI25" s="11"/>
      <c r="RWJ25" s="12"/>
      <c r="RWK25" s="12"/>
      <c r="RWL25" s="12"/>
      <c r="RWM25" s="13"/>
      <c r="RWN25" s="9"/>
      <c r="RWO25" s="9"/>
      <c r="RWP25" s="9"/>
      <c r="RWQ25" s="9"/>
      <c r="RWR25" s="10"/>
      <c r="RWS25" s="11"/>
      <c r="RWT25" s="12"/>
      <c r="RWU25" s="12"/>
      <c r="RWV25" s="12"/>
      <c r="RWW25" s="13"/>
      <c r="RWX25" s="9"/>
      <c r="RWY25" s="9"/>
      <c r="RWZ25" s="9"/>
      <c r="RXA25" s="9"/>
      <c r="RXB25" s="10"/>
      <c r="RXC25" s="11"/>
      <c r="RXD25" s="12"/>
      <c r="RXE25" s="12"/>
      <c r="RXF25" s="12"/>
      <c r="RXG25" s="13"/>
      <c r="RXH25" s="9"/>
      <c r="RXI25" s="9"/>
      <c r="RXJ25" s="9"/>
      <c r="RXK25" s="9"/>
      <c r="RXL25" s="10"/>
      <c r="RXM25" s="11"/>
      <c r="RXN25" s="12"/>
      <c r="RXO25" s="12"/>
      <c r="RXP25" s="12"/>
      <c r="RXQ25" s="13"/>
      <c r="RXR25" s="9"/>
      <c r="RXS25" s="9"/>
      <c r="RXT25" s="9"/>
      <c r="RXU25" s="9"/>
      <c r="RXV25" s="10"/>
      <c r="RXW25" s="11"/>
      <c r="RXX25" s="12"/>
      <c r="RXY25" s="12"/>
      <c r="RXZ25" s="12"/>
      <c r="RYA25" s="13"/>
      <c r="RYB25" s="9"/>
      <c r="RYC25" s="9"/>
      <c r="RYD25" s="9"/>
      <c r="RYE25" s="9"/>
      <c r="RYF25" s="10"/>
      <c r="RYG25" s="11"/>
      <c r="RYH25" s="12"/>
      <c r="RYI25" s="12"/>
      <c r="RYJ25" s="12"/>
      <c r="RYK25" s="13"/>
      <c r="RYL25" s="9"/>
      <c r="RYM25" s="9"/>
      <c r="RYN25" s="9"/>
      <c r="RYO25" s="9"/>
      <c r="RYP25" s="10"/>
      <c r="RYQ25" s="11"/>
      <c r="RYR25" s="12"/>
      <c r="RYS25" s="12"/>
      <c r="RYT25" s="12"/>
      <c r="RYU25" s="13"/>
      <c r="RYV25" s="9"/>
      <c r="RYW25" s="9"/>
      <c r="RYX25" s="9"/>
      <c r="RYY25" s="9"/>
      <c r="RYZ25" s="10"/>
      <c r="RZA25" s="11"/>
      <c r="RZB25" s="12"/>
      <c r="RZC25" s="12"/>
      <c r="RZD25" s="12"/>
      <c r="RZE25" s="13"/>
      <c r="RZF25" s="9"/>
      <c r="RZG25" s="9"/>
      <c r="RZH25" s="9"/>
      <c r="RZI25" s="9"/>
      <c r="RZJ25" s="10"/>
      <c r="RZK25" s="11"/>
      <c r="RZL25" s="12"/>
      <c r="RZM25" s="12"/>
      <c r="RZN25" s="12"/>
      <c r="RZO25" s="13"/>
      <c r="RZP25" s="9"/>
      <c r="RZQ25" s="9"/>
      <c r="RZR25" s="9"/>
      <c r="RZS25" s="9"/>
      <c r="RZT25" s="10"/>
      <c r="RZU25" s="11"/>
      <c r="RZV25" s="12"/>
      <c r="RZW25" s="12"/>
      <c r="RZX25" s="12"/>
      <c r="RZY25" s="13"/>
      <c r="RZZ25" s="9"/>
      <c r="SAA25" s="9"/>
      <c r="SAB25" s="9"/>
      <c r="SAC25" s="9"/>
      <c r="SAD25" s="10"/>
      <c r="SAE25" s="11"/>
      <c r="SAF25" s="12"/>
      <c r="SAG25" s="12"/>
      <c r="SAH25" s="12"/>
      <c r="SAI25" s="13"/>
      <c r="SAJ25" s="9"/>
      <c r="SAK25" s="9"/>
      <c r="SAL25" s="9"/>
      <c r="SAM25" s="9"/>
      <c r="SAN25" s="10"/>
      <c r="SAO25" s="11"/>
      <c r="SAP25" s="12"/>
      <c r="SAQ25" s="12"/>
      <c r="SAR25" s="12"/>
      <c r="SAS25" s="13"/>
      <c r="SAT25" s="9"/>
      <c r="SAU25" s="9"/>
      <c r="SAV25" s="9"/>
      <c r="SAW25" s="9"/>
      <c r="SAX25" s="10"/>
      <c r="SAY25" s="11"/>
      <c r="SAZ25" s="12"/>
      <c r="SBA25" s="12"/>
      <c r="SBB25" s="12"/>
      <c r="SBC25" s="13"/>
      <c r="SBD25" s="9"/>
      <c r="SBE25" s="9"/>
      <c r="SBF25" s="9"/>
      <c r="SBG25" s="9"/>
      <c r="SBH25" s="10"/>
      <c r="SBI25" s="11"/>
      <c r="SBJ25" s="12"/>
      <c r="SBK25" s="12"/>
      <c r="SBL25" s="12"/>
      <c r="SBM25" s="13"/>
      <c r="SBN25" s="9"/>
      <c r="SBO25" s="9"/>
      <c r="SBP25" s="9"/>
      <c r="SBQ25" s="9"/>
      <c r="SBR25" s="10"/>
      <c r="SBS25" s="11"/>
      <c r="SBT25" s="12"/>
      <c r="SBU25" s="12"/>
      <c r="SBV25" s="12"/>
      <c r="SBW25" s="13"/>
      <c r="SBX25" s="9"/>
      <c r="SBY25" s="9"/>
      <c r="SBZ25" s="9"/>
      <c r="SCA25" s="9"/>
      <c r="SCB25" s="10"/>
      <c r="SCC25" s="11"/>
      <c r="SCD25" s="12"/>
      <c r="SCE25" s="12"/>
      <c r="SCF25" s="12"/>
      <c r="SCG25" s="13"/>
      <c r="SCH25" s="9"/>
      <c r="SCI25" s="9"/>
      <c r="SCJ25" s="9"/>
      <c r="SCK25" s="9"/>
      <c r="SCL25" s="10"/>
      <c r="SCM25" s="11"/>
      <c r="SCN25" s="12"/>
      <c r="SCO25" s="12"/>
      <c r="SCP25" s="12"/>
      <c r="SCQ25" s="13"/>
      <c r="SCR25" s="9"/>
      <c r="SCS25" s="9"/>
      <c r="SCT25" s="9"/>
      <c r="SCU25" s="9"/>
      <c r="SCV25" s="10"/>
      <c r="SCW25" s="11"/>
      <c r="SCX25" s="12"/>
      <c r="SCY25" s="12"/>
      <c r="SCZ25" s="12"/>
      <c r="SDA25" s="13"/>
      <c r="SDB25" s="9"/>
      <c r="SDC25" s="9"/>
      <c r="SDD25" s="9"/>
      <c r="SDE25" s="9"/>
      <c r="SDF25" s="10"/>
      <c r="SDG25" s="11"/>
      <c r="SDH25" s="12"/>
      <c r="SDI25" s="12"/>
      <c r="SDJ25" s="12"/>
      <c r="SDK25" s="13"/>
      <c r="SDL25" s="9"/>
      <c r="SDM25" s="9"/>
      <c r="SDN25" s="9"/>
      <c r="SDO25" s="9"/>
      <c r="SDP25" s="10"/>
      <c r="SDQ25" s="11"/>
      <c r="SDR25" s="12"/>
      <c r="SDS25" s="12"/>
      <c r="SDT25" s="12"/>
      <c r="SDU25" s="13"/>
      <c r="SDV25" s="9"/>
      <c r="SDW25" s="9"/>
      <c r="SDX25" s="9"/>
      <c r="SDY25" s="9"/>
      <c r="SDZ25" s="10"/>
      <c r="SEA25" s="11"/>
      <c r="SEB25" s="12"/>
      <c r="SEC25" s="12"/>
      <c r="SED25" s="12"/>
      <c r="SEE25" s="13"/>
      <c r="SEF25" s="9"/>
      <c r="SEG25" s="9"/>
      <c r="SEH25" s="9"/>
      <c r="SEI25" s="9"/>
      <c r="SEJ25" s="10"/>
      <c r="SEK25" s="11"/>
      <c r="SEL25" s="12"/>
      <c r="SEM25" s="12"/>
      <c r="SEN25" s="12"/>
      <c r="SEO25" s="13"/>
      <c r="SEP25" s="9"/>
      <c r="SEQ25" s="9"/>
      <c r="SER25" s="9"/>
      <c r="SES25" s="9"/>
      <c r="SET25" s="10"/>
      <c r="SEU25" s="11"/>
      <c r="SEV25" s="12"/>
      <c r="SEW25" s="12"/>
      <c r="SEX25" s="12"/>
      <c r="SEY25" s="13"/>
      <c r="SEZ25" s="9"/>
      <c r="SFA25" s="9"/>
      <c r="SFB25" s="9"/>
      <c r="SFC25" s="9"/>
      <c r="SFD25" s="10"/>
      <c r="SFE25" s="11"/>
      <c r="SFF25" s="12"/>
      <c r="SFG25" s="12"/>
      <c r="SFH25" s="12"/>
      <c r="SFI25" s="13"/>
      <c r="SFJ25" s="9"/>
      <c r="SFK25" s="9"/>
      <c r="SFL25" s="9"/>
      <c r="SFM25" s="9"/>
      <c r="SFN25" s="10"/>
      <c r="SFO25" s="11"/>
      <c r="SFP25" s="12"/>
      <c r="SFQ25" s="12"/>
      <c r="SFR25" s="12"/>
      <c r="SFS25" s="13"/>
      <c r="SFT25" s="9"/>
      <c r="SFU25" s="9"/>
      <c r="SFV25" s="9"/>
      <c r="SFW25" s="9"/>
      <c r="SFX25" s="10"/>
      <c r="SFY25" s="11"/>
      <c r="SFZ25" s="12"/>
      <c r="SGA25" s="12"/>
      <c r="SGB25" s="12"/>
      <c r="SGC25" s="13"/>
      <c r="SGD25" s="9"/>
      <c r="SGE25" s="9"/>
      <c r="SGF25" s="9"/>
      <c r="SGG25" s="9"/>
      <c r="SGH25" s="10"/>
      <c r="SGI25" s="11"/>
      <c r="SGJ25" s="12"/>
      <c r="SGK25" s="12"/>
      <c r="SGL25" s="12"/>
      <c r="SGM25" s="13"/>
      <c r="SGN25" s="9"/>
      <c r="SGO25" s="9"/>
      <c r="SGP25" s="9"/>
      <c r="SGQ25" s="9"/>
      <c r="SGR25" s="10"/>
      <c r="SGS25" s="11"/>
      <c r="SGT25" s="12"/>
      <c r="SGU25" s="12"/>
      <c r="SGV25" s="12"/>
      <c r="SGW25" s="13"/>
      <c r="SGX25" s="9"/>
      <c r="SGY25" s="9"/>
      <c r="SGZ25" s="9"/>
      <c r="SHA25" s="9"/>
      <c r="SHB25" s="10"/>
      <c r="SHC25" s="11"/>
      <c r="SHD25" s="12"/>
      <c r="SHE25" s="12"/>
      <c r="SHF25" s="12"/>
      <c r="SHG25" s="13"/>
      <c r="SHH25" s="9"/>
      <c r="SHI25" s="9"/>
      <c r="SHJ25" s="9"/>
      <c r="SHK25" s="9"/>
      <c r="SHL25" s="10"/>
      <c r="SHM25" s="11"/>
      <c r="SHN25" s="12"/>
      <c r="SHO25" s="12"/>
      <c r="SHP25" s="12"/>
      <c r="SHQ25" s="13"/>
      <c r="SHR25" s="9"/>
      <c r="SHS25" s="9"/>
      <c r="SHT25" s="9"/>
      <c r="SHU25" s="9"/>
      <c r="SHV25" s="10"/>
      <c r="SHW25" s="11"/>
      <c r="SHX25" s="12"/>
      <c r="SHY25" s="12"/>
      <c r="SHZ25" s="12"/>
      <c r="SIA25" s="13"/>
      <c r="SIB25" s="9"/>
      <c r="SIC25" s="9"/>
      <c r="SID25" s="9"/>
      <c r="SIE25" s="9"/>
      <c r="SIF25" s="10"/>
      <c r="SIG25" s="11"/>
      <c r="SIH25" s="12"/>
      <c r="SII25" s="12"/>
      <c r="SIJ25" s="12"/>
      <c r="SIK25" s="13"/>
      <c r="SIL25" s="9"/>
      <c r="SIM25" s="9"/>
      <c r="SIN25" s="9"/>
      <c r="SIO25" s="9"/>
      <c r="SIP25" s="10"/>
      <c r="SIQ25" s="11"/>
      <c r="SIR25" s="12"/>
      <c r="SIS25" s="12"/>
      <c r="SIT25" s="12"/>
      <c r="SIU25" s="13"/>
      <c r="SIV25" s="9"/>
      <c r="SIW25" s="9"/>
      <c r="SIX25" s="9"/>
      <c r="SIY25" s="9"/>
      <c r="SIZ25" s="10"/>
      <c r="SJA25" s="11"/>
      <c r="SJB25" s="12"/>
      <c r="SJC25" s="12"/>
      <c r="SJD25" s="12"/>
      <c r="SJE25" s="13"/>
      <c r="SJF25" s="9"/>
      <c r="SJG25" s="9"/>
      <c r="SJH25" s="9"/>
      <c r="SJI25" s="9"/>
      <c r="SJJ25" s="10"/>
      <c r="SJK25" s="11"/>
      <c r="SJL25" s="12"/>
      <c r="SJM25" s="12"/>
      <c r="SJN25" s="12"/>
      <c r="SJO25" s="13"/>
      <c r="SJP25" s="9"/>
      <c r="SJQ25" s="9"/>
      <c r="SJR25" s="9"/>
      <c r="SJS25" s="9"/>
      <c r="SJT25" s="10"/>
      <c r="SJU25" s="11"/>
      <c r="SJV25" s="12"/>
      <c r="SJW25" s="12"/>
      <c r="SJX25" s="12"/>
      <c r="SJY25" s="13"/>
      <c r="SJZ25" s="9"/>
      <c r="SKA25" s="9"/>
      <c r="SKB25" s="9"/>
      <c r="SKC25" s="9"/>
      <c r="SKD25" s="10"/>
      <c r="SKE25" s="11"/>
      <c r="SKF25" s="12"/>
      <c r="SKG25" s="12"/>
      <c r="SKH25" s="12"/>
      <c r="SKI25" s="13"/>
      <c r="SKJ25" s="9"/>
      <c r="SKK25" s="9"/>
      <c r="SKL25" s="9"/>
      <c r="SKM25" s="9"/>
      <c r="SKN25" s="10"/>
      <c r="SKO25" s="11"/>
      <c r="SKP25" s="12"/>
      <c r="SKQ25" s="12"/>
      <c r="SKR25" s="12"/>
      <c r="SKS25" s="13"/>
      <c r="SKT25" s="9"/>
      <c r="SKU25" s="9"/>
      <c r="SKV25" s="9"/>
      <c r="SKW25" s="9"/>
      <c r="SKX25" s="10"/>
      <c r="SKY25" s="11"/>
      <c r="SKZ25" s="12"/>
      <c r="SLA25" s="12"/>
      <c r="SLB25" s="12"/>
      <c r="SLC25" s="13"/>
      <c r="SLD25" s="9"/>
      <c r="SLE25" s="9"/>
      <c r="SLF25" s="9"/>
      <c r="SLG25" s="9"/>
      <c r="SLH25" s="10"/>
      <c r="SLI25" s="11"/>
      <c r="SLJ25" s="12"/>
      <c r="SLK25" s="12"/>
      <c r="SLL25" s="12"/>
      <c r="SLM25" s="13"/>
      <c r="SLN25" s="9"/>
      <c r="SLO25" s="9"/>
      <c r="SLP25" s="9"/>
      <c r="SLQ25" s="9"/>
      <c r="SLR25" s="10"/>
      <c r="SLS25" s="11"/>
      <c r="SLT25" s="12"/>
      <c r="SLU25" s="12"/>
      <c r="SLV25" s="12"/>
      <c r="SLW25" s="13"/>
      <c r="SLX25" s="9"/>
      <c r="SLY25" s="9"/>
      <c r="SLZ25" s="9"/>
      <c r="SMA25" s="9"/>
      <c r="SMB25" s="10"/>
      <c r="SMC25" s="11"/>
      <c r="SMD25" s="12"/>
      <c r="SME25" s="12"/>
      <c r="SMF25" s="12"/>
      <c r="SMG25" s="13"/>
      <c r="SMH25" s="9"/>
      <c r="SMI25" s="9"/>
      <c r="SMJ25" s="9"/>
      <c r="SMK25" s="9"/>
      <c r="SML25" s="10"/>
      <c r="SMM25" s="11"/>
      <c r="SMN25" s="12"/>
      <c r="SMO25" s="12"/>
      <c r="SMP25" s="12"/>
      <c r="SMQ25" s="13"/>
      <c r="SMR25" s="9"/>
      <c r="SMS25" s="9"/>
      <c r="SMT25" s="9"/>
      <c r="SMU25" s="9"/>
      <c r="SMV25" s="10"/>
      <c r="SMW25" s="11"/>
      <c r="SMX25" s="12"/>
      <c r="SMY25" s="12"/>
      <c r="SMZ25" s="12"/>
      <c r="SNA25" s="13"/>
      <c r="SNB25" s="9"/>
      <c r="SNC25" s="9"/>
      <c r="SND25" s="9"/>
      <c r="SNE25" s="9"/>
      <c r="SNF25" s="10"/>
      <c r="SNG25" s="11"/>
      <c r="SNH25" s="12"/>
      <c r="SNI25" s="12"/>
      <c r="SNJ25" s="12"/>
      <c r="SNK25" s="13"/>
      <c r="SNL25" s="9"/>
      <c r="SNM25" s="9"/>
      <c r="SNN25" s="9"/>
      <c r="SNO25" s="9"/>
      <c r="SNP25" s="10"/>
      <c r="SNQ25" s="11"/>
      <c r="SNR25" s="12"/>
      <c r="SNS25" s="12"/>
      <c r="SNT25" s="12"/>
      <c r="SNU25" s="13"/>
      <c r="SNV25" s="9"/>
      <c r="SNW25" s="9"/>
      <c r="SNX25" s="9"/>
      <c r="SNY25" s="9"/>
      <c r="SNZ25" s="10"/>
      <c r="SOA25" s="11"/>
      <c r="SOB25" s="12"/>
      <c r="SOC25" s="12"/>
      <c r="SOD25" s="12"/>
      <c r="SOE25" s="13"/>
      <c r="SOF25" s="9"/>
      <c r="SOG25" s="9"/>
      <c r="SOH25" s="9"/>
      <c r="SOI25" s="9"/>
      <c r="SOJ25" s="10"/>
      <c r="SOK25" s="11"/>
      <c r="SOL25" s="12"/>
      <c r="SOM25" s="12"/>
      <c r="SON25" s="12"/>
      <c r="SOO25" s="13"/>
      <c r="SOP25" s="9"/>
      <c r="SOQ25" s="9"/>
      <c r="SOR25" s="9"/>
      <c r="SOS25" s="9"/>
      <c r="SOT25" s="10"/>
      <c r="SOU25" s="11"/>
      <c r="SOV25" s="12"/>
      <c r="SOW25" s="12"/>
      <c r="SOX25" s="12"/>
      <c r="SOY25" s="13"/>
      <c r="SOZ25" s="9"/>
      <c r="SPA25" s="9"/>
      <c r="SPB25" s="9"/>
      <c r="SPC25" s="9"/>
      <c r="SPD25" s="10"/>
      <c r="SPE25" s="11"/>
      <c r="SPF25" s="12"/>
      <c r="SPG25" s="12"/>
      <c r="SPH25" s="12"/>
      <c r="SPI25" s="13"/>
      <c r="SPJ25" s="9"/>
      <c r="SPK25" s="9"/>
      <c r="SPL25" s="9"/>
      <c r="SPM25" s="9"/>
      <c r="SPN25" s="10"/>
      <c r="SPO25" s="11"/>
      <c r="SPP25" s="12"/>
      <c r="SPQ25" s="12"/>
      <c r="SPR25" s="12"/>
      <c r="SPS25" s="13"/>
      <c r="SPT25" s="9"/>
      <c r="SPU25" s="9"/>
      <c r="SPV25" s="9"/>
      <c r="SPW25" s="9"/>
      <c r="SPX25" s="10"/>
      <c r="SPY25" s="11"/>
      <c r="SPZ25" s="12"/>
      <c r="SQA25" s="12"/>
      <c r="SQB25" s="12"/>
      <c r="SQC25" s="13"/>
      <c r="SQD25" s="9"/>
      <c r="SQE25" s="9"/>
      <c r="SQF25" s="9"/>
      <c r="SQG25" s="9"/>
      <c r="SQH25" s="10"/>
      <c r="SQI25" s="11"/>
      <c r="SQJ25" s="12"/>
      <c r="SQK25" s="12"/>
      <c r="SQL25" s="12"/>
      <c r="SQM25" s="13"/>
      <c r="SQN25" s="9"/>
      <c r="SQO25" s="9"/>
      <c r="SQP25" s="9"/>
      <c r="SQQ25" s="9"/>
      <c r="SQR25" s="10"/>
      <c r="SQS25" s="11"/>
      <c r="SQT25" s="12"/>
      <c r="SQU25" s="12"/>
      <c r="SQV25" s="12"/>
      <c r="SQW25" s="13"/>
      <c r="SQX25" s="9"/>
      <c r="SQY25" s="9"/>
      <c r="SQZ25" s="9"/>
      <c r="SRA25" s="9"/>
      <c r="SRB25" s="10"/>
      <c r="SRC25" s="11"/>
      <c r="SRD25" s="12"/>
      <c r="SRE25" s="12"/>
      <c r="SRF25" s="12"/>
      <c r="SRG25" s="13"/>
      <c r="SRH25" s="9"/>
      <c r="SRI25" s="9"/>
      <c r="SRJ25" s="9"/>
      <c r="SRK25" s="9"/>
      <c r="SRL25" s="10"/>
      <c r="SRM25" s="11"/>
      <c r="SRN25" s="12"/>
      <c r="SRO25" s="12"/>
      <c r="SRP25" s="12"/>
      <c r="SRQ25" s="13"/>
      <c r="SRR25" s="9"/>
      <c r="SRS25" s="9"/>
      <c r="SRT25" s="9"/>
      <c r="SRU25" s="9"/>
      <c r="SRV25" s="10"/>
      <c r="SRW25" s="11"/>
      <c r="SRX25" s="12"/>
      <c r="SRY25" s="12"/>
      <c r="SRZ25" s="12"/>
      <c r="SSA25" s="13"/>
      <c r="SSB25" s="9"/>
      <c r="SSC25" s="9"/>
      <c r="SSD25" s="9"/>
      <c r="SSE25" s="9"/>
      <c r="SSF25" s="10"/>
      <c r="SSG25" s="11"/>
      <c r="SSH25" s="12"/>
      <c r="SSI25" s="12"/>
      <c r="SSJ25" s="12"/>
      <c r="SSK25" s="13"/>
      <c r="SSL25" s="9"/>
      <c r="SSM25" s="9"/>
      <c r="SSN25" s="9"/>
      <c r="SSO25" s="9"/>
      <c r="SSP25" s="10"/>
      <c r="SSQ25" s="11"/>
      <c r="SSR25" s="12"/>
      <c r="SSS25" s="12"/>
      <c r="SST25" s="12"/>
      <c r="SSU25" s="13"/>
      <c r="SSV25" s="9"/>
      <c r="SSW25" s="9"/>
      <c r="SSX25" s="9"/>
      <c r="SSY25" s="9"/>
      <c r="SSZ25" s="10"/>
      <c r="STA25" s="11"/>
      <c r="STB25" s="12"/>
      <c r="STC25" s="12"/>
      <c r="STD25" s="12"/>
      <c r="STE25" s="13"/>
      <c r="STF25" s="9"/>
      <c r="STG25" s="9"/>
      <c r="STH25" s="9"/>
      <c r="STI25" s="9"/>
      <c r="STJ25" s="10"/>
      <c r="STK25" s="11"/>
      <c r="STL25" s="12"/>
      <c r="STM25" s="12"/>
      <c r="STN25" s="12"/>
      <c r="STO25" s="13"/>
      <c r="STP25" s="9"/>
      <c r="STQ25" s="9"/>
      <c r="STR25" s="9"/>
      <c r="STS25" s="9"/>
      <c r="STT25" s="10"/>
      <c r="STU25" s="11"/>
      <c r="STV25" s="12"/>
      <c r="STW25" s="12"/>
      <c r="STX25" s="12"/>
      <c r="STY25" s="13"/>
      <c r="STZ25" s="9"/>
      <c r="SUA25" s="9"/>
      <c r="SUB25" s="9"/>
      <c r="SUC25" s="9"/>
      <c r="SUD25" s="10"/>
      <c r="SUE25" s="11"/>
      <c r="SUF25" s="12"/>
      <c r="SUG25" s="12"/>
      <c r="SUH25" s="12"/>
      <c r="SUI25" s="13"/>
      <c r="SUJ25" s="9"/>
      <c r="SUK25" s="9"/>
      <c r="SUL25" s="9"/>
      <c r="SUM25" s="9"/>
      <c r="SUN25" s="10"/>
      <c r="SUO25" s="11"/>
      <c r="SUP25" s="12"/>
      <c r="SUQ25" s="12"/>
      <c r="SUR25" s="12"/>
      <c r="SUS25" s="13"/>
      <c r="SUT25" s="9"/>
      <c r="SUU25" s="9"/>
      <c r="SUV25" s="9"/>
      <c r="SUW25" s="9"/>
      <c r="SUX25" s="10"/>
      <c r="SUY25" s="11"/>
      <c r="SUZ25" s="12"/>
      <c r="SVA25" s="12"/>
      <c r="SVB25" s="12"/>
      <c r="SVC25" s="13"/>
      <c r="SVD25" s="9"/>
      <c r="SVE25" s="9"/>
      <c r="SVF25" s="9"/>
      <c r="SVG25" s="9"/>
      <c r="SVH25" s="10"/>
      <c r="SVI25" s="11"/>
      <c r="SVJ25" s="12"/>
      <c r="SVK25" s="12"/>
      <c r="SVL25" s="12"/>
      <c r="SVM25" s="13"/>
      <c r="SVN25" s="9"/>
      <c r="SVO25" s="9"/>
      <c r="SVP25" s="9"/>
      <c r="SVQ25" s="9"/>
      <c r="SVR25" s="10"/>
      <c r="SVS25" s="11"/>
      <c r="SVT25" s="12"/>
      <c r="SVU25" s="12"/>
      <c r="SVV25" s="12"/>
      <c r="SVW25" s="13"/>
      <c r="SVX25" s="9"/>
      <c r="SVY25" s="9"/>
      <c r="SVZ25" s="9"/>
      <c r="SWA25" s="9"/>
      <c r="SWB25" s="10"/>
      <c r="SWC25" s="11"/>
      <c r="SWD25" s="12"/>
      <c r="SWE25" s="12"/>
      <c r="SWF25" s="12"/>
      <c r="SWG25" s="13"/>
      <c r="SWH25" s="9"/>
      <c r="SWI25" s="9"/>
      <c r="SWJ25" s="9"/>
      <c r="SWK25" s="9"/>
      <c r="SWL25" s="10"/>
      <c r="SWM25" s="11"/>
      <c r="SWN25" s="12"/>
      <c r="SWO25" s="12"/>
      <c r="SWP25" s="12"/>
      <c r="SWQ25" s="13"/>
      <c r="SWR25" s="9"/>
      <c r="SWS25" s="9"/>
      <c r="SWT25" s="9"/>
      <c r="SWU25" s="9"/>
      <c r="SWV25" s="10"/>
      <c r="SWW25" s="11"/>
      <c r="SWX25" s="12"/>
      <c r="SWY25" s="12"/>
      <c r="SWZ25" s="12"/>
      <c r="SXA25" s="13"/>
      <c r="SXB25" s="9"/>
      <c r="SXC25" s="9"/>
      <c r="SXD25" s="9"/>
      <c r="SXE25" s="9"/>
      <c r="SXF25" s="10"/>
      <c r="SXG25" s="11"/>
      <c r="SXH25" s="12"/>
      <c r="SXI25" s="12"/>
      <c r="SXJ25" s="12"/>
      <c r="SXK25" s="13"/>
      <c r="SXL25" s="9"/>
      <c r="SXM25" s="9"/>
      <c r="SXN25" s="9"/>
      <c r="SXO25" s="9"/>
      <c r="SXP25" s="10"/>
      <c r="SXQ25" s="11"/>
      <c r="SXR25" s="12"/>
      <c r="SXS25" s="12"/>
      <c r="SXT25" s="12"/>
      <c r="SXU25" s="13"/>
      <c r="SXV25" s="9"/>
      <c r="SXW25" s="9"/>
      <c r="SXX25" s="9"/>
      <c r="SXY25" s="9"/>
      <c r="SXZ25" s="10"/>
      <c r="SYA25" s="11"/>
      <c r="SYB25" s="12"/>
      <c r="SYC25" s="12"/>
      <c r="SYD25" s="12"/>
      <c r="SYE25" s="13"/>
      <c r="SYF25" s="9"/>
      <c r="SYG25" s="9"/>
      <c r="SYH25" s="9"/>
      <c r="SYI25" s="9"/>
      <c r="SYJ25" s="10"/>
      <c r="SYK25" s="11"/>
      <c r="SYL25" s="12"/>
      <c r="SYM25" s="12"/>
      <c r="SYN25" s="12"/>
      <c r="SYO25" s="13"/>
      <c r="SYP25" s="9"/>
      <c r="SYQ25" s="9"/>
      <c r="SYR25" s="9"/>
      <c r="SYS25" s="9"/>
      <c r="SYT25" s="10"/>
      <c r="SYU25" s="11"/>
      <c r="SYV25" s="12"/>
      <c r="SYW25" s="12"/>
      <c r="SYX25" s="12"/>
      <c r="SYY25" s="13"/>
      <c r="SYZ25" s="9"/>
      <c r="SZA25" s="9"/>
      <c r="SZB25" s="9"/>
      <c r="SZC25" s="9"/>
      <c r="SZD25" s="10"/>
      <c r="SZE25" s="11"/>
      <c r="SZF25" s="12"/>
      <c r="SZG25" s="12"/>
      <c r="SZH25" s="12"/>
      <c r="SZI25" s="13"/>
      <c r="SZJ25" s="9"/>
      <c r="SZK25" s="9"/>
      <c r="SZL25" s="9"/>
      <c r="SZM25" s="9"/>
      <c r="SZN25" s="10"/>
      <c r="SZO25" s="11"/>
      <c r="SZP25" s="12"/>
      <c r="SZQ25" s="12"/>
      <c r="SZR25" s="12"/>
      <c r="SZS25" s="13"/>
      <c r="SZT25" s="9"/>
      <c r="SZU25" s="9"/>
      <c r="SZV25" s="9"/>
      <c r="SZW25" s="9"/>
      <c r="SZX25" s="10"/>
      <c r="SZY25" s="11"/>
      <c r="SZZ25" s="12"/>
      <c r="TAA25" s="12"/>
      <c r="TAB25" s="12"/>
      <c r="TAC25" s="13"/>
      <c r="TAD25" s="9"/>
      <c r="TAE25" s="9"/>
      <c r="TAF25" s="9"/>
      <c r="TAG25" s="9"/>
      <c r="TAH25" s="10"/>
      <c r="TAI25" s="11"/>
      <c r="TAJ25" s="12"/>
      <c r="TAK25" s="12"/>
      <c r="TAL25" s="12"/>
      <c r="TAM25" s="13"/>
      <c r="TAN25" s="9"/>
      <c r="TAO25" s="9"/>
      <c r="TAP25" s="9"/>
      <c r="TAQ25" s="9"/>
      <c r="TAR25" s="10"/>
      <c r="TAS25" s="11"/>
      <c r="TAT25" s="12"/>
      <c r="TAU25" s="12"/>
      <c r="TAV25" s="12"/>
      <c r="TAW25" s="13"/>
      <c r="TAX25" s="9"/>
      <c r="TAY25" s="9"/>
      <c r="TAZ25" s="9"/>
      <c r="TBA25" s="9"/>
      <c r="TBB25" s="10"/>
      <c r="TBC25" s="11"/>
      <c r="TBD25" s="12"/>
      <c r="TBE25" s="12"/>
      <c r="TBF25" s="12"/>
      <c r="TBG25" s="13"/>
      <c r="TBH25" s="9"/>
      <c r="TBI25" s="9"/>
      <c r="TBJ25" s="9"/>
      <c r="TBK25" s="9"/>
      <c r="TBL25" s="10"/>
      <c r="TBM25" s="11"/>
      <c r="TBN25" s="12"/>
      <c r="TBO25" s="12"/>
      <c r="TBP25" s="12"/>
      <c r="TBQ25" s="13"/>
      <c r="TBR25" s="9"/>
      <c r="TBS25" s="9"/>
      <c r="TBT25" s="9"/>
      <c r="TBU25" s="9"/>
      <c r="TBV25" s="10"/>
      <c r="TBW25" s="11"/>
      <c r="TBX25" s="12"/>
      <c r="TBY25" s="12"/>
      <c r="TBZ25" s="12"/>
      <c r="TCA25" s="13"/>
      <c r="TCB25" s="9"/>
      <c r="TCC25" s="9"/>
      <c r="TCD25" s="9"/>
      <c r="TCE25" s="9"/>
      <c r="TCF25" s="10"/>
      <c r="TCG25" s="11"/>
      <c r="TCH25" s="12"/>
      <c r="TCI25" s="12"/>
      <c r="TCJ25" s="12"/>
      <c r="TCK25" s="13"/>
      <c r="TCL25" s="9"/>
      <c r="TCM25" s="9"/>
      <c r="TCN25" s="9"/>
      <c r="TCO25" s="9"/>
      <c r="TCP25" s="10"/>
      <c r="TCQ25" s="11"/>
      <c r="TCR25" s="12"/>
      <c r="TCS25" s="12"/>
      <c r="TCT25" s="12"/>
      <c r="TCU25" s="13"/>
      <c r="TCV25" s="9"/>
      <c r="TCW25" s="9"/>
      <c r="TCX25" s="9"/>
      <c r="TCY25" s="9"/>
      <c r="TCZ25" s="10"/>
      <c r="TDA25" s="11"/>
      <c r="TDB25" s="12"/>
      <c r="TDC25" s="12"/>
      <c r="TDD25" s="12"/>
      <c r="TDE25" s="13"/>
      <c r="TDF25" s="9"/>
      <c r="TDG25" s="9"/>
      <c r="TDH25" s="9"/>
      <c r="TDI25" s="9"/>
      <c r="TDJ25" s="10"/>
      <c r="TDK25" s="11"/>
      <c r="TDL25" s="12"/>
      <c r="TDM25" s="12"/>
      <c r="TDN25" s="12"/>
      <c r="TDO25" s="13"/>
      <c r="TDP25" s="9"/>
      <c r="TDQ25" s="9"/>
      <c r="TDR25" s="9"/>
      <c r="TDS25" s="9"/>
      <c r="TDT25" s="10"/>
      <c r="TDU25" s="11"/>
      <c r="TDV25" s="12"/>
      <c r="TDW25" s="12"/>
      <c r="TDX25" s="12"/>
      <c r="TDY25" s="13"/>
      <c r="TDZ25" s="9"/>
      <c r="TEA25" s="9"/>
      <c r="TEB25" s="9"/>
      <c r="TEC25" s="9"/>
      <c r="TED25" s="10"/>
      <c r="TEE25" s="11"/>
      <c r="TEF25" s="12"/>
      <c r="TEG25" s="12"/>
      <c r="TEH25" s="12"/>
      <c r="TEI25" s="13"/>
      <c r="TEJ25" s="9"/>
      <c r="TEK25" s="9"/>
      <c r="TEL25" s="9"/>
      <c r="TEM25" s="9"/>
      <c r="TEN25" s="10"/>
      <c r="TEO25" s="11"/>
      <c r="TEP25" s="12"/>
      <c r="TEQ25" s="12"/>
      <c r="TER25" s="12"/>
      <c r="TES25" s="13"/>
      <c r="TET25" s="9"/>
      <c r="TEU25" s="9"/>
      <c r="TEV25" s="9"/>
      <c r="TEW25" s="9"/>
      <c r="TEX25" s="10"/>
      <c r="TEY25" s="11"/>
      <c r="TEZ25" s="12"/>
      <c r="TFA25" s="12"/>
      <c r="TFB25" s="12"/>
      <c r="TFC25" s="13"/>
      <c r="TFD25" s="9"/>
      <c r="TFE25" s="9"/>
      <c r="TFF25" s="9"/>
      <c r="TFG25" s="9"/>
      <c r="TFH25" s="10"/>
      <c r="TFI25" s="11"/>
      <c r="TFJ25" s="12"/>
      <c r="TFK25" s="12"/>
      <c r="TFL25" s="12"/>
      <c r="TFM25" s="13"/>
      <c r="TFN25" s="9"/>
      <c r="TFO25" s="9"/>
      <c r="TFP25" s="9"/>
      <c r="TFQ25" s="9"/>
      <c r="TFR25" s="10"/>
      <c r="TFS25" s="11"/>
      <c r="TFT25" s="12"/>
      <c r="TFU25" s="12"/>
      <c r="TFV25" s="12"/>
      <c r="TFW25" s="13"/>
      <c r="TFX25" s="9"/>
      <c r="TFY25" s="9"/>
      <c r="TFZ25" s="9"/>
      <c r="TGA25" s="9"/>
      <c r="TGB25" s="10"/>
      <c r="TGC25" s="11"/>
      <c r="TGD25" s="12"/>
      <c r="TGE25" s="12"/>
      <c r="TGF25" s="12"/>
      <c r="TGG25" s="13"/>
      <c r="TGH25" s="9"/>
      <c r="TGI25" s="9"/>
      <c r="TGJ25" s="9"/>
      <c r="TGK25" s="9"/>
      <c r="TGL25" s="10"/>
      <c r="TGM25" s="11"/>
      <c r="TGN25" s="12"/>
      <c r="TGO25" s="12"/>
      <c r="TGP25" s="12"/>
      <c r="TGQ25" s="13"/>
      <c r="TGR25" s="9"/>
      <c r="TGS25" s="9"/>
      <c r="TGT25" s="9"/>
      <c r="TGU25" s="9"/>
      <c r="TGV25" s="10"/>
      <c r="TGW25" s="11"/>
      <c r="TGX25" s="12"/>
      <c r="TGY25" s="12"/>
      <c r="TGZ25" s="12"/>
      <c r="THA25" s="13"/>
      <c r="THB25" s="9"/>
      <c r="THC25" s="9"/>
      <c r="THD25" s="9"/>
      <c r="THE25" s="9"/>
      <c r="THF25" s="10"/>
      <c r="THG25" s="11"/>
      <c r="THH25" s="12"/>
      <c r="THI25" s="12"/>
      <c r="THJ25" s="12"/>
      <c r="THK25" s="13"/>
      <c r="THL25" s="9"/>
      <c r="THM25" s="9"/>
      <c r="THN25" s="9"/>
      <c r="THO25" s="9"/>
      <c r="THP25" s="10"/>
      <c r="THQ25" s="11"/>
      <c r="THR25" s="12"/>
      <c r="THS25" s="12"/>
      <c r="THT25" s="12"/>
      <c r="THU25" s="13"/>
      <c r="THV25" s="9"/>
      <c r="THW25" s="9"/>
      <c r="THX25" s="9"/>
      <c r="THY25" s="9"/>
      <c r="THZ25" s="10"/>
      <c r="TIA25" s="11"/>
      <c r="TIB25" s="12"/>
      <c r="TIC25" s="12"/>
      <c r="TID25" s="12"/>
      <c r="TIE25" s="13"/>
      <c r="TIF25" s="9"/>
      <c r="TIG25" s="9"/>
      <c r="TIH25" s="9"/>
      <c r="TII25" s="9"/>
      <c r="TIJ25" s="10"/>
      <c r="TIK25" s="11"/>
      <c r="TIL25" s="12"/>
      <c r="TIM25" s="12"/>
      <c r="TIN25" s="12"/>
      <c r="TIO25" s="13"/>
      <c r="TIP25" s="9"/>
      <c r="TIQ25" s="9"/>
      <c r="TIR25" s="9"/>
      <c r="TIS25" s="9"/>
      <c r="TIT25" s="10"/>
      <c r="TIU25" s="11"/>
      <c r="TIV25" s="12"/>
      <c r="TIW25" s="12"/>
      <c r="TIX25" s="12"/>
      <c r="TIY25" s="13"/>
      <c r="TIZ25" s="9"/>
      <c r="TJA25" s="9"/>
      <c r="TJB25" s="9"/>
      <c r="TJC25" s="9"/>
      <c r="TJD25" s="10"/>
      <c r="TJE25" s="11"/>
      <c r="TJF25" s="12"/>
      <c r="TJG25" s="12"/>
      <c r="TJH25" s="12"/>
      <c r="TJI25" s="13"/>
      <c r="TJJ25" s="9"/>
      <c r="TJK25" s="9"/>
      <c r="TJL25" s="9"/>
      <c r="TJM25" s="9"/>
      <c r="TJN25" s="10"/>
      <c r="TJO25" s="11"/>
      <c r="TJP25" s="12"/>
      <c r="TJQ25" s="12"/>
      <c r="TJR25" s="12"/>
      <c r="TJS25" s="13"/>
      <c r="TJT25" s="9"/>
      <c r="TJU25" s="9"/>
      <c r="TJV25" s="9"/>
      <c r="TJW25" s="9"/>
      <c r="TJX25" s="10"/>
      <c r="TJY25" s="11"/>
      <c r="TJZ25" s="12"/>
      <c r="TKA25" s="12"/>
      <c r="TKB25" s="12"/>
      <c r="TKC25" s="13"/>
      <c r="TKD25" s="9"/>
      <c r="TKE25" s="9"/>
      <c r="TKF25" s="9"/>
      <c r="TKG25" s="9"/>
      <c r="TKH25" s="10"/>
      <c r="TKI25" s="11"/>
      <c r="TKJ25" s="12"/>
      <c r="TKK25" s="12"/>
      <c r="TKL25" s="12"/>
      <c r="TKM25" s="13"/>
      <c r="TKN25" s="9"/>
      <c r="TKO25" s="9"/>
      <c r="TKP25" s="9"/>
      <c r="TKQ25" s="9"/>
      <c r="TKR25" s="10"/>
      <c r="TKS25" s="11"/>
      <c r="TKT25" s="12"/>
      <c r="TKU25" s="12"/>
      <c r="TKV25" s="12"/>
      <c r="TKW25" s="13"/>
      <c r="TKX25" s="9"/>
      <c r="TKY25" s="9"/>
      <c r="TKZ25" s="9"/>
      <c r="TLA25" s="9"/>
      <c r="TLB25" s="10"/>
      <c r="TLC25" s="11"/>
      <c r="TLD25" s="12"/>
      <c r="TLE25" s="12"/>
      <c r="TLF25" s="12"/>
      <c r="TLG25" s="13"/>
      <c r="TLH25" s="9"/>
      <c r="TLI25" s="9"/>
      <c r="TLJ25" s="9"/>
      <c r="TLK25" s="9"/>
      <c r="TLL25" s="10"/>
      <c r="TLM25" s="11"/>
      <c r="TLN25" s="12"/>
      <c r="TLO25" s="12"/>
      <c r="TLP25" s="12"/>
      <c r="TLQ25" s="13"/>
      <c r="TLR25" s="9"/>
      <c r="TLS25" s="9"/>
      <c r="TLT25" s="9"/>
      <c r="TLU25" s="9"/>
      <c r="TLV25" s="10"/>
      <c r="TLW25" s="11"/>
      <c r="TLX25" s="12"/>
      <c r="TLY25" s="12"/>
      <c r="TLZ25" s="12"/>
      <c r="TMA25" s="13"/>
      <c r="TMB25" s="9"/>
      <c r="TMC25" s="9"/>
      <c r="TMD25" s="9"/>
      <c r="TME25" s="9"/>
      <c r="TMF25" s="10"/>
      <c r="TMG25" s="11"/>
      <c r="TMH25" s="12"/>
      <c r="TMI25" s="12"/>
      <c r="TMJ25" s="12"/>
      <c r="TMK25" s="13"/>
      <c r="TML25" s="9"/>
      <c r="TMM25" s="9"/>
      <c r="TMN25" s="9"/>
      <c r="TMO25" s="9"/>
      <c r="TMP25" s="10"/>
      <c r="TMQ25" s="11"/>
      <c r="TMR25" s="12"/>
      <c r="TMS25" s="12"/>
      <c r="TMT25" s="12"/>
      <c r="TMU25" s="13"/>
      <c r="TMV25" s="9"/>
      <c r="TMW25" s="9"/>
      <c r="TMX25" s="9"/>
      <c r="TMY25" s="9"/>
      <c r="TMZ25" s="10"/>
      <c r="TNA25" s="11"/>
      <c r="TNB25" s="12"/>
      <c r="TNC25" s="12"/>
      <c r="TND25" s="12"/>
      <c r="TNE25" s="13"/>
      <c r="TNF25" s="9"/>
      <c r="TNG25" s="9"/>
      <c r="TNH25" s="9"/>
      <c r="TNI25" s="9"/>
      <c r="TNJ25" s="10"/>
      <c r="TNK25" s="11"/>
      <c r="TNL25" s="12"/>
      <c r="TNM25" s="12"/>
      <c r="TNN25" s="12"/>
      <c r="TNO25" s="13"/>
      <c r="TNP25" s="9"/>
      <c r="TNQ25" s="9"/>
      <c r="TNR25" s="9"/>
      <c r="TNS25" s="9"/>
      <c r="TNT25" s="10"/>
      <c r="TNU25" s="11"/>
      <c r="TNV25" s="12"/>
      <c r="TNW25" s="12"/>
      <c r="TNX25" s="12"/>
      <c r="TNY25" s="13"/>
      <c r="TNZ25" s="9"/>
      <c r="TOA25" s="9"/>
      <c r="TOB25" s="9"/>
      <c r="TOC25" s="9"/>
      <c r="TOD25" s="10"/>
      <c r="TOE25" s="11"/>
      <c r="TOF25" s="12"/>
      <c r="TOG25" s="12"/>
      <c r="TOH25" s="12"/>
      <c r="TOI25" s="13"/>
      <c r="TOJ25" s="9"/>
      <c r="TOK25" s="9"/>
      <c r="TOL25" s="9"/>
      <c r="TOM25" s="9"/>
      <c r="TON25" s="10"/>
      <c r="TOO25" s="11"/>
      <c r="TOP25" s="12"/>
      <c r="TOQ25" s="12"/>
      <c r="TOR25" s="12"/>
      <c r="TOS25" s="13"/>
      <c r="TOT25" s="9"/>
      <c r="TOU25" s="9"/>
      <c r="TOV25" s="9"/>
      <c r="TOW25" s="9"/>
      <c r="TOX25" s="10"/>
      <c r="TOY25" s="11"/>
      <c r="TOZ25" s="12"/>
      <c r="TPA25" s="12"/>
      <c r="TPB25" s="12"/>
      <c r="TPC25" s="13"/>
      <c r="TPD25" s="9"/>
      <c r="TPE25" s="9"/>
      <c r="TPF25" s="9"/>
      <c r="TPG25" s="9"/>
      <c r="TPH25" s="10"/>
      <c r="TPI25" s="11"/>
      <c r="TPJ25" s="12"/>
      <c r="TPK25" s="12"/>
      <c r="TPL25" s="12"/>
      <c r="TPM25" s="13"/>
      <c r="TPN25" s="9"/>
      <c r="TPO25" s="9"/>
      <c r="TPP25" s="9"/>
      <c r="TPQ25" s="9"/>
      <c r="TPR25" s="10"/>
      <c r="TPS25" s="11"/>
      <c r="TPT25" s="12"/>
      <c r="TPU25" s="12"/>
      <c r="TPV25" s="12"/>
      <c r="TPW25" s="13"/>
      <c r="TPX25" s="9"/>
      <c r="TPY25" s="9"/>
      <c r="TPZ25" s="9"/>
      <c r="TQA25" s="9"/>
      <c r="TQB25" s="10"/>
      <c r="TQC25" s="11"/>
      <c r="TQD25" s="12"/>
      <c r="TQE25" s="12"/>
      <c r="TQF25" s="12"/>
      <c r="TQG25" s="13"/>
      <c r="TQH25" s="9"/>
      <c r="TQI25" s="9"/>
      <c r="TQJ25" s="9"/>
      <c r="TQK25" s="9"/>
      <c r="TQL25" s="10"/>
      <c r="TQM25" s="11"/>
      <c r="TQN25" s="12"/>
      <c r="TQO25" s="12"/>
      <c r="TQP25" s="12"/>
      <c r="TQQ25" s="13"/>
      <c r="TQR25" s="9"/>
      <c r="TQS25" s="9"/>
      <c r="TQT25" s="9"/>
      <c r="TQU25" s="9"/>
      <c r="TQV25" s="10"/>
      <c r="TQW25" s="11"/>
      <c r="TQX25" s="12"/>
      <c r="TQY25" s="12"/>
      <c r="TQZ25" s="12"/>
      <c r="TRA25" s="13"/>
      <c r="TRB25" s="9"/>
      <c r="TRC25" s="9"/>
      <c r="TRD25" s="9"/>
      <c r="TRE25" s="9"/>
      <c r="TRF25" s="10"/>
      <c r="TRG25" s="11"/>
      <c r="TRH25" s="12"/>
      <c r="TRI25" s="12"/>
      <c r="TRJ25" s="12"/>
      <c r="TRK25" s="13"/>
      <c r="TRL25" s="9"/>
      <c r="TRM25" s="9"/>
      <c r="TRN25" s="9"/>
      <c r="TRO25" s="9"/>
      <c r="TRP25" s="10"/>
      <c r="TRQ25" s="11"/>
      <c r="TRR25" s="12"/>
      <c r="TRS25" s="12"/>
      <c r="TRT25" s="12"/>
      <c r="TRU25" s="13"/>
      <c r="TRV25" s="9"/>
      <c r="TRW25" s="9"/>
      <c r="TRX25" s="9"/>
      <c r="TRY25" s="9"/>
      <c r="TRZ25" s="10"/>
      <c r="TSA25" s="11"/>
      <c r="TSB25" s="12"/>
      <c r="TSC25" s="12"/>
      <c r="TSD25" s="12"/>
      <c r="TSE25" s="13"/>
      <c r="TSF25" s="9"/>
      <c r="TSG25" s="9"/>
      <c r="TSH25" s="9"/>
      <c r="TSI25" s="9"/>
      <c r="TSJ25" s="10"/>
      <c r="TSK25" s="11"/>
      <c r="TSL25" s="12"/>
      <c r="TSM25" s="12"/>
      <c r="TSN25" s="12"/>
      <c r="TSO25" s="13"/>
      <c r="TSP25" s="9"/>
      <c r="TSQ25" s="9"/>
      <c r="TSR25" s="9"/>
      <c r="TSS25" s="9"/>
      <c r="TST25" s="10"/>
      <c r="TSU25" s="11"/>
      <c r="TSV25" s="12"/>
      <c r="TSW25" s="12"/>
      <c r="TSX25" s="12"/>
      <c r="TSY25" s="13"/>
      <c r="TSZ25" s="9"/>
      <c r="TTA25" s="9"/>
      <c r="TTB25" s="9"/>
      <c r="TTC25" s="9"/>
      <c r="TTD25" s="10"/>
      <c r="TTE25" s="11"/>
      <c r="TTF25" s="12"/>
      <c r="TTG25" s="12"/>
      <c r="TTH25" s="12"/>
      <c r="TTI25" s="13"/>
      <c r="TTJ25" s="9"/>
      <c r="TTK25" s="9"/>
      <c r="TTL25" s="9"/>
      <c r="TTM25" s="9"/>
      <c r="TTN25" s="10"/>
      <c r="TTO25" s="11"/>
      <c r="TTP25" s="12"/>
      <c r="TTQ25" s="12"/>
      <c r="TTR25" s="12"/>
      <c r="TTS25" s="13"/>
      <c r="TTT25" s="9"/>
      <c r="TTU25" s="9"/>
      <c r="TTV25" s="9"/>
      <c r="TTW25" s="9"/>
      <c r="TTX25" s="10"/>
      <c r="TTY25" s="11"/>
      <c r="TTZ25" s="12"/>
      <c r="TUA25" s="12"/>
      <c r="TUB25" s="12"/>
      <c r="TUC25" s="13"/>
      <c r="TUD25" s="9"/>
      <c r="TUE25" s="9"/>
      <c r="TUF25" s="9"/>
      <c r="TUG25" s="9"/>
      <c r="TUH25" s="10"/>
      <c r="TUI25" s="11"/>
      <c r="TUJ25" s="12"/>
      <c r="TUK25" s="12"/>
      <c r="TUL25" s="12"/>
      <c r="TUM25" s="13"/>
      <c r="TUN25" s="9"/>
      <c r="TUO25" s="9"/>
      <c r="TUP25" s="9"/>
      <c r="TUQ25" s="9"/>
      <c r="TUR25" s="10"/>
      <c r="TUS25" s="11"/>
      <c r="TUT25" s="12"/>
      <c r="TUU25" s="12"/>
      <c r="TUV25" s="12"/>
      <c r="TUW25" s="13"/>
      <c r="TUX25" s="9"/>
      <c r="TUY25" s="9"/>
      <c r="TUZ25" s="9"/>
      <c r="TVA25" s="9"/>
      <c r="TVB25" s="10"/>
      <c r="TVC25" s="11"/>
      <c r="TVD25" s="12"/>
      <c r="TVE25" s="12"/>
      <c r="TVF25" s="12"/>
      <c r="TVG25" s="13"/>
      <c r="TVH25" s="9"/>
      <c r="TVI25" s="9"/>
      <c r="TVJ25" s="9"/>
      <c r="TVK25" s="9"/>
      <c r="TVL25" s="10"/>
      <c r="TVM25" s="11"/>
      <c r="TVN25" s="12"/>
      <c r="TVO25" s="12"/>
      <c r="TVP25" s="12"/>
      <c r="TVQ25" s="13"/>
      <c r="TVR25" s="9"/>
      <c r="TVS25" s="9"/>
      <c r="TVT25" s="9"/>
      <c r="TVU25" s="9"/>
      <c r="TVV25" s="10"/>
      <c r="TVW25" s="11"/>
      <c r="TVX25" s="12"/>
      <c r="TVY25" s="12"/>
      <c r="TVZ25" s="12"/>
      <c r="TWA25" s="13"/>
      <c r="TWB25" s="9"/>
      <c r="TWC25" s="9"/>
      <c r="TWD25" s="9"/>
      <c r="TWE25" s="9"/>
      <c r="TWF25" s="10"/>
      <c r="TWG25" s="11"/>
      <c r="TWH25" s="12"/>
      <c r="TWI25" s="12"/>
      <c r="TWJ25" s="12"/>
      <c r="TWK25" s="13"/>
      <c r="TWL25" s="9"/>
      <c r="TWM25" s="9"/>
      <c r="TWN25" s="9"/>
      <c r="TWO25" s="9"/>
      <c r="TWP25" s="10"/>
      <c r="TWQ25" s="11"/>
      <c r="TWR25" s="12"/>
      <c r="TWS25" s="12"/>
      <c r="TWT25" s="12"/>
      <c r="TWU25" s="13"/>
      <c r="TWV25" s="9"/>
      <c r="TWW25" s="9"/>
      <c r="TWX25" s="9"/>
      <c r="TWY25" s="9"/>
      <c r="TWZ25" s="10"/>
      <c r="TXA25" s="11"/>
      <c r="TXB25" s="12"/>
      <c r="TXC25" s="12"/>
      <c r="TXD25" s="12"/>
      <c r="TXE25" s="13"/>
      <c r="TXF25" s="9"/>
      <c r="TXG25" s="9"/>
      <c r="TXH25" s="9"/>
      <c r="TXI25" s="9"/>
      <c r="TXJ25" s="10"/>
      <c r="TXK25" s="11"/>
      <c r="TXL25" s="12"/>
      <c r="TXM25" s="12"/>
      <c r="TXN25" s="12"/>
      <c r="TXO25" s="13"/>
      <c r="TXP25" s="9"/>
      <c r="TXQ25" s="9"/>
      <c r="TXR25" s="9"/>
      <c r="TXS25" s="9"/>
      <c r="TXT25" s="10"/>
      <c r="TXU25" s="11"/>
      <c r="TXV25" s="12"/>
      <c r="TXW25" s="12"/>
      <c r="TXX25" s="12"/>
      <c r="TXY25" s="13"/>
      <c r="TXZ25" s="9"/>
      <c r="TYA25" s="9"/>
      <c r="TYB25" s="9"/>
      <c r="TYC25" s="9"/>
      <c r="TYD25" s="10"/>
      <c r="TYE25" s="11"/>
      <c r="TYF25" s="12"/>
      <c r="TYG25" s="12"/>
      <c r="TYH25" s="12"/>
      <c r="TYI25" s="13"/>
      <c r="TYJ25" s="9"/>
      <c r="TYK25" s="9"/>
      <c r="TYL25" s="9"/>
      <c r="TYM25" s="9"/>
      <c r="TYN25" s="10"/>
      <c r="TYO25" s="11"/>
      <c r="TYP25" s="12"/>
      <c r="TYQ25" s="12"/>
      <c r="TYR25" s="12"/>
      <c r="TYS25" s="13"/>
      <c r="TYT25" s="9"/>
      <c r="TYU25" s="9"/>
      <c r="TYV25" s="9"/>
      <c r="TYW25" s="9"/>
      <c r="TYX25" s="10"/>
      <c r="TYY25" s="11"/>
      <c r="TYZ25" s="12"/>
      <c r="TZA25" s="12"/>
      <c r="TZB25" s="12"/>
      <c r="TZC25" s="13"/>
      <c r="TZD25" s="9"/>
      <c r="TZE25" s="9"/>
      <c r="TZF25" s="9"/>
      <c r="TZG25" s="9"/>
      <c r="TZH25" s="10"/>
      <c r="TZI25" s="11"/>
      <c r="TZJ25" s="12"/>
      <c r="TZK25" s="12"/>
      <c r="TZL25" s="12"/>
      <c r="TZM25" s="13"/>
      <c r="TZN25" s="9"/>
      <c r="TZO25" s="9"/>
      <c r="TZP25" s="9"/>
      <c r="TZQ25" s="9"/>
      <c r="TZR25" s="10"/>
      <c r="TZS25" s="11"/>
      <c r="TZT25" s="12"/>
      <c r="TZU25" s="12"/>
      <c r="TZV25" s="12"/>
      <c r="TZW25" s="13"/>
      <c r="TZX25" s="9"/>
      <c r="TZY25" s="9"/>
      <c r="TZZ25" s="9"/>
      <c r="UAA25" s="9"/>
      <c r="UAB25" s="10"/>
      <c r="UAC25" s="11"/>
      <c r="UAD25" s="12"/>
      <c r="UAE25" s="12"/>
      <c r="UAF25" s="12"/>
      <c r="UAG25" s="13"/>
      <c r="UAH25" s="9"/>
      <c r="UAI25" s="9"/>
      <c r="UAJ25" s="9"/>
      <c r="UAK25" s="9"/>
      <c r="UAL25" s="10"/>
      <c r="UAM25" s="11"/>
      <c r="UAN25" s="12"/>
      <c r="UAO25" s="12"/>
      <c r="UAP25" s="12"/>
      <c r="UAQ25" s="13"/>
      <c r="UAR25" s="9"/>
      <c r="UAS25" s="9"/>
      <c r="UAT25" s="9"/>
      <c r="UAU25" s="9"/>
      <c r="UAV25" s="10"/>
      <c r="UAW25" s="11"/>
      <c r="UAX25" s="12"/>
      <c r="UAY25" s="12"/>
      <c r="UAZ25" s="12"/>
      <c r="UBA25" s="13"/>
      <c r="UBB25" s="9"/>
      <c r="UBC25" s="9"/>
      <c r="UBD25" s="9"/>
      <c r="UBE25" s="9"/>
      <c r="UBF25" s="10"/>
      <c r="UBG25" s="11"/>
      <c r="UBH25" s="12"/>
      <c r="UBI25" s="12"/>
      <c r="UBJ25" s="12"/>
      <c r="UBK25" s="13"/>
      <c r="UBL25" s="9"/>
      <c r="UBM25" s="9"/>
      <c r="UBN25" s="9"/>
      <c r="UBO25" s="9"/>
      <c r="UBP25" s="10"/>
      <c r="UBQ25" s="11"/>
      <c r="UBR25" s="12"/>
      <c r="UBS25" s="12"/>
      <c r="UBT25" s="12"/>
      <c r="UBU25" s="13"/>
      <c r="UBV25" s="9"/>
      <c r="UBW25" s="9"/>
      <c r="UBX25" s="9"/>
      <c r="UBY25" s="9"/>
      <c r="UBZ25" s="10"/>
      <c r="UCA25" s="11"/>
      <c r="UCB25" s="12"/>
      <c r="UCC25" s="12"/>
      <c r="UCD25" s="12"/>
      <c r="UCE25" s="13"/>
      <c r="UCF25" s="9"/>
      <c r="UCG25" s="9"/>
      <c r="UCH25" s="9"/>
      <c r="UCI25" s="9"/>
      <c r="UCJ25" s="10"/>
      <c r="UCK25" s="11"/>
      <c r="UCL25" s="12"/>
      <c r="UCM25" s="12"/>
      <c r="UCN25" s="12"/>
      <c r="UCO25" s="13"/>
      <c r="UCP25" s="9"/>
      <c r="UCQ25" s="9"/>
      <c r="UCR25" s="9"/>
      <c r="UCS25" s="9"/>
      <c r="UCT25" s="10"/>
      <c r="UCU25" s="11"/>
      <c r="UCV25" s="12"/>
      <c r="UCW25" s="12"/>
      <c r="UCX25" s="12"/>
      <c r="UCY25" s="13"/>
      <c r="UCZ25" s="9"/>
      <c r="UDA25" s="9"/>
      <c r="UDB25" s="9"/>
      <c r="UDC25" s="9"/>
      <c r="UDD25" s="10"/>
      <c r="UDE25" s="11"/>
      <c r="UDF25" s="12"/>
      <c r="UDG25" s="12"/>
      <c r="UDH25" s="12"/>
      <c r="UDI25" s="13"/>
      <c r="UDJ25" s="9"/>
      <c r="UDK25" s="9"/>
      <c r="UDL25" s="9"/>
      <c r="UDM25" s="9"/>
      <c r="UDN25" s="10"/>
      <c r="UDO25" s="11"/>
      <c r="UDP25" s="12"/>
      <c r="UDQ25" s="12"/>
      <c r="UDR25" s="12"/>
      <c r="UDS25" s="13"/>
      <c r="UDT25" s="9"/>
      <c r="UDU25" s="9"/>
      <c r="UDV25" s="9"/>
      <c r="UDW25" s="9"/>
      <c r="UDX25" s="10"/>
      <c r="UDY25" s="11"/>
      <c r="UDZ25" s="12"/>
      <c r="UEA25" s="12"/>
      <c r="UEB25" s="12"/>
      <c r="UEC25" s="13"/>
      <c r="UED25" s="9"/>
      <c r="UEE25" s="9"/>
      <c r="UEF25" s="9"/>
      <c r="UEG25" s="9"/>
      <c r="UEH25" s="10"/>
      <c r="UEI25" s="11"/>
      <c r="UEJ25" s="12"/>
      <c r="UEK25" s="12"/>
      <c r="UEL25" s="12"/>
      <c r="UEM25" s="13"/>
      <c r="UEN25" s="9"/>
      <c r="UEO25" s="9"/>
      <c r="UEP25" s="9"/>
      <c r="UEQ25" s="9"/>
      <c r="UER25" s="10"/>
      <c r="UES25" s="11"/>
      <c r="UET25" s="12"/>
      <c r="UEU25" s="12"/>
      <c r="UEV25" s="12"/>
      <c r="UEW25" s="13"/>
      <c r="UEX25" s="9"/>
      <c r="UEY25" s="9"/>
      <c r="UEZ25" s="9"/>
      <c r="UFA25" s="9"/>
      <c r="UFB25" s="10"/>
      <c r="UFC25" s="11"/>
      <c r="UFD25" s="12"/>
      <c r="UFE25" s="12"/>
      <c r="UFF25" s="12"/>
      <c r="UFG25" s="13"/>
      <c r="UFH25" s="9"/>
      <c r="UFI25" s="9"/>
      <c r="UFJ25" s="9"/>
      <c r="UFK25" s="9"/>
      <c r="UFL25" s="10"/>
      <c r="UFM25" s="11"/>
      <c r="UFN25" s="12"/>
      <c r="UFO25" s="12"/>
      <c r="UFP25" s="12"/>
      <c r="UFQ25" s="13"/>
      <c r="UFR25" s="9"/>
      <c r="UFS25" s="9"/>
      <c r="UFT25" s="9"/>
      <c r="UFU25" s="9"/>
      <c r="UFV25" s="10"/>
      <c r="UFW25" s="11"/>
      <c r="UFX25" s="12"/>
      <c r="UFY25" s="12"/>
      <c r="UFZ25" s="12"/>
      <c r="UGA25" s="13"/>
      <c r="UGB25" s="9"/>
      <c r="UGC25" s="9"/>
      <c r="UGD25" s="9"/>
      <c r="UGE25" s="9"/>
      <c r="UGF25" s="10"/>
      <c r="UGG25" s="11"/>
      <c r="UGH25" s="12"/>
      <c r="UGI25" s="12"/>
      <c r="UGJ25" s="12"/>
      <c r="UGK25" s="13"/>
      <c r="UGL25" s="9"/>
      <c r="UGM25" s="9"/>
      <c r="UGN25" s="9"/>
      <c r="UGO25" s="9"/>
      <c r="UGP25" s="10"/>
      <c r="UGQ25" s="11"/>
      <c r="UGR25" s="12"/>
      <c r="UGS25" s="12"/>
      <c r="UGT25" s="12"/>
      <c r="UGU25" s="13"/>
      <c r="UGV25" s="9"/>
      <c r="UGW25" s="9"/>
      <c r="UGX25" s="9"/>
      <c r="UGY25" s="9"/>
      <c r="UGZ25" s="10"/>
      <c r="UHA25" s="11"/>
      <c r="UHB25" s="12"/>
      <c r="UHC25" s="12"/>
      <c r="UHD25" s="12"/>
      <c r="UHE25" s="13"/>
      <c r="UHF25" s="9"/>
      <c r="UHG25" s="9"/>
      <c r="UHH25" s="9"/>
      <c r="UHI25" s="9"/>
      <c r="UHJ25" s="10"/>
      <c r="UHK25" s="11"/>
      <c r="UHL25" s="12"/>
      <c r="UHM25" s="12"/>
      <c r="UHN25" s="12"/>
      <c r="UHO25" s="13"/>
      <c r="UHP25" s="9"/>
      <c r="UHQ25" s="9"/>
      <c r="UHR25" s="9"/>
      <c r="UHS25" s="9"/>
      <c r="UHT25" s="10"/>
      <c r="UHU25" s="11"/>
      <c r="UHV25" s="12"/>
      <c r="UHW25" s="12"/>
      <c r="UHX25" s="12"/>
      <c r="UHY25" s="13"/>
      <c r="UHZ25" s="9"/>
      <c r="UIA25" s="9"/>
      <c r="UIB25" s="9"/>
      <c r="UIC25" s="9"/>
      <c r="UID25" s="10"/>
      <c r="UIE25" s="11"/>
      <c r="UIF25" s="12"/>
      <c r="UIG25" s="12"/>
      <c r="UIH25" s="12"/>
      <c r="UII25" s="13"/>
      <c r="UIJ25" s="9"/>
      <c r="UIK25" s="9"/>
      <c r="UIL25" s="9"/>
      <c r="UIM25" s="9"/>
      <c r="UIN25" s="10"/>
      <c r="UIO25" s="11"/>
      <c r="UIP25" s="12"/>
      <c r="UIQ25" s="12"/>
      <c r="UIR25" s="12"/>
      <c r="UIS25" s="13"/>
      <c r="UIT25" s="9"/>
      <c r="UIU25" s="9"/>
      <c r="UIV25" s="9"/>
      <c r="UIW25" s="9"/>
      <c r="UIX25" s="10"/>
      <c r="UIY25" s="11"/>
      <c r="UIZ25" s="12"/>
      <c r="UJA25" s="12"/>
      <c r="UJB25" s="12"/>
      <c r="UJC25" s="13"/>
      <c r="UJD25" s="9"/>
      <c r="UJE25" s="9"/>
      <c r="UJF25" s="9"/>
      <c r="UJG25" s="9"/>
      <c r="UJH25" s="10"/>
      <c r="UJI25" s="11"/>
      <c r="UJJ25" s="12"/>
      <c r="UJK25" s="12"/>
      <c r="UJL25" s="12"/>
      <c r="UJM25" s="13"/>
      <c r="UJN25" s="9"/>
      <c r="UJO25" s="9"/>
      <c r="UJP25" s="9"/>
      <c r="UJQ25" s="9"/>
      <c r="UJR25" s="10"/>
      <c r="UJS25" s="11"/>
      <c r="UJT25" s="12"/>
      <c r="UJU25" s="12"/>
      <c r="UJV25" s="12"/>
      <c r="UJW25" s="13"/>
      <c r="UJX25" s="9"/>
      <c r="UJY25" s="9"/>
      <c r="UJZ25" s="9"/>
      <c r="UKA25" s="9"/>
      <c r="UKB25" s="10"/>
      <c r="UKC25" s="11"/>
      <c r="UKD25" s="12"/>
      <c r="UKE25" s="12"/>
      <c r="UKF25" s="12"/>
      <c r="UKG25" s="13"/>
      <c r="UKH25" s="9"/>
      <c r="UKI25" s="9"/>
      <c r="UKJ25" s="9"/>
      <c r="UKK25" s="9"/>
      <c r="UKL25" s="10"/>
      <c r="UKM25" s="11"/>
      <c r="UKN25" s="12"/>
      <c r="UKO25" s="12"/>
      <c r="UKP25" s="12"/>
      <c r="UKQ25" s="13"/>
      <c r="UKR25" s="9"/>
      <c r="UKS25" s="9"/>
      <c r="UKT25" s="9"/>
      <c r="UKU25" s="9"/>
      <c r="UKV25" s="10"/>
      <c r="UKW25" s="11"/>
      <c r="UKX25" s="12"/>
      <c r="UKY25" s="12"/>
      <c r="UKZ25" s="12"/>
      <c r="ULA25" s="13"/>
      <c r="ULB25" s="9"/>
      <c r="ULC25" s="9"/>
      <c r="ULD25" s="9"/>
      <c r="ULE25" s="9"/>
      <c r="ULF25" s="10"/>
      <c r="ULG25" s="11"/>
      <c r="ULH25" s="12"/>
      <c r="ULI25" s="12"/>
      <c r="ULJ25" s="12"/>
      <c r="ULK25" s="13"/>
      <c r="ULL25" s="9"/>
      <c r="ULM25" s="9"/>
      <c r="ULN25" s="9"/>
      <c r="ULO25" s="9"/>
      <c r="ULP25" s="10"/>
      <c r="ULQ25" s="11"/>
      <c r="ULR25" s="12"/>
      <c r="ULS25" s="12"/>
      <c r="ULT25" s="12"/>
      <c r="ULU25" s="13"/>
      <c r="ULV25" s="9"/>
      <c r="ULW25" s="9"/>
      <c r="ULX25" s="9"/>
      <c r="ULY25" s="9"/>
      <c r="ULZ25" s="10"/>
      <c r="UMA25" s="11"/>
      <c r="UMB25" s="12"/>
      <c r="UMC25" s="12"/>
      <c r="UMD25" s="12"/>
      <c r="UME25" s="13"/>
      <c r="UMF25" s="9"/>
      <c r="UMG25" s="9"/>
      <c r="UMH25" s="9"/>
      <c r="UMI25" s="9"/>
      <c r="UMJ25" s="10"/>
      <c r="UMK25" s="11"/>
      <c r="UML25" s="12"/>
      <c r="UMM25" s="12"/>
      <c r="UMN25" s="12"/>
      <c r="UMO25" s="13"/>
      <c r="UMP25" s="9"/>
      <c r="UMQ25" s="9"/>
      <c r="UMR25" s="9"/>
      <c r="UMS25" s="9"/>
      <c r="UMT25" s="10"/>
      <c r="UMU25" s="11"/>
      <c r="UMV25" s="12"/>
      <c r="UMW25" s="12"/>
      <c r="UMX25" s="12"/>
      <c r="UMY25" s="13"/>
      <c r="UMZ25" s="9"/>
      <c r="UNA25" s="9"/>
      <c r="UNB25" s="9"/>
      <c r="UNC25" s="9"/>
      <c r="UND25" s="10"/>
      <c r="UNE25" s="11"/>
      <c r="UNF25" s="12"/>
      <c r="UNG25" s="12"/>
      <c r="UNH25" s="12"/>
      <c r="UNI25" s="13"/>
      <c r="UNJ25" s="9"/>
      <c r="UNK25" s="9"/>
      <c r="UNL25" s="9"/>
      <c r="UNM25" s="9"/>
      <c r="UNN25" s="10"/>
      <c r="UNO25" s="11"/>
      <c r="UNP25" s="12"/>
      <c r="UNQ25" s="12"/>
      <c r="UNR25" s="12"/>
      <c r="UNS25" s="13"/>
      <c r="UNT25" s="9"/>
      <c r="UNU25" s="9"/>
      <c r="UNV25" s="9"/>
      <c r="UNW25" s="9"/>
      <c r="UNX25" s="10"/>
      <c r="UNY25" s="11"/>
      <c r="UNZ25" s="12"/>
      <c r="UOA25" s="12"/>
      <c r="UOB25" s="12"/>
      <c r="UOC25" s="13"/>
      <c r="UOD25" s="9"/>
      <c r="UOE25" s="9"/>
      <c r="UOF25" s="9"/>
      <c r="UOG25" s="9"/>
      <c r="UOH25" s="10"/>
      <c r="UOI25" s="11"/>
      <c r="UOJ25" s="12"/>
      <c r="UOK25" s="12"/>
      <c r="UOL25" s="12"/>
      <c r="UOM25" s="13"/>
      <c r="UON25" s="9"/>
      <c r="UOO25" s="9"/>
      <c r="UOP25" s="9"/>
      <c r="UOQ25" s="9"/>
      <c r="UOR25" s="10"/>
      <c r="UOS25" s="11"/>
      <c r="UOT25" s="12"/>
      <c r="UOU25" s="12"/>
      <c r="UOV25" s="12"/>
      <c r="UOW25" s="13"/>
      <c r="UOX25" s="9"/>
      <c r="UOY25" s="9"/>
      <c r="UOZ25" s="9"/>
      <c r="UPA25" s="9"/>
      <c r="UPB25" s="10"/>
      <c r="UPC25" s="11"/>
      <c r="UPD25" s="12"/>
      <c r="UPE25" s="12"/>
      <c r="UPF25" s="12"/>
      <c r="UPG25" s="13"/>
      <c r="UPH25" s="9"/>
      <c r="UPI25" s="9"/>
      <c r="UPJ25" s="9"/>
      <c r="UPK25" s="9"/>
      <c r="UPL25" s="10"/>
      <c r="UPM25" s="11"/>
      <c r="UPN25" s="12"/>
      <c r="UPO25" s="12"/>
      <c r="UPP25" s="12"/>
      <c r="UPQ25" s="13"/>
      <c r="UPR25" s="9"/>
      <c r="UPS25" s="9"/>
      <c r="UPT25" s="9"/>
      <c r="UPU25" s="9"/>
      <c r="UPV25" s="10"/>
      <c r="UPW25" s="11"/>
      <c r="UPX25" s="12"/>
      <c r="UPY25" s="12"/>
      <c r="UPZ25" s="12"/>
      <c r="UQA25" s="13"/>
      <c r="UQB25" s="9"/>
      <c r="UQC25" s="9"/>
      <c r="UQD25" s="9"/>
      <c r="UQE25" s="9"/>
      <c r="UQF25" s="10"/>
      <c r="UQG25" s="11"/>
      <c r="UQH25" s="12"/>
      <c r="UQI25" s="12"/>
      <c r="UQJ25" s="12"/>
      <c r="UQK25" s="13"/>
      <c r="UQL25" s="9"/>
      <c r="UQM25" s="9"/>
      <c r="UQN25" s="9"/>
      <c r="UQO25" s="9"/>
      <c r="UQP25" s="10"/>
      <c r="UQQ25" s="11"/>
      <c r="UQR25" s="12"/>
      <c r="UQS25" s="12"/>
      <c r="UQT25" s="12"/>
      <c r="UQU25" s="13"/>
      <c r="UQV25" s="9"/>
      <c r="UQW25" s="9"/>
      <c r="UQX25" s="9"/>
      <c r="UQY25" s="9"/>
      <c r="UQZ25" s="10"/>
      <c r="URA25" s="11"/>
      <c r="URB25" s="12"/>
      <c r="URC25" s="12"/>
      <c r="URD25" s="12"/>
      <c r="URE25" s="13"/>
      <c r="URF25" s="9"/>
      <c r="URG25" s="9"/>
      <c r="URH25" s="9"/>
      <c r="URI25" s="9"/>
      <c r="URJ25" s="10"/>
      <c r="URK25" s="11"/>
      <c r="URL25" s="12"/>
      <c r="URM25" s="12"/>
      <c r="URN25" s="12"/>
      <c r="URO25" s="13"/>
      <c r="URP25" s="9"/>
      <c r="URQ25" s="9"/>
      <c r="URR25" s="9"/>
      <c r="URS25" s="9"/>
      <c r="URT25" s="10"/>
      <c r="URU25" s="11"/>
      <c r="URV25" s="12"/>
      <c r="URW25" s="12"/>
      <c r="URX25" s="12"/>
      <c r="URY25" s="13"/>
      <c r="URZ25" s="9"/>
      <c r="USA25" s="9"/>
      <c r="USB25" s="9"/>
      <c r="USC25" s="9"/>
      <c r="USD25" s="10"/>
      <c r="USE25" s="11"/>
      <c r="USF25" s="12"/>
      <c r="USG25" s="12"/>
      <c r="USH25" s="12"/>
      <c r="USI25" s="13"/>
      <c r="USJ25" s="9"/>
      <c r="USK25" s="9"/>
      <c r="USL25" s="9"/>
      <c r="USM25" s="9"/>
      <c r="USN25" s="10"/>
      <c r="USO25" s="11"/>
      <c r="USP25" s="12"/>
      <c r="USQ25" s="12"/>
      <c r="USR25" s="12"/>
      <c r="USS25" s="13"/>
      <c r="UST25" s="9"/>
      <c r="USU25" s="9"/>
      <c r="USV25" s="9"/>
      <c r="USW25" s="9"/>
      <c r="USX25" s="10"/>
      <c r="USY25" s="11"/>
      <c r="USZ25" s="12"/>
      <c r="UTA25" s="12"/>
      <c r="UTB25" s="12"/>
      <c r="UTC25" s="13"/>
      <c r="UTD25" s="9"/>
      <c r="UTE25" s="9"/>
      <c r="UTF25" s="9"/>
      <c r="UTG25" s="9"/>
      <c r="UTH25" s="10"/>
      <c r="UTI25" s="11"/>
      <c r="UTJ25" s="12"/>
      <c r="UTK25" s="12"/>
      <c r="UTL25" s="12"/>
      <c r="UTM25" s="13"/>
      <c r="UTN25" s="9"/>
      <c r="UTO25" s="9"/>
      <c r="UTP25" s="9"/>
      <c r="UTQ25" s="9"/>
      <c r="UTR25" s="10"/>
      <c r="UTS25" s="11"/>
      <c r="UTT25" s="12"/>
      <c r="UTU25" s="12"/>
      <c r="UTV25" s="12"/>
      <c r="UTW25" s="13"/>
      <c r="UTX25" s="9"/>
      <c r="UTY25" s="9"/>
      <c r="UTZ25" s="9"/>
      <c r="UUA25" s="9"/>
      <c r="UUB25" s="10"/>
      <c r="UUC25" s="11"/>
      <c r="UUD25" s="12"/>
      <c r="UUE25" s="12"/>
      <c r="UUF25" s="12"/>
      <c r="UUG25" s="13"/>
      <c r="UUH25" s="9"/>
      <c r="UUI25" s="9"/>
      <c r="UUJ25" s="9"/>
      <c r="UUK25" s="9"/>
      <c r="UUL25" s="10"/>
      <c r="UUM25" s="11"/>
      <c r="UUN25" s="12"/>
      <c r="UUO25" s="12"/>
      <c r="UUP25" s="12"/>
      <c r="UUQ25" s="13"/>
      <c r="UUR25" s="9"/>
      <c r="UUS25" s="9"/>
      <c r="UUT25" s="9"/>
      <c r="UUU25" s="9"/>
      <c r="UUV25" s="10"/>
      <c r="UUW25" s="11"/>
      <c r="UUX25" s="12"/>
      <c r="UUY25" s="12"/>
      <c r="UUZ25" s="12"/>
      <c r="UVA25" s="13"/>
      <c r="UVB25" s="9"/>
      <c r="UVC25" s="9"/>
      <c r="UVD25" s="9"/>
      <c r="UVE25" s="9"/>
      <c r="UVF25" s="10"/>
      <c r="UVG25" s="11"/>
      <c r="UVH25" s="12"/>
      <c r="UVI25" s="12"/>
      <c r="UVJ25" s="12"/>
      <c r="UVK25" s="13"/>
      <c r="UVL25" s="9"/>
      <c r="UVM25" s="9"/>
      <c r="UVN25" s="9"/>
      <c r="UVO25" s="9"/>
      <c r="UVP25" s="10"/>
      <c r="UVQ25" s="11"/>
      <c r="UVR25" s="12"/>
      <c r="UVS25" s="12"/>
      <c r="UVT25" s="12"/>
      <c r="UVU25" s="13"/>
      <c r="UVV25" s="9"/>
      <c r="UVW25" s="9"/>
      <c r="UVX25" s="9"/>
      <c r="UVY25" s="9"/>
      <c r="UVZ25" s="10"/>
      <c r="UWA25" s="11"/>
      <c r="UWB25" s="12"/>
      <c r="UWC25" s="12"/>
      <c r="UWD25" s="12"/>
      <c r="UWE25" s="13"/>
      <c r="UWF25" s="9"/>
      <c r="UWG25" s="9"/>
      <c r="UWH25" s="9"/>
      <c r="UWI25" s="9"/>
      <c r="UWJ25" s="10"/>
      <c r="UWK25" s="11"/>
      <c r="UWL25" s="12"/>
      <c r="UWM25" s="12"/>
      <c r="UWN25" s="12"/>
      <c r="UWO25" s="13"/>
      <c r="UWP25" s="9"/>
      <c r="UWQ25" s="9"/>
      <c r="UWR25" s="9"/>
      <c r="UWS25" s="9"/>
      <c r="UWT25" s="10"/>
      <c r="UWU25" s="11"/>
      <c r="UWV25" s="12"/>
      <c r="UWW25" s="12"/>
      <c r="UWX25" s="12"/>
      <c r="UWY25" s="13"/>
      <c r="UWZ25" s="9"/>
      <c r="UXA25" s="9"/>
      <c r="UXB25" s="9"/>
      <c r="UXC25" s="9"/>
      <c r="UXD25" s="10"/>
      <c r="UXE25" s="11"/>
      <c r="UXF25" s="12"/>
      <c r="UXG25" s="12"/>
      <c r="UXH25" s="12"/>
      <c r="UXI25" s="13"/>
      <c r="UXJ25" s="9"/>
      <c r="UXK25" s="9"/>
      <c r="UXL25" s="9"/>
      <c r="UXM25" s="9"/>
      <c r="UXN25" s="10"/>
      <c r="UXO25" s="11"/>
      <c r="UXP25" s="12"/>
      <c r="UXQ25" s="12"/>
      <c r="UXR25" s="12"/>
      <c r="UXS25" s="13"/>
      <c r="UXT25" s="9"/>
      <c r="UXU25" s="9"/>
      <c r="UXV25" s="9"/>
      <c r="UXW25" s="9"/>
      <c r="UXX25" s="10"/>
      <c r="UXY25" s="11"/>
      <c r="UXZ25" s="12"/>
      <c r="UYA25" s="12"/>
      <c r="UYB25" s="12"/>
      <c r="UYC25" s="13"/>
      <c r="UYD25" s="9"/>
      <c r="UYE25" s="9"/>
      <c r="UYF25" s="9"/>
      <c r="UYG25" s="9"/>
      <c r="UYH25" s="10"/>
      <c r="UYI25" s="11"/>
      <c r="UYJ25" s="12"/>
      <c r="UYK25" s="12"/>
      <c r="UYL25" s="12"/>
      <c r="UYM25" s="13"/>
      <c r="UYN25" s="9"/>
      <c r="UYO25" s="9"/>
      <c r="UYP25" s="9"/>
      <c r="UYQ25" s="9"/>
      <c r="UYR25" s="10"/>
      <c r="UYS25" s="11"/>
      <c r="UYT25" s="12"/>
      <c r="UYU25" s="12"/>
      <c r="UYV25" s="12"/>
      <c r="UYW25" s="13"/>
      <c r="UYX25" s="9"/>
      <c r="UYY25" s="9"/>
      <c r="UYZ25" s="9"/>
      <c r="UZA25" s="9"/>
      <c r="UZB25" s="10"/>
      <c r="UZC25" s="11"/>
      <c r="UZD25" s="12"/>
      <c r="UZE25" s="12"/>
      <c r="UZF25" s="12"/>
      <c r="UZG25" s="13"/>
      <c r="UZH25" s="9"/>
      <c r="UZI25" s="9"/>
      <c r="UZJ25" s="9"/>
      <c r="UZK25" s="9"/>
      <c r="UZL25" s="10"/>
      <c r="UZM25" s="11"/>
      <c r="UZN25" s="12"/>
      <c r="UZO25" s="12"/>
      <c r="UZP25" s="12"/>
      <c r="UZQ25" s="13"/>
      <c r="UZR25" s="9"/>
      <c r="UZS25" s="9"/>
      <c r="UZT25" s="9"/>
      <c r="UZU25" s="9"/>
      <c r="UZV25" s="10"/>
      <c r="UZW25" s="11"/>
      <c r="UZX25" s="12"/>
      <c r="UZY25" s="12"/>
      <c r="UZZ25" s="12"/>
      <c r="VAA25" s="13"/>
      <c r="VAB25" s="9"/>
      <c r="VAC25" s="9"/>
      <c r="VAD25" s="9"/>
      <c r="VAE25" s="9"/>
      <c r="VAF25" s="10"/>
      <c r="VAG25" s="11"/>
      <c r="VAH25" s="12"/>
      <c r="VAI25" s="12"/>
      <c r="VAJ25" s="12"/>
      <c r="VAK25" s="13"/>
      <c r="VAL25" s="9"/>
      <c r="VAM25" s="9"/>
      <c r="VAN25" s="9"/>
      <c r="VAO25" s="9"/>
      <c r="VAP25" s="10"/>
      <c r="VAQ25" s="11"/>
      <c r="VAR25" s="12"/>
      <c r="VAS25" s="12"/>
      <c r="VAT25" s="12"/>
      <c r="VAU25" s="13"/>
      <c r="VAV25" s="9"/>
      <c r="VAW25" s="9"/>
      <c r="VAX25" s="9"/>
      <c r="VAY25" s="9"/>
      <c r="VAZ25" s="10"/>
      <c r="VBA25" s="11"/>
      <c r="VBB25" s="12"/>
      <c r="VBC25" s="12"/>
      <c r="VBD25" s="12"/>
      <c r="VBE25" s="13"/>
      <c r="VBF25" s="9"/>
      <c r="VBG25" s="9"/>
      <c r="VBH25" s="9"/>
      <c r="VBI25" s="9"/>
      <c r="VBJ25" s="10"/>
      <c r="VBK25" s="11"/>
      <c r="VBL25" s="12"/>
      <c r="VBM25" s="12"/>
      <c r="VBN25" s="12"/>
      <c r="VBO25" s="13"/>
      <c r="VBP25" s="9"/>
      <c r="VBQ25" s="9"/>
      <c r="VBR25" s="9"/>
      <c r="VBS25" s="9"/>
      <c r="VBT25" s="10"/>
      <c r="VBU25" s="11"/>
      <c r="VBV25" s="12"/>
      <c r="VBW25" s="12"/>
      <c r="VBX25" s="12"/>
      <c r="VBY25" s="13"/>
      <c r="VBZ25" s="9"/>
      <c r="VCA25" s="9"/>
      <c r="VCB25" s="9"/>
      <c r="VCC25" s="9"/>
      <c r="VCD25" s="10"/>
      <c r="VCE25" s="11"/>
      <c r="VCF25" s="12"/>
      <c r="VCG25" s="12"/>
      <c r="VCH25" s="12"/>
      <c r="VCI25" s="13"/>
      <c r="VCJ25" s="9"/>
      <c r="VCK25" s="9"/>
      <c r="VCL25" s="9"/>
      <c r="VCM25" s="9"/>
      <c r="VCN25" s="10"/>
      <c r="VCO25" s="11"/>
      <c r="VCP25" s="12"/>
      <c r="VCQ25" s="12"/>
      <c r="VCR25" s="12"/>
      <c r="VCS25" s="13"/>
      <c r="VCT25" s="9"/>
      <c r="VCU25" s="9"/>
      <c r="VCV25" s="9"/>
      <c r="VCW25" s="9"/>
      <c r="VCX25" s="10"/>
      <c r="VCY25" s="11"/>
      <c r="VCZ25" s="12"/>
      <c r="VDA25" s="12"/>
      <c r="VDB25" s="12"/>
      <c r="VDC25" s="13"/>
      <c r="VDD25" s="9"/>
      <c r="VDE25" s="9"/>
      <c r="VDF25" s="9"/>
      <c r="VDG25" s="9"/>
      <c r="VDH25" s="10"/>
      <c r="VDI25" s="11"/>
      <c r="VDJ25" s="12"/>
      <c r="VDK25" s="12"/>
      <c r="VDL25" s="12"/>
      <c r="VDM25" s="13"/>
      <c r="VDN25" s="9"/>
      <c r="VDO25" s="9"/>
      <c r="VDP25" s="9"/>
      <c r="VDQ25" s="9"/>
      <c r="VDR25" s="10"/>
      <c r="VDS25" s="11"/>
      <c r="VDT25" s="12"/>
      <c r="VDU25" s="12"/>
      <c r="VDV25" s="12"/>
      <c r="VDW25" s="13"/>
      <c r="VDX25" s="9"/>
      <c r="VDY25" s="9"/>
      <c r="VDZ25" s="9"/>
      <c r="VEA25" s="9"/>
      <c r="VEB25" s="10"/>
      <c r="VEC25" s="11"/>
      <c r="VED25" s="12"/>
      <c r="VEE25" s="12"/>
      <c r="VEF25" s="12"/>
      <c r="VEG25" s="13"/>
      <c r="VEH25" s="9"/>
      <c r="VEI25" s="9"/>
      <c r="VEJ25" s="9"/>
      <c r="VEK25" s="9"/>
      <c r="VEL25" s="10"/>
      <c r="VEM25" s="11"/>
      <c r="VEN25" s="12"/>
      <c r="VEO25" s="12"/>
      <c r="VEP25" s="12"/>
      <c r="VEQ25" s="13"/>
      <c r="VER25" s="9"/>
      <c r="VES25" s="9"/>
      <c r="VET25" s="9"/>
      <c r="VEU25" s="9"/>
      <c r="VEV25" s="10"/>
      <c r="VEW25" s="11"/>
      <c r="VEX25" s="12"/>
      <c r="VEY25" s="12"/>
      <c r="VEZ25" s="12"/>
      <c r="VFA25" s="13"/>
      <c r="VFB25" s="9"/>
      <c r="VFC25" s="9"/>
      <c r="VFD25" s="9"/>
      <c r="VFE25" s="9"/>
      <c r="VFF25" s="10"/>
      <c r="VFG25" s="11"/>
      <c r="VFH25" s="12"/>
      <c r="VFI25" s="12"/>
      <c r="VFJ25" s="12"/>
      <c r="VFK25" s="13"/>
      <c r="VFL25" s="9"/>
      <c r="VFM25" s="9"/>
      <c r="VFN25" s="9"/>
      <c r="VFO25" s="9"/>
      <c r="VFP25" s="10"/>
      <c r="VFQ25" s="11"/>
      <c r="VFR25" s="12"/>
      <c r="VFS25" s="12"/>
      <c r="VFT25" s="12"/>
      <c r="VFU25" s="13"/>
      <c r="VFV25" s="9"/>
      <c r="VFW25" s="9"/>
      <c r="VFX25" s="9"/>
      <c r="VFY25" s="9"/>
      <c r="VFZ25" s="10"/>
      <c r="VGA25" s="11"/>
      <c r="VGB25" s="12"/>
      <c r="VGC25" s="12"/>
      <c r="VGD25" s="12"/>
      <c r="VGE25" s="13"/>
      <c r="VGF25" s="9"/>
      <c r="VGG25" s="9"/>
      <c r="VGH25" s="9"/>
      <c r="VGI25" s="9"/>
      <c r="VGJ25" s="10"/>
      <c r="VGK25" s="11"/>
      <c r="VGL25" s="12"/>
      <c r="VGM25" s="12"/>
      <c r="VGN25" s="12"/>
      <c r="VGO25" s="13"/>
      <c r="VGP25" s="9"/>
      <c r="VGQ25" s="9"/>
      <c r="VGR25" s="9"/>
      <c r="VGS25" s="9"/>
      <c r="VGT25" s="10"/>
      <c r="VGU25" s="11"/>
      <c r="VGV25" s="12"/>
      <c r="VGW25" s="12"/>
      <c r="VGX25" s="12"/>
      <c r="VGY25" s="13"/>
      <c r="VGZ25" s="9"/>
      <c r="VHA25" s="9"/>
      <c r="VHB25" s="9"/>
      <c r="VHC25" s="9"/>
      <c r="VHD25" s="10"/>
      <c r="VHE25" s="11"/>
      <c r="VHF25" s="12"/>
      <c r="VHG25" s="12"/>
      <c r="VHH25" s="12"/>
      <c r="VHI25" s="13"/>
      <c r="VHJ25" s="9"/>
      <c r="VHK25" s="9"/>
      <c r="VHL25" s="9"/>
      <c r="VHM25" s="9"/>
      <c r="VHN25" s="10"/>
      <c r="VHO25" s="11"/>
      <c r="VHP25" s="12"/>
      <c r="VHQ25" s="12"/>
      <c r="VHR25" s="12"/>
      <c r="VHS25" s="13"/>
      <c r="VHT25" s="9"/>
      <c r="VHU25" s="9"/>
      <c r="VHV25" s="9"/>
      <c r="VHW25" s="9"/>
      <c r="VHX25" s="10"/>
      <c r="VHY25" s="11"/>
      <c r="VHZ25" s="12"/>
      <c r="VIA25" s="12"/>
      <c r="VIB25" s="12"/>
      <c r="VIC25" s="13"/>
      <c r="VID25" s="9"/>
      <c r="VIE25" s="9"/>
      <c r="VIF25" s="9"/>
      <c r="VIG25" s="9"/>
      <c r="VIH25" s="10"/>
      <c r="VII25" s="11"/>
      <c r="VIJ25" s="12"/>
      <c r="VIK25" s="12"/>
      <c r="VIL25" s="12"/>
      <c r="VIM25" s="13"/>
      <c r="VIN25" s="9"/>
      <c r="VIO25" s="9"/>
      <c r="VIP25" s="9"/>
      <c r="VIQ25" s="9"/>
      <c r="VIR25" s="10"/>
      <c r="VIS25" s="11"/>
      <c r="VIT25" s="12"/>
      <c r="VIU25" s="12"/>
      <c r="VIV25" s="12"/>
      <c r="VIW25" s="13"/>
      <c r="VIX25" s="9"/>
      <c r="VIY25" s="9"/>
      <c r="VIZ25" s="9"/>
      <c r="VJA25" s="9"/>
      <c r="VJB25" s="10"/>
      <c r="VJC25" s="11"/>
      <c r="VJD25" s="12"/>
      <c r="VJE25" s="12"/>
      <c r="VJF25" s="12"/>
      <c r="VJG25" s="13"/>
      <c r="VJH25" s="9"/>
      <c r="VJI25" s="9"/>
      <c r="VJJ25" s="9"/>
      <c r="VJK25" s="9"/>
      <c r="VJL25" s="10"/>
      <c r="VJM25" s="11"/>
      <c r="VJN25" s="12"/>
      <c r="VJO25" s="12"/>
      <c r="VJP25" s="12"/>
      <c r="VJQ25" s="13"/>
      <c r="VJR25" s="9"/>
      <c r="VJS25" s="9"/>
      <c r="VJT25" s="9"/>
      <c r="VJU25" s="9"/>
      <c r="VJV25" s="10"/>
      <c r="VJW25" s="11"/>
      <c r="VJX25" s="12"/>
      <c r="VJY25" s="12"/>
      <c r="VJZ25" s="12"/>
      <c r="VKA25" s="13"/>
      <c r="VKB25" s="9"/>
      <c r="VKC25" s="9"/>
      <c r="VKD25" s="9"/>
      <c r="VKE25" s="9"/>
      <c r="VKF25" s="10"/>
      <c r="VKG25" s="11"/>
      <c r="VKH25" s="12"/>
      <c r="VKI25" s="12"/>
      <c r="VKJ25" s="12"/>
      <c r="VKK25" s="13"/>
      <c r="VKL25" s="9"/>
      <c r="VKM25" s="9"/>
      <c r="VKN25" s="9"/>
      <c r="VKO25" s="9"/>
      <c r="VKP25" s="10"/>
      <c r="VKQ25" s="11"/>
      <c r="VKR25" s="12"/>
      <c r="VKS25" s="12"/>
      <c r="VKT25" s="12"/>
      <c r="VKU25" s="13"/>
      <c r="VKV25" s="9"/>
      <c r="VKW25" s="9"/>
      <c r="VKX25" s="9"/>
      <c r="VKY25" s="9"/>
      <c r="VKZ25" s="10"/>
      <c r="VLA25" s="11"/>
      <c r="VLB25" s="12"/>
      <c r="VLC25" s="12"/>
      <c r="VLD25" s="12"/>
      <c r="VLE25" s="13"/>
      <c r="VLF25" s="9"/>
      <c r="VLG25" s="9"/>
      <c r="VLH25" s="9"/>
      <c r="VLI25" s="9"/>
      <c r="VLJ25" s="10"/>
      <c r="VLK25" s="11"/>
      <c r="VLL25" s="12"/>
      <c r="VLM25" s="12"/>
      <c r="VLN25" s="12"/>
      <c r="VLO25" s="13"/>
      <c r="VLP25" s="9"/>
      <c r="VLQ25" s="9"/>
      <c r="VLR25" s="9"/>
      <c r="VLS25" s="9"/>
      <c r="VLT25" s="10"/>
      <c r="VLU25" s="11"/>
      <c r="VLV25" s="12"/>
      <c r="VLW25" s="12"/>
      <c r="VLX25" s="12"/>
      <c r="VLY25" s="13"/>
      <c r="VLZ25" s="9"/>
      <c r="VMA25" s="9"/>
      <c r="VMB25" s="9"/>
      <c r="VMC25" s="9"/>
      <c r="VMD25" s="10"/>
      <c r="VME25" s="11"/>
      <c r="VMF25" s="12"/>
      <c r="VMG25" s="12"/>
      <c r="VMH25" s="12"/>
      <c r="VMI25" s="13"/>
      <c r="VMJ25" s="9"/>
      <c r="VMK25" s="9"/>
      <c r="VML25" s="9"/>
      <c r="VMM25" s="9"/>
      <c r="VMN25" s="10"/>
      <c r="VMO25" s="11"/>
      <c r="VMP25" s="12"/>
      <c r="VMQ25" s="12"/>
      <c r="VMR25" s="12"/>
      <c r="VMS25" s="13"/>
      <c r="VMT25" s="9"/>
      <c r="VMU25" s="9"/>
      <c r="VMV25" s="9"/>
      <c r="VMW25" s="9"/>
      <c r="VMX25" s="10"/>
      <c r="VMY25" s="11"/>
      <c r="VMZ25" s="12"/>
      <c r="VNA25" s="12"/>
      <c r="VNB25" s="12"/>
      <c r="VNC25" s="13"/>
      <c r="VND25" s="9"/>
      <c r="VNE25" s="9"/>
      <c r="VNF25" s="9"/>
      <c r="VNG25" s="9"/>
      <c r="VNH25" s="10"/>
      <c r="VNI25" s="11"/>
      <c r="VNJ25" s="12"/>
      <c r="VNK25" s="12"/>
      <c r="VNL25" s="12"/>
      <c r="VNM25" s="13"/>
      <c r="VNN25" s="9"/>
      <c r="VNO25" s="9"/>
      <c r="VNP25" s="9"/>
      <c r="VNQ25" s="9"/>
      <c r="VNR25" s="10"/>
      <c r="VNS25" s="11"/>
      <c r="VNT25" s="12"/>
      <c r="VNU25" s="12"/>
      <c r="VNV25" s="12"/>
      <c r="VNW25" s="13"/>
      <c r="VNX25" s="9"/>
      <c r="VNY25" s="9"/>
      <c r="VNZ25" s="9"/>
      <c r="VOA25" s="9"/>
      <c r="VOB25" s="10"/>
      <c r="VOC25" s="11"/>
      <c r="VOD25" s="12"/>
      <c r="VOE25" s="12"/>
      <c r="VOF25" s="12"/>
      <c r="VOG25" s="13"/>
      <c r="VOH25" s="9"/>
      <c r="VOI25" s="9"/>
      <c r="VOJ25" s="9"/>
      <c r="VOK25" s="9"/>
      <c r="VOL25" s="10"/>
      <c r="VOM25" s="11"/>
      <c r="VON25" s="12"/>
      <c r="VOO25" s="12"/>
      <c r="VOP25" s="12"/>
      <c r="VOQ25" s="13"/>
      <c r="VOR25" s="9"/>
      <c r="VOS25" s="9"/>
      <c r="VOT25" s="9"/>
      <c r="VOU25" s="9"/>
      <c r="VOV25" s="10"/>
      <c r="VOW25" s="11"/>
      <c r="VOX25" s="12"/>
      <c r="VOY25" s="12"/>
      <c r="VOZ25" s="12"/>
      <c r="VPA25" s="13"/>
      <c r="VPB25" s="9"/>
      <c r="VPC25" s="9"/>
      <c r="VPD25" s="9"/>
      <c r="VPE25" s="9"/>
      <c r="VPF25" s="10"/>
      <c r="VPG25" s="11"/>
      <c r="VPH25" s="12"/>
      <c r="VPI25" s="12"/>
      <c r="VPJ25" s="12"/>
      <c r="VPK25" s="13"/>
      <c r="VPL25" s="9"/>
      <c r="VPM25" s="9"/>
      <c r="VPN25" s="9"/>
      <c r="VPO25" s="9"/>
      <c r="VPP25" s="10"/>
      <c r="VPQ25" s="11"/>
      <c r="VPR25" s="12"/>
      <c r="VPS25" s="12"/>
      <c r="VPT25" s="12"/>
      <c r="VPU25" s="13"/>
      <c r="VPV25" s="9"/>
      <c r="VPW25" s="9"/>
      <c r="VPX25" s="9"/>
      <c r="VPY25" s="9"/>
      <c r="VPZ25" s="10"/>
      <c r="VQA25" s="11"/>
      <c r="VQB25" s="12"/>
      <c r="VQC25" s="12"/>
      <c r="VQD25" s="12"/>
      <c r="VQE25" s="13"/>
      <c r="VQF25" s="9"/>
      <c r="VQG25" s="9"/>
      <c r="VQH25" s="9"/>
      <c r="VQI25" s="9"/>
      <c r="VQJ25" s="10"/>
      <c r="VQK25" s="11"/>
      <c r="VQL25" s="12"/>
      <c r="VQM25" s="12"/>
      <c r="VQN25" s="12"/>
      <c r="VQO25" s="13"/>
      <c r="VQP25" s="9"/>
      <c r="VQQ25" s="9"/>
      <c r="VQR25" s="9"/>
      <c r="VQS25" s="9"/>
      <c r="VQT25" s="10"/>
      <c r="VQU25" s="11"/>
      <c r="VQV25" s="12"/>
      <c r="VQW25" s="12"/>
      <c r="VQX25" s="12"/>
      <c r="VQY25" s="13"/>
      <c r="VQZ25" s="9"/>
      <c r="VRA25" s="9"/>
      <c r="VRB25" s="9"/>
      <c r="VRC25" s="9"/>
      <c r="VRD25" s="10"/>
      <c r="VRE25" s="11"/>
      <c r="VRF25" s="12"/>
      <c r="VRG25" s="12"/>
      <c r="VRH25" s="12"/>
      <c r="VRI25" s="13"/>
      <c r="VRJ25" s="9"/>
      <c r="VRK25" s="9"/>
      <c r="VRL25" s="9"/>
      <c r="VRM25" s="9"/>
      <c r="VRN25" s="10"/>
      <c r="VRO25" s="11"/>
      <c r="VRP25" s="12"/>
      <c r="VRQ25" s="12"/>
      <c r="VRR25" s="12"/>
      <c r="VRS25" s="13"/>
      <c r="VRT25" s="9"/>
      <c r="VRU25" s="9"/>
      <c r="VRV25" s="9"/>
      <c r="VRW25" s="9"/>
      <c r="VRX25" s="10"/>
      <c r="VRY25" s="11"/>
      <c r="VRZ25" s="12"/>
      <c r="VSA25" s="12"/>
      <c r="VSB25" s="12"/>
      <c r="VSC25" s="13"/>
      <c r="VSD25" s="9"/>
      <c r="VSE25" s="9"/>
      <c r="VSF25" s="9"/>
      <c r="VSG25" s="9"/>
      <c r="VSH25" s="10"/>
      <c r="VSI25" s="11"/>
      <c r="VSJ25" s="12"/>
      <c r="VSK25" s="12"/>
      <c r="VSL25" s="12"/>
      <c r="VSM25" s="13"/>
      <c r="VSN25" s="9"/>
      <c r="VSO25" s="9"/>
      <c r="VSP25" s="9"/>
      <c r="VSQ25" s="9"/>
      <c r="VSR25" s="10"/>
      <c r="VSS25" s="11"/>
      <c r="VST25" s="12"/>
      <c r="VSU25" s="12"/>
      <c r="VSV25" s="12"/>
      <c r="VSW25" s="13"/>
      <c r="VSX25" s="9"/>
      <c r="VSY25" s="9"/>
      <c r="VSZ25" s="9"/>
      <c r="VTA25" s="9"/>
      <c r="VTB25" s="10"/>
      <c r="VTC25" s="11"/>
      <c r="VTD25" s="12"/>
      <c r="VTE25" s="12"/>
      <c r="VTF25" s="12"/>
      <c r="VTG25" s="13"/>
      <c r="VTH25" s="9"/>
      <c r="VTI25" s="9"/>
      <c r="VTJ25" s="9"/>
      <c r="VTK25" s="9"/>
      <c r="VTL25" s="10"/>
      <c r="VTM25" s="11"/>
      <c r="VTN25" s="12"/>
      <c r="VTO25" s="12"/>
      <c r="VTP25" s="12"/>
      <c r="VTQ25" s="13"/>
      <c r="VTR25" s="9"/>
      <c r="VTS25" s="9"/>
      <c r="VTT25" s="9"/>
      <c r="VTU25" s="9"/>
      <c r="VTV25" s="10"/>
      <c r="VTW25" s="11"/>
      <c r="VTX25" s="12"/>
      <c r="VTY25" s="12"/>
      <c r="VTZ25" s="12"/>
      <c r="VUA25" s="13"/>
      <c r="VUB25" s="9"/>
      <c r="VUC25" s="9"/>
      <c r="VUD25" s="9"/>
      <c r="VUE25" s="9"/>
      <c r="VUF25" s="10"/>
      <c r="VUG25" s="11"/>
      <c r="VUH25" s="12"/>
      <c r="VUI25" s="12"/>
      <c r="VUJ25" s="12"/>
      <c r="VUK25" s="13"/>
      <c r="VUL25" s="9"/>
      <c r="VUM25" s="9"/>
      <c r="VUN25" s="9"/>
      <c r="VUO25" s="9"/>
      <c r="VUP25" s="10"/>
      <c r="VUQ25" s="11"/>
      <c r="VUR25" s="12"/>
      <c r="VUS25" s="12"/>
      <c r="VUT25" s="12"/>
      <c r="VUU25" s="13"/>
      <c r="VUV25" s="9"/>
      <c r="VUW25" s="9"/>
      <c r="VUX25" s="9"/>
      <c r="VUY25" s="9"/>
      <c r="VUZ25" s="10"/>
      <c r="VVA25" s="11"/>
      <c r="VVB25" s="12"/>
      <c r="VVC25" s="12"/>
      <c r="VVD25" s="12"/>
      <c r="VVE25" s="13"/>
      <c r="VVF25" s="9"/>
      <c r="VVG25" s="9"/>
      <c r="VVH25" s="9"/>
      <c r="VVI25" s="9"/>
      <c r="VVJ25" s="10"/>
      <c r="VVK25" s="11"/>
      <c r="VVL25" s="12"/>
      <c r="VVM25" s="12"/>
      <c r="VVN25" s="12"/>
      <c r="VVO25" s="13"/>
      <c r="VVP25" s="9"/>
      <c r="VVQ25" s="9"/>
      <c r="VVR25" s="9"/>
      <c r="VVS25" s="9"/>
      <c r="VVT25" s="10"/>
      <c r="VVU25" s="11"/>
      <c r="VVV25" s="12"/>
      <c r="VVW25" s="12"/>
      <c r="VVX25" s="12"/>
      <c r="VVY25" s="13"/>
      <c r="VVZ25" s="9"/>
      <c r="VWA25" s="9"/>
      <c r="VWB25" s="9"/>
      <c r="VWC25" s="9"/>
      <c r="VWD25" s="10"/>
      <c r="VWE25" s="11"/>
      <c r="VWF25" s="12"/>
      <c r="VWG25" s="12"/>
      <c r="VWH25" s="12"/>
      <c r="VWI25" s="13"/>
      <c r="VWJ25" s="9"/>
      <c r="VWK25" s="9"/>
      <c r="VWL25" s="9"/>
      <c r="VWM25" s="9"/>
      <c r="VWN25" s="10"/>
      <c r="VWO25" s="11"/>
      <c r="VWP25" s="12"/>
      <c r="VWQ25" s="12"/>
      <c r="VWR25" s="12"/>
      <c r="VWS25" s="13"/>
      <c r="VWT25" s="9"/>
      <c r="VWU25" s="9"/>
      <c r="VWV25" s="9"/>
      <c r="VWW25" s="9"/>
      <c r="VWX25" s="10"/>
      <c r="VWY25" s="11"/>
      <c r="VWZ25" s="12"/>
      <c r="VXA25" s="12"/>
      <c r="VXB25" s="12"/>
      <c r="VXC25" s="13"/>
      <c r="VXD25" s="9"/>
      <c r="VXE25" s="9"/>
      <c r="VXF25" s="9"/>
      <c r="VXG25" s="9"/>
      <c r="VXH25" s="10"/>
      <c r="VXI25" s="11"/>
      <c r="VXJ25" s="12"/>
      <c r="VXK25" s="12"/>
      <c r="VXL25" s="12"/>
      <c r="VXM25" s="13"/>
      <c r="VXN25" s="9"/>
      <c r="VXO25" s="9"/>
      <c r="VXP25" s="9"/>
      <c r="VXQ25" s="9"/>
      <c r="VXR25" s="10"/>
      <c r="VXS25" s="11"/>
      <c r="VXT25" s="12"/>
      <c r="VXU25" s="12"/>
      <c r="VXV25" s="12"/>
      <c r="VXW25" s="13"/>
      <c r="VXX25" s="9"/>
      <c r="VXY25" s="9"/>
      <c r="VXZ25" s="9"/>
      <c r="VYA25" s="9"/>
      <c r="VYB25" s="10"/>
      <c r="VYC25" s="11"/>
      <c r="VYD25" s="12"/>
      <c r="VYE25" s="12"/>
      <c r="VYF25" s="12"/>
      <c r="VYG25" s="13"/>
      <c r="VYH25" s="9"/>
      <c r="VYI25" s="9"/>
      <c r="VYJ25" s="9"/>
      <c r="VYK25" s="9"/>
      <c r="VYL25" s="10"/>
      <c r="VYM25" s="11"/>
      <c r="VYN25" s="12"/>
      <c r="VYO25" s="12"/>
      <c r="VYP25" s="12"/>
      <c r="VYQ25" s="13"/>
      <c r="VYR25" s="9"/>
      <c r="VYS25" s="9"/>
      <c r="VYT25" s="9"/>
      <c r="VYU25" s="9"/>
      <c r="VYV25" s="10"/>
      <c r="VYW25" s="11"/>
      <c r="VYX25" s="12"/>
      <c r="VYY25" s="12"/>
      <c r="VYZ25" s="12"/>
      <c r="VZA25" s="13"/>
      <c r="VZB25" s="9"/>
      <c r="VZC25" s="9"/>
      <c r="VZD25" s="9"/>
      <c r="VZE25" s="9"/>
      <c r="VZF25" s="10"/>
      <c r="VZG25" s="11"/>
      <c r="VZH25" s="12"/>
      <c r="VZI25" s="12"/>
      <c r="VZJ25" s="12"/>
      <c r="VZK25" s="13"/>
      <c r="VZL25" s="9"/>
      <c r="VZM25" s="9"/>
      <c r="VZN25" s="9"/>
      <c r="VZO25" s="9"/>
      <c r="VZP25" s="10"/>
      <c r="VZQ25" s="11"/>
      <c r="VZR25" s="12"/>
      <c r="VZS25" s="12"/>
      <c r="VZT25" s="12"/>
      <c r="VZU25" s="13"/>
      <c r="VZV25" s="9"/>
      <c r="VZW25" s="9"/>
      <c r="VZX25" s="9"/>
      <c r="VZY25" s="9"/>
      <c r="VZZ25" s="10"/>
      <c r="WAA25" s="11"/>
      <c r="WAB25" s="12"/>
      <c r="WAC25" s="12"/>
      <c r="WAD25" s="12"/>
      <c r="WAE25" s="13"/>
      <c r="WAF25" s="9"/>
      <c r="WAG25" s="9"/>
      <c r="WAH25" s="9"/>
      <c r="WAI25" s="9"/>
      <c r="WAJ25" s="10"/>
      <c r="WAK25" s="11"/>
      <c r="WAL25" s="12"/>
      <c r="WAM25" s="12"/>
      <c r="WAN25" s="12"/>
      <c r="WAO25" s="13"/>
      <c r="WAP25" s="9"/>
      <c r="WAQ25" s="9"/>
      <c r="WAR25" s="9"/>
      <c r="WAS25" s="9"/>
      <c r="WAT25" s="10"/>
      <c r="WAU25" s="11"/>
      <c r="WAV25" s="12"/>
      <c r="WAW25" s="12"/>
      <c r="WAX25" s="12"/>
      <c r="WAY25" s="13"/>
      <c r="WAZ25" s="9"/>
      <c r="WBA25" s="9"/>
      <c r="WBB25" s="9"/>
      <c r="WBC25" s="9"/>
      <c r="WBD25" s="10"/>
      <c r="WBE25" s="11"/>
      <c r="WBF25" s="12"/>
      <c r="WBG25" s="12"/>
      <c r="WBH25" s="12"/>
      <c r="WBI25" s="13"/>
      <c r="WBJ25" s="9"/>
      <c r="WBK25" s="9"/>
      <c r="WBL25" s="9"/>
      <c r="WBM25" s="9"/>
      <c r="WBN25" s="10"/>
      <c r="WBO25" s="11"/>
      <c r="WBP25" s="12"/>
      <c r="WBQ25" s="12"/>
      <c r="WBR25" s="12"/>
      <c r="WBS25" s="13"/>
      <c r="WBT25" s="9"/>
      <c r="WBU25" s="9"/>
      <c r="WBV25" s="9"/>
      <c r="WBW25" s="9"/>
      <c r="WBX25" s="10"/>
      <c r="WBY25" s="11"/>
      <c r="WBZ25" s="12"/>
      <c r="WCA25" s="12"/>
      <c r="WCB25" s="12"/>
      <c r="WCC25" s="13"/>
      <c r="WCD25" s="9"/>
      <c r="WCE25" s="9"/>
      <c r="WCF25" s="9"/>
      <c r="WCG25" s="9"/>
      <c r="WCH25" s="10"/>
      <c r="WCI25" s="11"/>
      <c r="WCJ25" s="12"/>
      <c r="WCK25" s="12"/>
      <c r="WCL25" s="12"/>
      <c r="WCM25" s="13"/>
      <c r="WCN25" s="9"/>
      <c r="WCO25" s="9"/>
      <c r="WCP25" s="9"/>
      <c r="WCQ25" s="9"/>
      <c r="WCR25" s="10"/>
      <c r="WCS25" s="11"/>
      <c r="WCT25" s="12"/>
      <c r="WCU25" s="12"/>
      <c r="WCV25" s="12"/>
      <c r="WCW25" s="13"/>
      <c r="WCX25" s="9"/>
      <c r="WCY25" s="9"/>
      <c r="WCZ25" s="9"/>
      <c r="WDA25" s="9"/>
      <c r="WDB25" s="10"/>
      <c r="WDC25" s="11"/>
      <c r="WDD25" s="12"/>
      <c r="WDE25" s="12"/>
      <c r="WDF25" s="12"/>
      <c r="WDG25" s="13"/>
      <c r="WDH25" s="9"/>
      <c r="WDI25" s="9"/>
      <c r="WDJ25" s="9"/>
      <c r="WDK25" s="9"/>
      <c r="WDL25" s="10"/>
      <c r="WDM25" s="11"/>
      <c r="WDN25" s="12"/>
      <c r="WDO25" s="12"/>
      <c r="WDP25" s="12"/>
      <c r="WDQ25" s="13"/>
      <c r="WDR25" s="9"/>
      <c r="WDS25" s="9"/>
      <c r="WDT25" s="9"/>
      <c r="WDU25" s="9"/>
      <c r="WDV25" s="10"/>
      <c r="WDW25" s="11"/>
      <c r="WDX25" s="12"/>
      <c r="WDY25" s="12"/>
      <c r="WDZ25" s="12"/>
      <c r="WEA25" s="13"/>
      <c r="WEB25" s="9"/>
      <c r="WEC25" s="9"/>
      <c r="WED25" s="9"/>
      <c r="WEE25" s="9"/>
      <c r="WEF25" s="10"/>
      <c r="WEG25" s="11"/>
      <c r="WEH25" s="12"/>
      <c r="WEI25" s="12"/>
      <c r="WEJ25" s="12"/>
      <c r="WEK25" s="13"/>
      <c r="WEL25" s="9"/>
      <c r="WEM25" s="9"/>
      <c r="WEN25" s="9"/>
      <c r="WEO25" s="9"/>
      <c r="WEP25" s="10"/>
      <c r="WEQ25" s="11"/>
      <c r="WER25" s="12"/>
      <c r="WES25" s="12"/>
      <c r="WET25" s="12"/>
      <c r="WEU25" s="13"/>
      <c r="WEV25" s="9"/>
      <c r="WEW25" s="9"/>
      <c r="WEX25" s="9"/>
      <c r="WEY25" s="9"/>
      <c r="WEZ25" s="10"/>
      <c r="WFA25" s="11"/>
      <c r="WFB25" s="12"/>
      <c r="WFC25" s="12"/>
      <c r="WFD25" s="12"/>
      <c r="WFE25" s="13"/>
      <c r="WFF25" s="9"/>
      <c r="WFG25" s="9"/>
      <c r="WFH25" s="9"/>
      <c r="WFI25" s="9"/>
      <c r="WFJ25" s="10"/>
      <c r="WFK25" s="11"/>
      <c r="WFL25" s="12"/>
      <c r="WFM25" s="12"/>
      <c r="WFN25" s="12"/>
      <c r="WFO25" s="13"/>
      <c r="WFP25" s="9"/>
      <c r="WFQ25" s="9"/>
      <c r="WFR25" s="9"/>
      <c r="WFS25" s="9"/>
      <c r="WFT25" s="10"/>
      <c r="WFU25" s="11"/>
      <c r="WFV25" s="12"/>
      <c r="WFW25" s="12"/>
      <c r="WFX25" s="12"/>
      <c r="WFY25" s="13"/>
      <c r="WFZ25" s="9"/>
      <c r="WGA25" s="9"/>
      <c r="WGB25" s="9"/>
      <c r="WGC25" s="9"/>
      <c r="WGD25" s="10"/>
      <c r="WGE25" s="11"/>
      <c r="WGF25" s="12"/>
      <c r="WGG25" s="12"/>
      <c r="WGH25" s="12"/>
      <c r="WGI25" s="13"/>
      <c r="WGJ25" s="9"/>
      <c r="WGK25" s="9"/>
      <c r="WGL25" s="9"/>
      <c r="WGM25" s="9"/>
      <c r="WGN25" s="10"/>
      <c r="WGO25" s="11"/>
      <c r="WGP25" s="12"/>
      <c r="WGQ25" s="12"/>
      <c r="WGR25" s="12"/>
      <c r="WGS25" s="13"/>
      <c r="WGT25" s="9"/>
      <c r="WGU25" s="9"/>
      <c r="WGV25" s="9"/>
      <c r="WGW25" s="9"/>
      <c r="WGX25" s="10"/>
      <c r="WGY25" s="11"/>
      <c r="WGZ25" s="12"/>
      <c r="WHA25" s="12"/>
      <c r="WHB25" s="12"/>
      <c r="WHC25" s="13"/>
      <c r="WHD25" s="9"/>
      <c r="WHE25" s="9"/>
      <c r="WHF25" s="9"/>
      <c r="WHG25" s="9"/>
      <c r="WHH25" s="10"/>
      <c r="WHI25" s="11"/>
      <c r="WHJ25" s="12"/>
      <c r="WHK25" s="12"/>
      <c r="WHL25" s="12"/>
      <c r="WHM25" s="13"/>
      <c r="WHN25" s="9"/>
      <c r="WHO25" s="9"/>
      <c r="WHP25" s="9"/>
      <c r="WHQ25" s="9"/>
      <c r="WHR25" s="10"/>
      <c r="WHS25" s="11"/>
      <c r="WHT25" s="12"/>
      <c r="WHU25" s="12"/>
      <c r="WHV25" s="12"/>
      <c r="WHW25" s="13"/>
      <c r="WHX25" s="9"/>
      <c r="WHY25" s="9"/>
      <c r="WHZ25" s="9"/>
      <c r="WIA25" s="9"/>
      <c r="WIB25" s="10"/>
      <c r="WIC25" s="11"/>
      <c r="WID25" s="12"/>
      <c r="WIE25" s="12"/>
      <c r="WIF25" s="12"/>
      <c r="WIG25" s="13"/>
      <c r="WIH25" s="9"/>
      <c r="WII25" s="9"/>
      <c r="WIJ25" s="9"/>
      <c r="WIK25" s="9"/>
      <c r="WIL25" s="10"/>
      <c r="WIM25" s="11"/>
      <c r="WIN25" s="12"/>
      <c r="WIO25" s="12"/>
      <c r="WIP25" s="12"/>
      <c r="WIQ25" s="13"/>
      <c r="WIR25" s="9"/>
      <c r="WIS25" s="9"/>
      <c r="WIT25" s="9"/>
      <c r="WIU25" s="9"/>
      <c r="WIV25" s="10"/>
      <c r="WIW25" s="11"/>
      <c r="WIX25" s="12"/>
      <c r="WIY25" s="12"/>
      <c r="WIZ25" s="12"/>
      <c r="WJA25" s="13"/>
      <c r="WJB25" s="9"/>
      <c r="WJC25" s="9"/>
      <c r="WJD25" s="9"/>
      <c r="WJE25" s="9"/>
      <c r="WJF25" s="10"/>
      <c r="WJG25" s="11"/>
      <c r="WJH25" s="12"/>
      <c r="WJI25" s="12"/>
      <c r="WJJ25" s="12"/>
      <c r="WJK25" s="13"/>
      <c r="WJL25" s="9"/>
      <c r="WJM25" s="9"/>
      <c r="WJN25" s="9"/>
      <c r="WJO25" s="9"/>
      <c r="WJP25" s="10"/>
      <c r="WJQ25" s="11"/>
      <c r="WJR25" s="12"/>
      <c r="WJS25" s="12"/>
      <c r="WJT25" s="12"/>
      <c r="WJU25" s="13"/>
      <c r="WJV25" s="9"/>
      <c r="WJW25" s="9"/>
      <c r="WJX25" s="9"/>
      <c r="WJY25" s="9"/>
      <c r="WJZ25" s="10"/>
      <c r="WKA25" s="11"/>
      <c r="WKB25" s="12"/>
      <c r="WKC25" s="12"/>
      <c r="WKD25" s="12"/>
      <c r="WKE25" s="13"/>
      <c r="WKF25" s="9"/>
      <c r="WKG25" s="9"/>
      <c r="WKH25" s="9"/>
      <c r="WKI25" s="9"/>
      <c r="WKJ25" s="10"/>
      <c r="WKK25" s="11"/>
      <c r="WKL25" s="12"/>
      <c r="WKM25" s="12"/>
      <c r="WKN25" s="12"/>
      <c r="WKO25" s="13"/>
      <c r="WKP25" s="9"/>
      <c r="WKQ25" s="9"/>
      <c r="WKR25" s="9"/>
      <c r="WKS25" s="9"/>
      <c r="WKT25" s="10"/>
      <c r="WKU25" s="11"/>
      <c r="WKV25" s="12"/>
      <c r="WKW25" s="12"/>
      <c r="WKX25" s="12"/>
      <c r="WKY25" s="13"/>
      <c r="WKZ25" s="9"/>
      <c r="WLA25" s="9"/>
      <c r="WLB25" s="9"/>
      <c r="WLC25" s="9"/>
      <c r="WLD25" s="10"/>
      <c r="WLE25" s="11"/>
      <c r="WLF25" s="12"/>
      <c r="WLG25" s="12"/>
      <c r="WLH25" s="12"/>
      <c r="WLI25" s="13"/>
      <c r="WLJ25" s="9"/>
      <c r="WLK25" s="9"/>
      <c r="WLL25" s="9"/>
      <c r="WLM25" s="9"/>
      <c r="WLN25" s="10"/>
      <c r="WLO25" s="11"/>
      <c r="WLP25" s="12"/>
      <c r="WLQ25" s="12"/>
      <c r="WLR25" s="12"/>
      <c r="WLS25" s="13"/>
      <c r="WLT25" s="9"/>
      <c r="WLU25" s="9"/>
      <c r="WLV25" s="9"/>
      <c r="WLW25" s="9"/>
      <c r="WLX25" s="10"/>
      <c r="WLY25" s="11"/>
      <c r="WLZ25" s="12"/>
      <c r="WMA25" s="12"/>
      <c r="WMB25" s="12"/>
      <c r="WMC25" s="13"/>
      <c r="WMD25" s="9"/>
      <c r="WME25" s="9"/>
      <c r="WMF25" s="9"/>
      <c r="WMG25" s="9"/>
      <c r="WMH25" s="10"/>
      <c r="WMI25" s="11"/>
      <c r="WMJ25" s="12"/>
      <c r="WMK25" s="12"/>
      <c r="WML25" s="12"/>
      <c r="WMM25" s="13"/>
      <c r="WMN25" s="9"/>
      <c r="WMO25" s="9"/>
      <c r="WMP25" s="9"/>
      <c r="WMQ25" s="9"/>
      <c r="WMR25" s="10"/>
      <c r="WMS25" s="11"/>
      <c r="WMT25" s="12"/>
      <c r="WMU25" s="12"/>
      <c r="WMV25" s="12"/>
      <c r="WMW25" s="13"/>
      <c r="WMX25" s="9"/>
      <c r="WMY25" s="9"/>
      <c r="WMZ25" s="9"/>
      <c r="WNA25" s="9"/>
      <c r="WNB25" s="10"/>
      <c r="WNC25" s="11"/>
      <c r="WND25" s="12"/>
      <c r="WNE25" s="12"/>
      <c r="WNF25" s="12"/>
      <c r="WNG25" s="13"/>
      <c r="WNH25" s="9"/>
      <c r="WNI25" s="9"/>
      <c r="WNJ25" s="9"/>
      <c r="WNK25" s="9"/>
      <c r="WNL25" s="10"/>
      <c r="WNM25" s="11"/>
      <c r="WNN25" s="12"/>
      <c r="WNO25" s="12"/>
      <c r="WNP25" s="12"/>
      <c r="WNQ25" s="13"/>
      <c r="WNR25" s="9"/>
      <c r="WNS25" s="9"/>
      <c r="WNT25" s="9"/>
      <c r="WNU25" s="9"/>
      <c r="WNV25" s="10"/>
      <c r="WNW25" s="11"/>
      <c r="WNX25" s="12"/>
      <c r="WNY25" s="12"/>
      <c r="WNZ25" s="12"/>
      <c r="WOA25" s="13"/>
      <c r="WOB25" s="9"/>
      <c r="WOC25" s="9"/>
      <c r="WOD25" s="9"/>
      <c r="WOE25" s="9"/>
      <c r="WOF25" s="10"/>
      <c r="WOG25" s="11"/>
      <c r="WOH25" s="12"/>
      <c r="WOI25" s="12"/>
      <c r="WOJ25" s="12"/>
      <c r="WOK25" s="13"/>
      <c r="WOL25" s="9"/>
      <c r="WOM25" s="9"/>
      <c r="WON25" s="9"/>
      <c r="WOO25" s="9"/>
      <c r="WOP25" s="10"/>
      <c r="WOQ25" s="11"/>
      <c r="WOR25" s="12"/>
      <c r="WOS25" s="12"/>
      <c r="WOT25" s="12"/>
      <c r="WOU25" s="13"/>
      <c r="WOV25" s="9"/>
      <c r="WOW25" s="9"/>
      <c r="WOX25" s="9"/>
      <c r="WOY25" s="9"/>
      <c r="WOZ25" s="10"/>
      <c r="WPA25" s="11"/>
      <c r="WPB25" s="12"/>
      <c r="WPC25" s="12"/>
      <c r="WPD25" s="12"/>
      <c r="WPE25" s="13"/>
      <c r="WPF25" s="9"/>
      <c r="WPG25" s="9"/>
      <c r="WPH25" s="9"/>
      <c r="WPI25" s="9"/>
      <c r="WPJ25" s="10"/>
      <c r="WPK25" s="11"/>
      <c r="WPL25" s="12"/>
      <c r="WPM25" s="12"/>
      <c r="WPN25" s="12"/>
      <c r="WPO25" s="13"/>
      <c r="WPP25" s="9"/>
      <c r="WPQ25" s="9"/>
      <c r="WPR25" s="9"/>
      <c r="WPS25" s="9"/>
      <c r="WPT25" s="10"/>
      <c r="WPU25" s="11"/>
      <c r="WPV25" s="12"/>
      <c r="WPW25" s="12"/>
      <c r="WPX25" s="12"/>
      <c r="WPY25" s="13"/>
      <c r="WPZ25" s="9"/>
      <c r="WQA25" s="9"/>
      <c r="WQB25" s="9"/>
      <c r="WQC25" s="9"/>
      <c r="WQD25" s="10"/>
      <c r="WQE25" s="11"/>
      <c r="WQF25" s="12"/>
      <c r="WQG25" s="12"/>
      <c r="WQH25" s="12"/>
      <c r="WQI25" s="13"/>
      <c r="WQJ25" s="9"/>
      <c r="WQK25" s="9"/>
      <c r="WQL25" s="9"/>
      <c r="WQM25" s="9"/>
      <c r="WQN25" s="10"/>
      <c r="WQO25" s="11"/>
      <c r="WQP25" s="12"/>
      <c r="WQQ25" s="12"/>
      <c r="WQR25" s="12"/>
      <c r="WQS25" s="13"/>
      <c r="WQT25" s="9"/>
      <c r="WQU25" s="9"/>
      <c r="WQV25" s="9"/>
      <c r="WQW25" s="9"/>
      <c r="WQX25" s="10"/>
      <c r="WQY25" s="11"/>
      <c r="WQZ25" s="12"/>
      <c r="WRA25" s="12"/>
      <c r="WRB25" s="12"/>
      <c r="WRC25" s="13"/>
      <c r="WRD25" s="9"/>
      <c r="WRE25" s="9"/>
      <c r="WRF25" s="9"/>
      <c r="WRG25" s="9"/>
      <c r="WRH25" s="10"/>
      <c r="WRI25" s="11"/>
      <c r="WRJ25" s="12"/>
      <c r="WRK25" s="12"/>
      <c r="WRL25" s="12"/>
      <c r="WRM25" s="13"/>
      <c r="WRN25" s="9"/>
      <c r="WRO25" s="9"/>
      <c r="WRP25" s="9"/>
      <c r="WRQ25" s="9"/>
      <c r="WRR25" s="10"/>
      <c r="WRS25" s="11"/>
      <c r="WRT25" s="12"/>
      <c r="WRU25" s="12"/>
      <c r="WRV25" s="12"/>
      <c r="WRW25" s="13"/>
      <c r="WRX25" s="9"/>
      <c r="WRY25" s="9"/>
      <c r="WRZ25" s="9"/>
      <c r="WSA25" s="9"/>
      <c r="WSB25" s="10"/>
      <c r="WSC25" s="11"/>
      <c r="WSD25" s="12"/>
      <c r="WSE25" s="12"/>
      <c r="WSF25" s="12"/>
      <c r="WSG25" s="13"/>
      <c r="WSH25" s="9"/>
      <c r="WSI25" s="9"/>
      <c r="WSJ25" s="9"/>
      <c r="WSK25" s="9"/>
      <c r="WSL25" s="10"/>
      <c r="WSM25" s="11"/>
      <c r="WSN25" s="12"/>
      <c r="WSO25" s="12"/>
      <c r="WSP25" s="12"/>
      <c r="WSQ25" s="13"/>
      <c r="WSR25" s="9"/>
      <c r="WSS25" s="9"/>
      <c r="WST25" s="9"/>
      <c r="WSU25" s="9"/>
      <c r="WSV25" s="10"/>
      <c r="WSW25" s="11"/>
      <c r="WSX25" s="12"/>
      <c r="WSY25" s="12"/>
      <c r="WSZ25" s="12"/>
      <c r="WTA25" s="13"/>
      <c r="WTB25" s="9"/>
      <c r="WTC25" s="9"/>
      <c r="WTD25" s="9"/>
      <c r="WTE25" s="9"/>
      <c r="WTF25" s="10"/>
      <c r="WTG25" s="11"/>
      <c r="WTH25" s="12"/>
      <c r="WTI25" s="12"/>
      <c r="WTJ25" s="12"/>
      <c r="WTK25" s="13"/>
      <c r="WTL25" s="9"/>
      <c r="WTM25" s="9"/>
      <c r="WTN25" s="9"/>
      <c r="WTO25" s="9"/>
      <c r="WTP25" s="10"/>
      <c r="WTQ25" s="11"/>
      <c r="WTR25" s="12"/>
      <c r="WTS25" s="12"/>
      <c r="WTT25" s="12"/>
      <c r="WTU25" s="13"/>
      <c r="WTV25" s="9"/>
      <c r="WTW25" s="9"/>
      <c r="WTX25" s="9"/>
      <c r="WTY25" s="9"/>
      <c r="WTZ25" s="10"/>
      <c r="WUA25" s="11"/>
      <c r="WUB25" s="12"/>
      <c r="WUC25" s="12"/>
      <c r="WUD25" s="12"/>
      <c r="WUE25" s="13"/>
      <c r="WUF25" s="9"/>
      <c r="WUG25" s="9"/>
      <c r="WUH25" s="9"/>
      <c r="WUI25" s="9"/>
      <c r="WUJ25" s="10"/>
      <c r="WUK25" s="11"/>
      <c r="WUL25" s="12"/>
      <c r="WUM25" s="12"/>
      <c r="WUN25" s="12"/>
      <c r="WUO25" s="13"/>
      <c r="WUP25" s="9"/>
      <c r="WUQ25" s="9"/>
      <c r="WUR25" s="9"/>
      <c r="WUS25" s="9"/>
      <c r="WUT25" s="10"/>
      <c r="WUU25" s="11"/>
      <c r="WUV25" s="12"/>
      <c r="WUW25" s="12"/>
      <c r="WUX25" s="12"/>
      <c r="WUY25" s="13"/>
      <c r="WUZ25" s="9"/>
      <c r="WVA25" s="9"/>
      <c r="WVB25" s="9"/>
      <c r="WVC25" s="9"/>
      <c r="WVD25" s="10"/>
      <c r="WVE25" s="11"/>
      <c r="WVF25" s="12"/>
      <c r="WVG25" s="12"/>
      <c r="WVH25" s="12"/>
      <c r="WVI25" s="13"/>
      <c r="WVJ25" s="9"/>
      <c r="WVK25" s="9"/>
      <c r="WVL25" s="9"/>
      <c r="WVM25" s="9"/>
      <c r="WVN25" s="10"/>
      <c r="WVO25" s="11"/>
      <c r="WVP25" s="12"/>
      <c r="WVQ25" s="12"/>
      <c r="WVR25" s="12"/>
      <c r="WVS25" s="13"/>
      <c r="WVT25" s="9"/>
      <c r="WVU25" s="9"/>
      <c r="WVV25" s="9"/>
      <c r="WVW25" s="9"/>
      <c r="WVX25" s="10"/>
      <c r="WVY25" s="11"/>
      <c r="WVZ25" s="12"/>
      <c r="WWA25" s="12"/>
      <c r="WWB25" s="12"/>
      <c r="WWC25" s="13"/>
      <c r="WWD25" s="9"/>
      <c r="WWE25" s="9"/>
      <c r="WWF25" s="9"/>
      <c r="WWG25" s="9"/>
      <c r="WWH25" s="10"/>
      <c r="WWI25" s="11"/>
      <c r="WWJ25" s="12"/>
      <c r="WWK25" s="12"/>
      <c r="WWL25" s="12"/>
      <c r="WWM25" s="13"/>
      <c r="WWN25" s="9"/>
      <c r="WWO25" s="9"/>
      <c r="WWP25" s="9"/>
      <c r="WWQ25" s="9"/>
      <c r="WWR25" s="10"/>
      <c r="WWS25" s="11"/>
      <c r="WWT25" s="12"/>
      <c r="WWU25" s="12"/>
      <c r="WWV25" s="12"/>
      <c r="WWW25" s="13"/>
      <c r="WWX25" s="9"/>
      <c r="WWY25" s="9"/>
      <c r="WWZ25" s="9"/>
      <c r="WXA25" s="9"/>
      <c r="WXB25" s="10"/>
      <c r="WXC25" s="11"/>
      <c r="WXD25" s="12"/>
      <c r="WXE25" s="12"/>
      <c r="WXF25" s="12"/>
      <c r="WXG25" s="13"/>
      <c r="WXH25" s="9"/>
      <c r="WXI25" s="9"/>
      <c r="WXJ25" s="9"/>
      <c r="WXK25" s="9"/>
      <c r="WXL25" s="10"/>
      <c r="WXM25" s="11"/>
      <c r="WXN25" s="12"/>
      <c r="WXO25" s="12"/>
      <c r="WXP25" s="12"/>
      <c r="WXQ25" s="13"/>
      <c r="WXR25" s="9"/>
      <c r="WXS25" s="9"/>
      <c r="WXT25" s="9"/>
      <c r="WXU25" s="9"/>
      <c r="WXV25" s="10"/>
      <c r="WXW25" s="11"/>
      <c r="WXX25" s="12"/>
      <c r="WXY25" s="12"/>
      <c r="WXZ25" s="12"/>
      <c r="WYA25" s="13"/>
      <c r="WYB25" s="9"/>
      <c r="WYC25" s="9"/>
      <c r="WYD25" s="9"/>
      <c r="WYE25" s="9"/>
      <c r="WYF25" s="10"/>
      <c r="WYG25" s="11"/>
      <c r="WYH25" s="12"/>
      <c r="WYI25" s="12"/>
      <c r="WYJ25" s="12"/>
      <c r="WYK25" s="13"/>
      <c r="WYL25" s="9"/>
      <c r="WYM25" s="9"/>
      <c r="WYN25" s="9"/>
      <c r="WYO25" s="9"/>
      <c r="WYP25" s="10"/>
      <c r="WYQ25" s="11"/>
      <c r="WYR25" s="12"/>
      <c r="WYS25" s="12"/>
      <c r="WYT25" s="12"/>
      <c r="WYU25" s="13"/>
      <c r="WYV25" s="9"/>
      <c r="WYW25" s="9"/>
      <c r="WYX25" s="9"/>
      <c r="WYY25" s="9"/>
      <c r="WYZ25" s="10"/>
      <c r="WZA25" s="11"/>
      <c r="WZB25" s="12"/>
      <c r="WZC25" s="12"/>
      <c r="WZD25" s="12"/>
      <c r="WZE25" s="13"/>
      <c r="WZF25" s="9"/>
      <c r="WZG25" s="9"/>
      <c r="WZH25" s="9"/>
      <c r="WZI25" s="9"/>
      <c r="WZJ25" s="10"/>
      <c r="WZK25" s="11"/>
      <c r="WZL25" s="12"/>
      <c r="WZM25" s="12"/>
      <c r="WZN25" s="12"/>
      <c r="WZO25" s="13"/>
      <c r="WZP25" s="9"/>
      <c r="WZQ25" s="9"/>
      <c r="WZR25" s="9"/>
      <c r="WZS25" s="9"/>
      <c r="WZT25" s="10"/>
      <c r="WZU25" s="11"/>
      <c r="WZV25" s="12"/>
      <c r="WZW25" s="12"/>
      <c r="WZX25" s="12"/>
      <c r="WZY25" s="13"/>
      <c r="WZZ25" s="9"/>
      <c r="XAA25" s="9"/>
      <c r="XAB25" s="9"/>
      <c r="XAC25" s="9"/>
      <c r="XAD25" s="10"/>
      <c r="XAE25" s="11"/>
      <c r="XAF25" s="12"/>
      <c r="XAG25" s="12"/>
      <c r="XAH25" s="12"/>
      <c r="XAI25" s="13"/>
      <c r="XAJ25" s="9"/>
      <c r="XAK25" s="9"/>
      <c r="XAL25" s="9"/>
      <c r="XAM25" s="9"/>
      <c r="XAN25" s="10"/>
      <c r="XAO25" s="11"/>
      <c r="XAP25" s="12"/>
      <c r="XAQ25" s="12"/>
      <c r="XAR25" s="12"/>
      <c r="XAS25" s="13"/>
      <c r="XAT25" s="9"/>
      <c r="XAU25" s="9"/>
      <c r="XAV25" s="9"/>
      <c r="XAW25" s="9"/>
      <c r="XAX25" s="10"/>
      <c r="XAY25" s="11"/>
      <c r="XAZ25" s="12"/>
      <c r="XBA25" s="12"/>
      <c r="XBB25" s="12"/>
      <c r="XBC25" s="13"/>
      <c r="XBD25" s="9"/>
      <c r="XBE25" s="9"/>
      <c r="XBF25" s="9"/>
      <c r="XBG25" s="9"/>
      <c r="XBH25" s="10"/>
      <c r="XBI25" s="11"/>
      <c r="XBJ25" s="12"/>
      <c r="XBK25" s="12"/>
      <c r="XBL25" s="12"/>
      <c r="XBM25" s="13"/>
      <c r="XBN25" s="9"/>
      <c r="XBO25" s="9"/>
      <c r="XBP25" s="9"/>
      <c r="XBQ25" s="9"/>
      <c r="XBR25" s="10"/>
      <c r="XBS25" s="11"/>
      <c r="XBT25" s="12"/>
      <c r="XBU25" s="12"/>
      <c r="XBV25" s="12"/>
      <c r="XBW25" s="13"/>
      <c r="XBX25" s="9"/>
      <c r="XBY25" s="9"/>
      <c r="XBZ25" s="9"/>
      <c r="XCA25" s="9"/>
      <c r="XCB25" s="10"/>
      <c r="XCC25" s="11"/>
      <c r="XCD25" s="12"/>
      <c r="XCE25" s="12"/>
      <c r="XCF25" s="12"/>
      <c r="XCG25" s="13"/>
      <c r="XCH25" s="9"/>
      <c r="XCI25" s="9"/>
      <c r="XCJ25" s="9"/>
      <c r="XCK25" s="9"/>
      <c r="XCL25" s="10"/>
      <c r="XCM25" s="11"/>
      <c r="XCN25" s="12"/>
      <c r="XCO25" s="12"/>
      <c r="XCP25" s="12"/>
      <c r="XCQ25" s="13"/>
      <c r="XCR25" s="9"/>
      <c r="XCS25" s="9"/>
      <c r="XCT25" s="9"/>
      <c r="XCU25" s="9"/>
      <c r="XCV25" s="10"/>
      <c r="XCW25" s="11"/>
      <c r="XCX25" s="12"/>
      <c r="XCY25" s="12"/>
      <c r="XCZ25" s="12"/>
      <c r="XDA25" s="13"/>
      <c r="XDB25" s="9"/>
      <c r="XDC25" s="9"/>
      <c r="XDD25" s="9"/>
      <c r="XDE25" s="9"/>
      <c r="XDF25" s="10"/>
      <c r="XDG25" s="11"/>
      <c r="XDH25" s="12"/>
      <c r="XDI25" s="12"/>
      <c r="XDJ25" s="12"/>
      <c r="XDK25" s="13"/>
      <c r="XDL25" s="9"/>
      <c r="XDM25" s="9"/>
      <c r="XDN25" s="9"/>
      <c r="XDO25" s="9"/>
      <c r="XDP25" s="10"/>
      <c r="XDQ25" s="11"/>
      <c r="XDR25" s="12"/>
      <c r="XDS25" s="12"/>
      <c r="XDT25" s="12"/>
      <c r="XDU25" s="13"/>
      <c r="XDV25" s="9"/>
      <c r="XDW25" s="9"/>
      <c r="XDX25" s="9"/>
      <c r="XDY25" s="9"/>
      <c r="XDZ25" s="10"/>
      <c r="XEA25" s="11"/>
      <c r="XEB25" s="12"/>
      <c r="XEC25" s="12"/>
      <c r="XED25" s="12"/>
      <c r="XEE25" s="13"/>
      <c r="XEF25" s="9"/>
      <c r="XEG25" s="9"/>
      <c r="XEH25" s="9"/>
      <c r="XEI25" s="9"/>
      <c r="XEJ25" s="10"/>
      <c r="XEK25" s="11"/>
      <c r="XEL25" s="12"/>
      <c r="XEM25" s="12"/>
      <c r="XEN25" s="12"/>
      <c r="XEO25" s="13"/>
      <c r="XEP25" s="9"/>
      <c r="XEQ25" s="9"/>
      <c r="XER25" s="9"/>
      <c r="XES25" s="9"/>
      <c r="XET25" s="10"/>
      <c r="XEU25" s="11"/>
      <c r="XEV25" s="12"/>
      <c r="XEW25" s="12"/>
      <c r="XEX25" s="12"/>
      <c r="XEY25" s="13"/>
      <c r="XEZ25" s="9"/>
      <c r="XFA25" s="9"/>
      <c r="XFB25" s="9"/>
      <c r="XFC25" s="9"/>
      <c r="XFD25" s="10"/>
    </row>
    <row r="26" spans="1:16384" x14ac:dyDescent="0.25">
      <c r="A26" t="s">
        <v>50</v>
      </c>
      <c r="B26" t="s">
        <v>51</v>
      </c>
      <c r="C26" t="s">
        <v>102</v>
      </c>
      <c r="D26" s="1">
        <v>8</v>
      </c>
      <c r="E26" s="5">
        <v>11</v>
      </c>
      <c r="F26" s="8" t="s">
        <v>123</v>
      </c>
      <c r="G26" s="8" t="s">
        <v>122</v>
      </c>
      <c r="H26" s="8" t="s">
        <v>116</v>
      </c>
      <c r="I26" s="5">
        <v>9</v>
      </c>
      <c r="J26" t="s">
        <v>108</v>
      </c>
      <c r="K26" s="5">
        <f t="shared" si="0"/>
        <v>10</v>
      </c>
    </row>
    <row r="27" spans="1:16384" x14ac:dyDescent="0.25">
      <c r="A27" t="s">
        <v>52</v>
      </c>
      <c r="B27" t="s">
        <v>53</v>
      </c>
      <c r="C27" t="s">
        <v>53</v>
      </c>
      <c r="D27" s="1">
        <v>5</v>
      </c>
      <c r="E27" s="5">
        <v>11</v>
      </c>
      <c r="F27" s="8" t="s">
        <v>117</v>
      </c>
      <c r="G27" s="8" t="s">
        <v>120</v>
      </c>
      <c r="H27" s="8" t="s">
        <v>121</v>
      </c>
      <c r="I27" s="5">
        <v>9</v>
      </c>
      <c r="J27" t="s">
        <v>108</v>
      </c>
      <c r="K27" s="5">
        <f t="shared" si="0"/>
        <v>10</v>
      </c>
    </row>
    <row r="28" spans="1:16384" x14ac:dyDescent="0.25">
      <c r="A28" t="s">
        <v>54</v>
      </c>
      <c r="B28" t="s">
        <v>55</v>
      </c>
      <c r="C28" t="s">
        <v>55</v>
      </c>
      <c r="D28" s="1">
        <v>5</v>
      </c>
      <c r="E28" s="5">
        <v>11</v>
      </c>
      <c r="F28" s="8" t="s">
        <v>117</v>
      </c>
      <c r="G28" s="8" t="s">
        <v>120</v>
      </c>
      <c r="H28" s="8" t="s">
        <v>121</v>
      </c>
      <c r="I28" s="5">
        <v>9</v>
      </c>
      <c r="J28" t="s">
        <v>108</v>
      </c>
      <c r="K28" s="5">
        <f t="shared" si="0"/>
        <v>10</v>
      </c>
    </row>
    <row r="29" spans="1:16384" x14ac:dyDescent="0.25">
      <c r="A29" t="s">
        <v>56</v>
      </c>
      <c r="B29" t="s">
        <v>57</v>
      </c>
      <c r="C29" t="s">
        <v>57</v>
      </c>
      <c r="D29" s="1">
        <v>7</v>
      </c>
      <c r="E29" s="5">
        <v>12</v>
      </c>
      <c r="F29" s="8" t="s">
        <v>124</v>
      </c>
      <c r="G29" s="8" t="s">
        <v>113</v>
      </c>
      <c r="H29" s="8" t="s">
        <v>114</v>
      </c>
      <c r="I29" s="5">
        <v>9</v>
      </c>
      <c r="J29" t="s">
        <v>108</v>
      </c>
      <c r="K29" s="5">
        <f t="shared" si="0"/>
        <v>10</v>
      </c>
    </row>
    <row r="30" spans="1:16384" x14ac:dyDescent="0.25">
      <c r="A30" s="9" t="s">
        <v>58</v>
      </c>
      <c r="B30" s="9" t="s">
        <v>59</v>
      </c>
      <c r="C30" s="9" t="s">
        <v>59</v>
      </c>
      <c r="D30" s="10">
        <v>5</v>
      </c>
      <c r="E30" s="13">
        <v>11</v>
      </c>
      <c r="F30" s="12" t="s">
        <v>117</v>
      </c>
      <c r="G30" s="12" t="s">
        <v>120</v>
      </c>
      <c r="H30" s="12" t="s">
        <v>121</v>
      </c>
      <c r="I30" s="13">
        <v>9</v>
      </c>
      <c r="J30" s="9" t="s">
        <v>108</v>
      </c>
      <c r="K30" s="13">
        <f t="shared" si="0"/>
        <v>10</v>
      </c>
      <c r="L30" s="9"/>
      <c r="M30" s="9"/>
      <c r="N30" s="10"/>
      <c r="O30" s="11"/>
      <c r="P30" s="12"/>
      <c r="Q30" s="12"/>
      <c r="R30" s="12"/>
      <c r="S30" s="13"/>
      <c r="T30" s="9"/>
      <c r="U30" s="9"/>
      <c r="V30" s="9"/>
      <c r="W30" s="9"/>
      <c r="X30" s="10"/>
      <c r="Y30" s="11"/>
      <c r="Z30" s="12"/>
      <c r="AA30" s="12"/>
      <c r="AB30" s="12"/>
      <c r="AC30" s="13"/>
      <c r="AD30" s="9"/>
      <c r="AE30" s="9"/>
      <c r="AF30" s="9"/>
      <c r="AG30" s="9"/>
      <c r="AH30" s="10"/>
      <c r="AI30" s="11"/>
      <c r="AJ30" s="12"/>
      <c r="AK30" s="12"/>
      <c r="AL30" s="12"/>
      <c r="AM30" s="13"/>
      <c r="AN30" s="9"/>
      <c r="AO30" s="9"/>
      <c r="AP30" s="9"/>
      <c r="AQ30" s="9"/>
      <c r="AR30" s="10"/>
      <c r="AS30" s="11"/>
      <c r="AT30" s="12"/>
      <c r="AU30" s="12"/>
      <c r="AV30" s="12"/>
      <c r="AW30" s="13"/>
      <c r="AX30" s="9"/>
      <c r="AY30" s="9"/>
      <c r="AZ30" s="9"/>
      <c r="BA30" s="9"/>
      <c r="BB30" s="10"/>
      <c r="BC30" s="11"/>
      <c r="BD30" s="12"/>
      <c r="BE30" s="12"/>
      <c r="BF30" s="12"/>
      <c r="BG30" s="13"/>
      <c r="BH30" s="9"/>
      <c r="BI30" s="9"/>
      <c r="BJ30" s="9"/>
      <c r="BK30" s="9"/>
      <c r="BL30" s="10"/>
      <c r="BM30" s="11"/>
      <c r="BN30" s="12"/>
      <c r="BO30" s="12"/>
      <c r="BP30" s="12"/>
      <c r="BQ30" s="13"/>
      <c r="BR30" s="9"/>
      <c r="BS30" s="9"/>
      <c r="BT30" s="9"/>
      <c r="BU30" s="9"/>
      <c r="BV30" s="10"/>
      <c r="BW30" s="11"/>
      <c r="BX30" s="12"/>
      <c r="BY30" s="12"/>
      <c r="BZ30" s="12"/>
      <c r="CA30" s="13"/>
      <c r="CB30" s="9"/>
      <c r="CC30" s="9"/>
      <c r="CD30" s="9"/>
      <c r="CE30" s="9"/>
      <c r="CF30" s="10"/>
      <c r="CG30" s="11"/>
      <c r="CH30" s="12"/>
      <c r="CI30" s="12"/>
      <c r="CJ30" s="12"/>
      <c r="CK30" s="13"/>
      <c r="CL30" s="9"/>
      <c r="CM30" s="9"/>
      <c r="CN30" s="9"/>
      <c r="CO30" s="9"/>
      <c r="CP30" s="10"/>
      <c r="CQ30" s="11"/>
      <c r="CR30" s="12"/>
      <c r="CS30" s="12"/>
      <c r="CT30" s="12"/>
      <c r="CU30" s="13"/>
      <c r="CV30" s="9"/>
      <c r="CW30" s="9"/>
      <c r="CX30" s="9"/>
      <c r="CY30" s="9"/>
      <c r="CZ30" s="10"/>
      <c r="DA30" s="11"/>
      <c r="DB30" s="12"/>
      <c r="DC30" s="12"/>
      <c r="DD30" s="12"/>
      <c r="DE30" s="13"/>
      <c r="DF30" s="9"/>
      <c r="DG30" s="9"/>
      <c r="DH30" s="9"/>
      <c r="DI30" s="9"/>
      <c r="DJ30" s="10"/>
      <c r="DK30" s="11"/>
      <c r="DL30" s="12"/>
      <c r="DM30" s="12"/>
      <c r="DN30" s="12"/>
      <c r="DO30" s="13"/>
      <c r="DP30" s="9"/>
      <c r="DQ30" s="9"/>
      <c r="DR30" s="9"/>
      <c r="DS30" s="9"/>
      <c r="DT30" s="10"/>
      <c r="DU30" s="11"/>
      <c r="DV30" s="12"/>
      <c r="DW30" s="12"/>
      <c r="DX30" s="12"/>
      <c r="DY30" s="13"/>
      <c r="DZ30" s="9"/>
      <c r="EA30" s="9"/>
      <c r="EB30" s="9"/>
      <c r="EC30" s="9"/>
      <c r="ED30" s="10"/>
      <c r="EE30" s="11"/>
      <c r="EF30" s="12"/>
      <c r="EG30" s="12"/>
      <c r="EH30" s="12"/>
      <c r="EI30" s="13"/>
      <c r="EJ30" s="9"/>
      <c r="EK30" s="9"/>
      <c r="EL30" s="9"/>
      <c r="EM30" s="9"/>
      <c r="EN30" s="10"/>
      <c r="EO30" s="11"/>
      <c r="EP30" s="12"/>
      <c r="EQ30" s="12"/>
      <c r="ER30" s="12"/>
      <c r="ES30" s="13"/>
      <c r="ET30" s="9"/>
      <c r="EU30" s="9"/>
      <c r="EV30" s="9"/>
      <c r="EW30" s="9"/>
      <c r="EX30" s="10"/>
      <c r="EY30" s="11"/>
      <c r="EZ30" s="12"/>
      <c r="FA30" s="12"/>
      <c r="FB30" s="12"/>
      <c r="FC30" s="13"/>
      <c r="FD30" s="9"/>
      <c r="FE30" s="9"/>
      <c r="FF30" s="9"/>
      <c r="FG30" s="9"/>
      <c r="FH30" s="10"/>
      <c r="FI30" s="11"/>
      <c r="FJ30" s="12"/>
      <c r="FK30" s="12"/>
      <c r="FL30" s="12"/>
      <c r="FM30" s="13"/>
      <c r="FN30" s="9"/>
      <c r="FO30" s="9"/>
      <c r="FP30" s="9"/>
      <c r="FQ30" s="9"/>
      <c r="FR30" s="10"/>
      <c r="FS30" s="11"/>
      <c r="FT30" s="12"/>
      <c r="FU30" s="12"/>
      <c r="FV30" s="12"/>
      <c r="FW30" s="13"/>
      <c r="FX30" s="9"/>
      <c r="FY30" s="9"/>
      <c r="FZ30" s="9"/>
      <c r="GA30" s="9"/>
      <c r="GB30" s="10"/>
      <c r="GC30" s="11"/>
      <c r="GD30" s="12"/>
      <c r="GE30" s="12"/>
      <c r="GF30" s="12"/>
      <c r="GG30" s="13"/>
      <c r="GH30" s="9"/>
      <c r="GI30" s="9"/>
      <c r="GJ30" s="9"/>
      <c r="GK30" s="9"/>
      <c r="GL30" s="10"/>
      <c r="GM30" s="11"/>
      <c r="GN30" s="12"/>
      <c r="GO30" s="12"/>
      <c r="GP30" s="12"/>
      <c r="GQ30" s="13"/>
      <c r="GR30" s="9"/>
      <c r="GS30" s="9"/>
      <c r="GT30" s="9"/>
      <c r="GU30" s="9"/>
      <c r="GV30" s="10"/>
      <c r="GW30" s="11"/>
      <c r="GX30" s="12"/>
      <c r="GY30" s="12"/>
      <c r="GZ30" s="12"/>
      <c r="HA30" s="13"/>
      <c r="HB30" s="9"/>
      <c r="HC30" s="9"/>
      <c r="HD30" s="9"/>
      <c r="HE30" s="9"/>
      <c r="HF30" s="10"/>
      <c r="HG30" s="11"/>
      <c r="HH30" s="12"/>
      <c r="HI30" s="12"/>
      <c r="HJ30" s="12"/>
      <c r="HK30" s="13"/>
      <c r="HL30" s="9"/>
      <c r="HM30" s="9"/>
      <c r="HN30" s="9"/>
      <c r="HO30" s="9"/>
      <c r="HP30" s="10"/>
      <c r="HQ30" s="11"/>
      <c r="HR30" s="12"/>
      <c r="HS30" s="12"/>
      <c r="HT30" s="12"/>
      <c r="HU30" s="13"/>
      <c r="HV30" s="9"/>
      <c r="HW30" s="9"/>
      <c r="HX30" s="9"/>
      <c r="HY30" s="9"/>
      <c r="HZ30" s="10"/>
      <c r="IA30" s="11"/>
      <c r="IB30" s="12"/>
      <c r="IC30" s="12"/>
      <c r="ID30" s="12"/>
      <c r="IE30" s="13"/>
      <c r="IF30" s="9"/>
      <c r="IG30" s="9"/>
      <c r="IH30" s="9"/>
      <c r="II30" s="9"/>
      <c r="IJ30" s="10"/>
      <c r="IK30" s="11"/>
      <c r="IL30" s="12"/>
      <c r="IM30" s="12"/>
      <c r="IN30" s="12"/>
      <c r="IO30" s="13"/>
      <c r="IP30" s="9"/>
      <c r="IQ30" s="9"/>
      <c r="IR30" s="9"/>
      <c r="IS30" s="9"/>
      <c r="IT30" s="10"/>
      <c r="IU30" s="11"/>
      <c r="IV30" s="12"/>
      <c r="IW30" s="12"/>
      <c r="IX30" s="12"/>
      <c r="IY30" s="13"/>
      <c r="IZ30" s="9"/>
      <c r="JA30" s="9"/>
      <c r="JB30" s="9"/>
      <c r="JC30" s="9"/>
      <c r="JD30" s="10"/>
      <c r="JE30" s="11"/>
      <c r="JF30" s="12"/>
      <c r="JG30" s="12"/>
      <c r="JH30" s="12"/>
      <c r="JI30" s="13"/>
      <c r="JJ30" s="9"/>
      <c r="JK30" s="9"/>
      <c r="JL30" s="9"/>
      <c r="JM30" s="9"/>
      <c r="JN30" s="10"/>
      <c r="JO30" s="11"/>
      <c r="JP30" s="12"/>
      <c r="JQ30" s="12"/>
      <c r="JR30" s="12"/>
      <c r="JS30" s="13"/>
      <c r="JT30" s="9"/>
      <c r="JU30" s="9"/>
      <c r="JV30" s="9"/>
      <c r="JW30" s="9"/>
      <c r="JX30" s="10"/>
      <c r="JY30" s="11"/>
      <c r="JZ30" s="12"/>
      <c r="KA30" s="12"/>
      <c r="KB30" s="12"/>
      <c r="KC30" s="13"/>
      <c r="KD30" s="9"/>
      <c r="KE30" s="9"/>
      <c r="KF30" s="9"/>
      <c r="KG30" s="9"/>
      <c r="KH30" s="10"/>
      <c r="KI30" s="11"/>
      <c r="KJ30" s="12"/>
      <c r="KK30" s="12"/>
      <c r="KL30" s="12"/>
      <c r="KM30" s="13"/>
      <c r="KN30" s="9"/>
      <c r="KO30" s="9"/>
      <c r="KP30" s="9"/>
      <c r="KQ30" s="9"/>
      <c r="KR30" s="10"/>
      <c r="KS30" s="11"/>
      <c r="KT30" s="12"/>
      <c r="KU30" s="12"/>
      <c r="KV30" s="12"/>
      <c r="KW30" s="13"/>
      <c r="KX30" s="9"/>
      <c r="KY30" s="9"/>
      <c r="KZ30" s="9"/>
      <c r="LA30" s="9"/>
      <c r="LB30" s="10"/>
      <c r="LC30" s="11"/>
      <c r="LD30" s="12"/>
      <c r="LE30" s="12"/>
      <c r="LF30" s="12"/>
      <c r="LG30" s="13"/>
      <c r="LH30" s="9"/>
      <c r="LI30" s="9"/>
      <c r="LJ30" s="9"/>
      <c r="LK30" s="9"/>
      <c r="LL30" s="10"/>
      <c r="LM30" s="11"/>
      <c r="LN30" s="12"/>
      <c r="LO30" s="12"/>
      <c r="LP30" s="12"/>
      <c r="LQ30" s="13"/>
      <c r="LR30" s="9"/>
      <c r="LS30" s="9"/>
      <c r="LT30" s="9"/>
      <c r="LU30" s="9"/>
      <c r="LV30" s="10"/>
      <c r="LW30" s="11"/>
      <c r="LX30" s="12"/>
      <c r="LY30" s="12"/>
      <c r="LZ30" s="12"/>
      <c r="MA30" s="13"/>
      <c r="MB30" s="9"/>
      <c r="MC30" s="9"/>
      <c r="MD30" s="9"/>
      <c r="ME30" s="9"/>
      <c r="MF30" s="10"/>
      <c r="MG30" s="11"/>
      <c r="MH30" s="12"/>
      <c r="MI30" s="12"/>
      <c r="MJ30" s="12"/>
      <c r="MK30" s="13"/>
      <c r="ML30" s="9"/>
      <c r="MM30" s="9"/>
      <c r="MN30" s="9"/>
      <c r="MO30" s="9"/>
      <c r="MP30" s="10"/>
      <c r="MQ30" s="11"/>
      <c r="MR30" s="12"/>
      <c r="MS30" s="12"/>
      <c r="MT30" s="12"/>
      <c r="MU30" s="13"/>
      <c r="MV30" s="9"/>
      <c r="MW30" s="9"/>
      <c r="MX30" s="9"/>
      <c r="MY30" s="9"/>
      <c r="MZ30" s="10"/>
      <c r="NA30" s="11"/>
      <c r="NB30" s="12"/>
      <c r="NC30" s="12"/>
      <c r="ND30" s="12"/>
      <c r="NE30" s="13"/>
      <c r="NF30" s="9"/>
      <c r="NG30" s="9"/>
      <c r="NH30" s="9"/>
      <c r="NI30" s="9"/>
      <c r="NJ30" s="10"/>
      <c r="NK30" s="11"/>
      <c r="NL30" s="12"/>
      <c r="NM30" s="12"/>
      <c r="NN30" s="12"/>
      <c r="NO30" s="13"/>
      <c r="NP30" s="9"/>
      <c r="NQ30" s="9"/>
      <c r="NR30" s="9"/>
      <c r="NS30" s="9"/>
      <c r="NT30" s="10"/>
      <c r="NU30" s="11"/>
      <c r="NV30" s="12"/>
      <c r="NW30" s="12"/>
      <c r="NX30" s="12"/>
      <c r="NY30" s="13"/>
      <c r="NZ30" s="9"/>
      <c r="OA30" s="9"/>
      <c r="OB30" s="9"/>
      <c r="OC30" s="9"/>
      <c r="OD30" s="10"/>
      <c r="OE30" s="11"/>
      <c r="OF30" s="12"/>
      <c r="OG30" s="12"/>
      <c r="OH30" s="12"/>
      <c r="OI30" s="13"/>
      <c r="OJ30" s="9"/>
      <c r="OK30" s="9"/>
      <c r="OL30" s="9"/>
      <c r="OM30" s="9"/>
      <c r="ON30" s="10"/>
      <c r="OO30" s="11"/>
      <c r="OP30" s="12"/>
      <c r="OQ30" s="12"/>
      <c r="OR30" s="12"/>
      <c r="OS30" s="13"/>
      <c r="OT30" s="9"/>
      <c r="OU30" s="9"/>
      <c r="OV30" s="9"/>
      <c r="OW30" s="9"/>
      <c r="OX30" s="10"/>
      <c r="OY30" s="11"/>
      <c r="OZ30" s="12"/>
      <c r="PA30" s="12"/>
      <c r="PB30" s="12"/>
      <c r="PC30" s="13"/>
      <c r="PD30" s="9"/>
      <c r="PE30" s="9"/>
      <c r="PF30" s="9"/>
      <c r="PG30" s="9"/>
      <c r="PH30" s="10"/>
      <c r="PI30" s="11"/>
      <c r="PJ30" s="12"/>
      <c r="PK30" s="12"/>
      <c r="PL30" s="12"/>
      <c r="PM30" s="13"/>
      <c r="PN30" s="9"/>
      <c r="PO30" s="9"/>
      <c r="PP30" s="9"/>
      <c r="PQ30" s="9"/>
      <c r="PR30" s="10"/>
      <c r="PS30" s="11"/>
      <c r="PT30" s="12"/>
      <c r="PU30" s="12"/>
      <c r="PV30" s="12"/>
      <c r="PW30" s="13"/>
      <c r="PX30" s="9"/>
      <c r="PY30" s="9"/>
      <c r="PZ30" s="9"/>
      <c r="QA30" s="9"/>
      <c r="QB30" s="10"/>
      <c r="QC30" s="11"/>
      <c r="QD30" s="12"/>
      <c r="QE30" s="12"/>
      <c r="QF30" s="12"/>
      <c r="QG30" s="13"/>
      <c r="QH30" s="9"/>
      <c r="QI30" s="9"/>
      <c r="QJ30" s="9"/>
      <c r="QK30" s="9"/>
      <c r="QL30" s="10"/>
      <c r="QM30" s="11"/>
      <c r="QN30" s="12"/>
      <c r="QO30" s="12"/>
      <c r="QP30" s="12"/>
      <c r="QQ30" s="13"/>
      <c r="QR30" s="9"/>
      <c r="QS30" s="9"/>
      <c r="QT30" s="9"/>
      <c r="QU30" s="9"/>
      <c r="QV30" s="10"/>
      <c r="QW30" s="11"/>
      <c r="QX30" s="12"/>
      <c r="QY30" s="12"/>
      <c r="QZ30" s="12"/>
      <c r="RA30" s="13"/>
      <c r="RB30" s="9"/>
      <c r="RC30" s="9"/>
      <c r="RD30" s="9"/>
      <c r="RE30" s="9"/>
      <c r="RF30" s="10"/>
      <c r="RG30" s="11"/>
      <c r="RH30" s="12"/>
      <c r="RI30" s="12"/>
      <c r="RJ30" s="12"/>
      <c r="RK30" s="13"/>
      <c r="RL30" s="9"/>
      <c r="RM30" s="9"/>
      <c r="RN30" s="9"/>
      <c r="RO30" s="9"/>
      <c r="RP30" s="10"/>
      <c r="RQ30" s="11"/>
      <c r="RR30" s="12"/>
      <c r="RS30" s="12"/>
      <c r="RT30" s="12"/>
      <c r="RU30" s="13"/>
      <c r="RV30" s="9"/>
      <c r="RW30" s="9"/>
      <c r="RX30" s="9"/>
      <c r="RY30" s="9"/>
      <c r="RZ30" s="10"/>
      <c r="SA30" s="11"/>
      <c r="SB30" s="12"/>
      <c r="SC30" s="12"/>
      <c r="SD30" s="12"/>
      <c r="SE30" s="13"/>
      <c r="SF30" s="9"/>
      <c r="SG30" s="9"/>
      <c r="SH30" s="9"/>
      <c r="SI30" s="9"/>
      <c r="SJ30" s="10"/>
      <c r="SK30" s="11"/>
      <c r="SL30" s="12"/>
      <c r="SM30" s="12"/>
      <c r="SN30" s="12"/>
      <c r="SO30" s="13"/>
      <c r="SP30" s="9"/>
      <c r="SQ30" s="9"/>
      <c r="SR30" s="9"/>
      <c r="SS30" s="9"/>
      <c r="ST30" s="10"/>
      <c r="SU30" s="11"/>
      <c r="SV30" s="12"/>
      <c r="SW30" s="12"/>
      <c r="SX30" s="12"/>
      <c r="SY30" s="13"/>
      <c r="SZ30" s="9"/>
      <c r="TA30" s="9"/>
      <c r="TB30" s="9"/>
      <c r="TC30" s="9"/>
      <c r="TD30" s="10"/>
      <c r="TE30" s="11"/>
      <c r="TF30" s="12"/>
      <c r="TG30" s="12"/>
      <c r="TH30" s="12"/>
      <c r="TI30" s="13"/>
      <c r="TJ30" s="9"/>
      <c r="TK30" s="9"/>
      <c r="TL30" s="9"/>
      <c r="TM30" s="9"/>
      <c r="TN30" s="10"/>
      <c r="TO30" s="11"/>
      <c r="TP30" s="12"/>
      <c r="TQ30" s="12"/>
      <c r="TR30" s="12"/>
      <c r="TS30" s="13"/>
      <c r="TT30" s="9"/>
      <c r="TU30" s="9"/>
      <c r="TV30" s="9"/>
      <c r="TW30" s="9"/>
      <c r="TX30" s="10"/>
      <c r="TY30" s="11"/>
      <c r="TZ30" s="12"/>
      <c r="UA30" s="12"/>
      <c r="UB30" s="12"/>
      <c r="UC30" s="13"/>
      <c r="UD30" s="9"/>
      <c r="UE30" s="9"/>
      <c r="UF30" s="9"/>
      <c r="UG30" s="9"/>
      <c r="UH30" s="10"/>
      <c r="UI30" s="11"/>
      <c r="UJ30" s="12"/>
      <c r="UK30" s="12"/>
      <c r="UL30" s="12"/>
      <c r="UM30" s="13"/>
      <c r="UN30" s="9"/>
      <c r="UO30" s="9"/>
      <c r="UP30" s="9"/>
      <c r="UQ30" s="9"/>
      <c r="UR30" s="10"/>
      <c r="US30" s="11"/>
      <c r="UT30" s="12"/>
      <c r="UU30" s="12"/>
      <c r="UV30" s="12"/>
      <c r="UW30" s="13"/>
      <c r="UX30" s="9"/>
      <c r="UY30" s="9"/>
      <c r="UZ30" s="9"/>
      <c r="VA30" s="9"/>
      <c r="VB30" s="10"/>
      <c r="VC30" s="11"/>
      <c r="VD30" s="12"/>
      <c r="VE30" s="12"/>
      <c r="VF30" s="12"/>
      <c r="VG30" s="13"/>
      <c r="VH30" s="9"/>
      <c r="VI30" s="9"/>
      <c r="VJ30" s="9"/>
      <c r="VK30" s="9"/>
      <c r="VL30" s="10"/>
      <c r="VM30" s="11"/>
      <c r="VN30" s="12"/>
      <c r="VO30" s="12"/>
      <c r="VP30" s="12"/>
      <c r="VQ30" s="13"/>
      <c r="VR30" s="9"/>
      <c r="VS30" s="9"/>
      <c r="VT30" s="9"/>
      <c r="VU30" s="9"/>
      <c r="VV30" s="10"/>
      <c r="VW30" s="11"/>
      <c r="VX30" s="12"/>
      <c r="VY30" s="12"/>
      <c r="VZ30" s="12"/>
      <c r="WA30" s="13"/>
      <c r="WB30" s="9"/>
      <c r="WC30" s="9"/>
      <c r="WD30" s="9"/>
      <c r="WE30" s="9"/>
      <c r="WF30" s="10"/>
      <c r="WG30" s="11"/>
      <c r="WH30" s="12"/>
      <c r="WI30" s="12"/>
      <c r="WJ30" s="12"/>
      <c r="WK30" s="13"/>
      <c r="WL30" s="9"/>
      <c r="WM30" s="9"/>
      <c r="WN30" s="9"/>
      <c r="WO30" s="9"/>
      <c r="WP30" s="10"/>
      <c r="WQ30" s="11"/>
      <c r="WR30" s="12"/>
      <c r="WS30" s="12"/>
      <c r="WT30" s="12"/>
      <c r="WU30" s="13"/>
      <c r="WV30" s="9"/>
      <c r="WW30" s="9"/>
      <c r="WX30" s="9"/>
      <c r="WY30" s="9"/>
      <c r="WZ30" s="10"/>
      <c r="XA30" s="11"/>
      <c r="XB30" s="12"/>
      <c r="XC30" s="12"/>
      <c r="XD30" s="12"/>
      <c r="XE30" s="13"/>
      <c r="XF30" s="9"/>
      <c r="XG30" s="9"/>
      <c r="XH30" s="9"/>
      <c r="XI30" s="9"/>
      <c r="XJ30" s="10"/>
      <c r="XK30" s="11"/>
      <c r="XL30" s="12"/>
      <c r="XM30" s="12"/>
      <c r="XN30" s="12"/>
      <c r="XO30" s="13"/>
      <c r="XP30" s="9"/>
      <c r="XQ30" s="9"/>
      <c r="XR30" s="9"/>
      <c r="XS30" s="9"/>
      <c r="XT30" s="10"/>
      <c r="XU30" s="11"/>
      <c r="XV30" s="12"/>
      <c r="XW30" s="12"/>
      <c r="XX30" s="12"/>
      <c r="XY30" s="13"/>
      <c r="XZ30" s="9"/>
      <c r="YA30" s="9"/>
      <c r="YB30" s="9"/>
      <c r="YC30" s="9"/>
      <c r="YD30" s="10"/>
      <c r="YE30" s="11"/>
      <c r="YF30" s="12"/>
      <c r="YG30" s="12"/>
      <c r="YH30" s="12"/>
      <c r="YI30" s="13"/>
      <c r="YJ30" s="9"/>
      <c r="YK30" s="9"/>
      <c r="YL30" s="9"/>
      <c r="YM30" s="9"/>
      <c r="YN30" s="10"/>
      <c r="YO30" s="11"/>
      <c r="YP30" s="12"/>
      <c r="YQ30" s="12"/>
      <c r="YR30" s="12"/>
      <c r="YS30" s="13"/>
      <c r="YT30" s="9"/>
      <c r="YU30" s="9"/>
      <c r="YV30" s="9"/>
      <c r="YW30" s="9"/>
      <c r="YX30" s="10"/>
      <c r="YY30" s="11"/>
      <c r="YZ30" s="12"/>
      <c r="ZA30" s="12"/>
      <c r="ZB30" s="12"/>
      <c r="ZC30" s="13"/>
      <c r="ZD30" s="9"/>
      <c r="ZE30" s="9"/>
      <c r="ZF30" s="9"/>
      <c r="ZG30" s="9"/>
      <c r="ZH30" s="10"/>
      <c r="ZI30" s="11"/>
      <c r="ZJ30" s="12"/>
      <c r="ZK30" s="12"/>
      <c r="ZL30" s="12"/>
      <c r="ZM30" s="13"/>
      <c r="ZN30" s="9"/>
      <c r="ZO30" s="9"/>
      <c r="ZP30" s="9"/>
      <c r="ZQ30" s="9"/>
      <c r="ZR30" s="10"/>
      <c r="ZS30" s="11"/>
      <c r="ZT30" s="12"/>
      <c r="ZU30" s="12"/>
      <c r="ZV30" s="12"/>
      <c r="ZW30" s="13"/>
      <c r="ZX30" s="9"/>
      <c r="ZY30" s="9"/>
      <c r="ZZ30" s="9"/>
      <c r="AAA30" s="9"/>
      <c r="AAB30" s="10"/>
      <c r="AAC30" s="11"/>
      <c r="AAD30" s="12"/>
      <c r="AAE30" s="12"/>
      <c r="AAF30" s="12"/>
      <c r="AAG30" s="13"/>
      <c r="AAH30" s="9"/>
      <c r="AAI30" s="9"/>
      <c r="AAJ30" s="9"/>
      <c r="AAK30" s="9"/>
      <c r="AAL30" s="10"/>
      <c r="AAM30" s="11"/>
      <c r="AAN30" s="12"/>
      <c r="AAO30" s="12"/>
      <c r="AAP30" s="12"/>
      <c r="AAQ30" s="13"/>
      <c r="AAR30" s="9"/>
      <c r="AAS30" s="9"/>
      <c r="AAT30" s="9"/>
      <c r="AAU30" s="9"/>
      <c r="AAV30" s="10"/>
      <c r="AAW30" s="11"/>
      <c r="AAX30" s="12"/>
      <c r="AAY30" s="12"/>
      <c r="AAZ30" s="12"/>
      <c r="ABA30" s="13"/>
      <c r="ABB30" s="9"/>
      <c r="ABC30" s="9"/>
      <c r="ABD30" s="9"/>
      <c r="ABE30" s="9"/>
      <c r="ABF30" s="10"/>
      <c r="ABG30" s="11"/>
      <c r="ABH30" s="12"/>
      <c r="ABI30" s="12"/>
      <c r="ABJ30" s="12"/>
      <c r="ABK30" s="13"/>
      <c r="ABL30" s="9"/>
      <c r="ABM30" s="9"/>
      <c r="ABN30" s="9"/>
      <c r="ABO30" s="9"/>
      <c r="ABP30" s="10"/>
      <c r="ABQ30" s="11"/>
      <c r="ABR30" s="12"/>
      <c r="ABS30" s="12"/>
      <c r="ABT30" s="12"/>
      <c r="ABU30" s="13"/>
      <c r="ABV30" s="9"/>
      <c r="ABW30" s="9"/>
      <c r="ABX30" s="9"/>
      <c r="ABY30" s="9"/>
      <c r="ABZ30" s="10"/>
      <c r="ACA30" s="11"/>
      <c r="ACB30" s="12"/>
      <c r="ACC30" s="12"/>
      <c r="ACD30" s="12"/>
      <c r="ACE30" s="13"/>
      <c r="ACF30" s="9"/>
      <c r="ACG30" s="9"/>
      <c r="ACH30" s="9"/>
      <c r="ACI30" s="9"/>
      <c r="ACJ30" s="10"/>
      <c r="ACK30" s="11"/>
      <c r="ACL30" s="12"/>
      <c r="ACM30" s="12"/>
      <c r="ACN30" s="12"/>
      <c r="ACO30" s="13"/>
      <c r="ACP30" s="9"/>
      <c r="ACQ30" s="9"/>
      <c r="ACR30" s="9"/>
      <c r="ACS30" s="9"/>
      <c r="ACT30" s="10"/>
      <c r="ACU30" s="11"/>
      <c r="ACV30" s="12"/>
      <c r="ACW30" s="12"/>
      <c r="ACX30" s="12"/>
      <c r="ACY30" s="13"/>
      <c r="ACZ30" s="9"/>
      <c r="ADA30" s="9"/>
      <c r="ADB30" s="9"/>
      <c r="ADC30" s="9"/>
      <c r="ADD30" s="10"/>
      <c r="ADE30" s="11"/>
      <c r="ADF30" s="12"/>
      <c r="ADG30" s="12"/>
      <c r="ADH30" s="12"/>
      <c r="ADI30" s="13"/>
      <c r="ADJ30" s="9"/>
      <c r="ADK30" s="9"/>
      <c r="ADL30" s="9"/>
      <c r="ADM30" s="9"/>
      <c r="ADN30" s="10"/>
      <c r="ADO30" s="11"/>
      <c r="ADP30" s="12"/>
      <c r="ADQ30" s="12"/>
      <c r="ADR30" s="12"/>
      <c r="ADS30" s="13"/>
      <c r="ADT30" s="9"/>
      <c r="ADU30" s="9"/>
      <c r="ADV30" s="9"/>
      <c r="ADW30" s="9"/>
      <c r="ADX30" s="10"/>
      <c r="ADY30" s="11"/>
      <c r="ADZ30" s="12"/>
      <c r="AEA30" s="12"/>
      <c r="AEB30" s="12"/>
      <c r="AEC30" s="13"/>
      <c r="AED30" s="9"/>
      <c r="AEE30" s="9"/>
      <c r="AEF30" s="9"/>
      <c r="AEG30" s="9"/>
      <c r="AEH30" s="10"/>
      <c r="AEI30" s="11"/>
      <c r="AEJ30" s="12"/>
      <c r="AEK30" s="12"/>
      <c r="AEL30" s="12"/>
      <c r="AEM30" s="13"/>
      <c r="AEN30" s="9"/>
      <c r="AEO30" s="9"/>
      <c r="AEP30" s="9"/>
      <c r="AEQ30" s="9"/>
      <c r="AER30" s="10"/>
      <c r="AES30" s="11"/>
      <c r="AET30" s="12"/>
      <c r="AEU30" s="12"/>
      <c r="AEV30" s="12"/>
      <c r="AEW30" s="13"/>
      <c r="AEX30" s="9"/>
      <c r="AEY30" s="9"/>
      <c r="AEZ30" s="9"/>
      <c r="AFA30" s="9"/>
      <c r="AFB30" s="10"/>
      <c r="AFC30" s="11"/>
      <c r="AFD30" s="12"/>
      <c r="AFE30" s="12"/>
      <c r="AFF30" s="12"/>
      <c r="AFG30" s="13"/>
      <c r="AFH30" s="9"/>
      <c r="AFI30" s="9"/>
      <c r="AFJ30" s="9"/>
      <c r="AFK30" s="9"/>
      <c r="AFL30" s="10"/>
      <c r="AFM30" s="11"/>
      <c r="AFN30" s="12"/>
      <c r="AFO30" s="12"/>
      <c r="AFP30" s="12"/>
      <c r="AFQ30" s="13"/>
      <c r="AFR30" s="9"/>
      <c r="AFS30" s="9"/>
      <c r="AFT30" s="9"/>
      <c r="AFU30" s="9"/>
      <c r="AFV30" s="10"/>
      <c r="AFW30" s="11"/>
      <c r="AFX30" s="12"/>
      <c r="AFY30" s="12"/>
      <c r="AFZ30" s="12"/>
      <c r="AGA30" s="13"/>
      <c r="AGB30" s="9"/>
      <c r="AGC30" s="9"/>
      <c r="AGD30" s="9"/>
      <c r="AGE30" s="9"/>
      <c r="AGF30" s="10"/>
      <c r="AGG30" s="11"/>
      <c r="AGH30" s="12"/>
      <c r="AGI30" s="12"/>
      <c r="AGJ30" s="12"/>
      <c r="AGK30" s="13"/>
      <c r="AGL30" s="9"/>
      <c r="AGM30" s="9"/>
      <c r="AGN30" s="9"/>
      <c r="AGO30" s="9"/>
      <c r="AGP30" s="10"/>
      <c r="AGQ30" s="11"/>
      <c r="AGR30" s="12"/>
      <c r="AGS30" s="12"/>
      <c r="AGT30" s="12"/>
      <c r="AGU30" s="13"/>
      <c r="AGV30" s="9"/>
      <c r="AGW30" s="9"/>
      <c r="AGX30" s="9"/>
      <c r="AGY30" s="9"/>
      <c r="AGZ30" s="10"/>
      <c r="AHA30" s="11"/>
      <c r="AHB30" s="12"/>
      <c r="AHC30" s="12"/>
      <c r="AHD30" s="12"/>
      <c r="AHE30" s="13"/>
      <c r="AHF30" s="9"/>
      <c r="AHG30" s="9"/>
      <c r="AHH30" s="9"/>
      <c r="AHI30" s="9"/>
      <c r="AHJ30" s="10"/>
      <c r="AHK30" s="11"/>
      <c r="AHL30" s="12"/>
      <c r="AHM30" s="12"/>
      <c r="AHN30" s="12"/>
      <c r="AHO30" s="13"/>
      <c r="AHP30" s="9"/>
      <c r="AHQ30" s="9"/>
      <c r="AHR30" s="9"/>
      <c r="AHS30" s="9"/>
      <c r="AHT30" s="10"/>
      <c r="AHU30" s="11"/>
      <c r="AHV30" s="12"/>
      <c r="AHW30" s="12"/>
      <c r="AHX30" s="12"/>
      <c r="AHY30" s="13"/>
      <c r="AHZ30" s="9"/>
      <c r="AIA30" s="9"/>
      <c r="AIB30" s="9"/>
      <c r="AIC30" s="9"/>
      <c r="AID30" s="10"/>
      <c r="AIE30" s="11"/>
      <c r="AIF30" s="12"/>
      <c r="AIG30" s="12"/>
      <c r="AIH30" s="12"/>
      <c r="AII30" s="13"/>
      <c r="AIJ30" s="9"/>
      <c r="AIK30" s="9"/>
      <c r="AIL30" s="9"/>
      <c r="AIM30" s="9"/>
      <c r="AIN30" s="10"/>
      <c r="AIO30" s="11"/>
      <c r="AIP30" s="12"/>
      <c r="AIQ30" s="12"/>
      <c r="AIR30" s="12"/>
      <c r="AIS30" s="13"/>
      <c r="AIT30" s="9"/>
      <c r="AIU30" s="9"/>
      <c r="AIV30" s="9"/>
      <c r="AIW30" s="9"/>
      <c r="AIX30" s="10"/>
      <c r="AIY30" s="11"/>
      <c r="AIZ30" s="12"/>
      <c r="AJA30" s="12"/>
      <c r="AJB30" s="12"/>
      <c r="AJC30" s="13"/>
      <c r="AJD30" s="9"/>
      <c r="AJE30" s="9"/>
      <c r="AJF30" s="9"/>
      <c r="AJG30" s="9"/>
      <c r="AJH30" s="10"/>
      <c r="AJI30" s="11"/>
      <c r="AJJ30" s="12"/>
      <c r="AJK30" s="12"/>
      <c r="AJL30" s="12"/>
      <c r="AJM30" s="13"/>
      <c r="AJN30" s="9"/>
      <c r="AJO30" s="9"/>
      <c r="AJP30" s="9"/>
      <c r="AJQ30" s="9"/>
      <c r="AJR30" s="10"/>
      <c r="AJS30" s="11"/>
      <c r="AJT30" s="12"/>
      <c r="AJU30" s="12"/>
      <c r="AJV30" s="12"/>
      <c r="AJW30" s="13"/>
      <c r="AJX30" s="9"/>
      <c r="AJY30" s="9"/>
      <c r="AJZ30" s="9"/>
      <c r="AKA30" s="9"/>
      <c r="AKB30" s="10"/>
      <c r="AKC30" s="11"/>
      <c r="AKD30" s="12"/>
      <c r="AKE30" s="12"/>
      <c r="AKF30" s="12"/>
      <c r="AKG30" s="13"/>
      <c r="AKH30" s="9"/>
      <c r="AKI30" s="9"/>
      <c r="AKJ30" s="9"/>
      <c r="AKK30" s="9"/>
      <c r="AKL30" s="10"/>
      <c r="AKM30" s="11"/>
      <c r="AKN30" s="12"/>
      <c r="AKO30" s="12"/>
      <c r="AKP30" s="12"/>
      <c r="AKQ30" s="13"/>
      <c r="AKR30" s="9"/>
      <c r="AKS30" s="9"/>
      <c r="AKT30" s="9"/>
      <c r="AKU30" s="9"/>
      <c r="AKV30" s="10"/>
      <c r="AKW30" s="11"/>
      <c r="AKX30" s="12"/>
      <c r="AKY30" s="12"/>
      <c r="AKZ30" s="12"/>
      <c r="ALA30" s="13"/>
      <c r="ALB30" s="9"/>
      <c r="ALC30" s="9"/>
      <c r="ALD30" s="9"/>
      <c r="ALE30" s="9"/>
      <c r="ALF30" s="10"/>
      <c r="ALG30" s="11"/>
      <c r="ALH30" s="12"/>
      <c r="ALI30" s="12"/>
      <c r="ALJ30" s="12"/>
      <c r="ALK30" s="13"/>
      <c r="ALL30" s="9"/>
      <c r="ALM30" s="9"/>
      <c r="ALN30" s="9"/>
      <c r="ALO30" s="9"/>
      <c r="ALP30" s="10"/>
      <c r="ALQ30" s="11"/>
      <c r="ALR30" s="12"/>
      <c r="ALS30" s="12"/>
      <c r="ALT30" s="12"/>
      <c r="ALU30" s="13"/>
      <c r="ALV30" s="9"/>
      <c r="ALW30" s="9"/>
      <c r="ALX30" s="9"/>
      <c r="ALY30" s="9"/>
      <c r="ALZ30" s="10"/>
      <c r="AMA30" s="11"/>
      <c r="AMB30" s="12"/>
      <c r="AMC30" s="12"/>
      <c r="AMD30" s="12"/>
      <c r="AME30" s="13"/>
      <c r="AMF30" s="9"/>
      <c r="AMG30" s="9"/>
      <c r="AMH30" s="9"/>
      <c r="AMI30" s="9"/>
      <c r="AMJ30" s="10"/>
      <c r="AMK30" s="11"/>
      <c r="AML30" s="12"/>
      <c r="AMM30" s="12"/>
      <c r="AMN30" s="12"/>
      <c r="AMO30" s="13"/>
      <c r="AMP30" s="9"/>
      <c r="AMQ30" s="9"/>
      <c r="AMR30" s="9"/>
      <c r="AMS30" s="9"/>
      <c r="AMT30" s="10"/>
      <c r="AMU30" s="11"/>
      <c r="AMV30" s="12"/>
      <c r="AMW30" s="12"/>
      <c r="AMX30" s="12"/>
      <c r="AMY30" s="13"/>
      <c r="AMZ30" s="9"/>
      <c r="ANA30" s="9"/>
      <c r="ANB30" s="9"/>
      <c r="ANC30" s="9"/>
      <c r="AND30" s="10"/>
      <c r="ANE30" s="11"/>
      <c r="ANF30" s="12"/>
      <c r="ANG30" s="12"/>
      <c r="ANH30" s="12"/>
      <c r="ANI30" s="13"/>
      <c r="ANJ30" s="9"/>
      <c r="ANK30" s="9"/>
      <c r="ANL30" s="9"/>
      <c r="ANM30" s="9"/>
      <c r="ANN30" s="10"/>
      <c r="ANO30" s="11"/>
      <c r="ANP30" s="12"/>
      <c r="ANQ30" s="12"/>
      <c r="ANR30" s="12"/>
      <c r="ANS30" s="13"/>
      <c r="ANT30" s="9"/>
      <c r="ANU30" s="9"/>
      <c r="ANV30" s="9"/>
      <c r="ANW30" s="9"/>
      <c r="ANX30" s="10"/>
      <c r="ANY30" s="11"/>
      <c r="ANZ30" s="12"/>
      <c r="AOA30" s="12"/>
      <c r="AOB30" s="12"/>
      <c r="AOC30" s="13"/>
      <c r="AOD30" s="9"/>
      <c r="AOE30" s="9"/>
      <c r="AOF30" s="9"/>
      <c r="AOG30" s="9"/>
      <c r="AOH30" s="10"/>
      <c r="AOI30" s="11"/>
      <c r="AOJ30" s="12"/>
      <c r="AOK30" s="12"/>
      <c r="AOL30" s="12"/>
      <c r="AOM30" s="13"/>
      <c r="AON30" s="9"/>
      <c r="AOO30" s="9"/>
      <c r="AOP30" s="9"/>
      <c r="AOQ30" s="9"/>
      <c r="AOR30" s="10"/>
      <c r="AOS30" s="11"/>
      <c r="AOT30" s="12"/>
      <c r="AOU30" s="12"/>
      <c r="AOV30" s="12"/>
      <c r="AOW30" s="13"/>
      <c r="AOX30" s="9"/>
      <c r="AOY30" s="9"/>
      <c r="AOZ30" s="9"/>
      <c r="APA30" s="9"/>
      <c r="APB30" s="10"/>
      <c r="APC30" s="11"/>
      <c r="APD30" s="12"/>
      <c r="APE30" s="12"/>
      <c r="APF30" s="12"/>
      <c r="APG30" s="13"/>
      <c r="APH30" s="9"/>
      <c r="API30" s="9"/>
      <c r="APJ30" s="9"/>
      <c r="APK30" s="9"/>
      <c r="APL30" s="10"/>
      <c r="APM30" s="11"/>
      <c r="APN30" s="12"/>
      <c r="APO30" s="12"/>
      <c r="APP30" s="12"/>
      <c r="APQ30" s="13"/>
      <c r="APR30" s="9"/>
      <c r="APS30" s="9"/>
      <c r="APT30" s="9"/>
      <c r="APU30" s="9"/>
      <c r="APV30" s="10"/>
      <c r="APW30" s="11"/>
      <c r="APX30" s="12"/>
      <c r="APY30" s="12"/>
      <c r="APZ30" s="12"/>
      <c r="AQA30" s="13"/>
      <c r="AQB30" s="9"/>
      <c r="AQC30" s="9"/>
      <c r="AQD30" s="9"/>
      <c r="AQE30" s="9"/>
      <c r="AQF30" s="10"/>
      <c r="AQG30" s="11"/>
      <c r="AQH30" s="12"/>
      <c r="AQI30" s="12"/>
      <c r="AQJ30" s="12"/>
      <c r="AQK30" s="13"/>
      <c r="AQL30" s="9"/>
      <c r="AQM30" s="9"/>
      <c r="AQN30" s="9"/>
      <c r="AQO30" s="9"/>
      <c r="AQP30" s="10"/>
      <c r="AQQ30" s="11"/>
      <c r="AQR30" s="12"/>
      <c r="AQS30" s="12"/>
      <c r="AQT30" s="12"/>
      <c r="AQU30" s="13"/>
      <c r="AQV30" s="9"/>
      <c r="AQW30" s="9"/>
      <c r="AQX30" s="9"/>
      <c r="AQY30" s="9"/>
      <c r="AQZ30" s="10"/>
      <c r="ARA30" s="11"/>
      <c r="ARB30" s="12"/>
      <c r="ARC30" s="12"/>
      <c r="ARD30" s="12"/>
      <c r="ARE30" s="13"/>
      <c r="ARF30" s="9"/>
      <c r="ARG30" s="9"/>
      <c r="ARH30" s="9"/>
      <c r="ARI30" s="9"/>
      <c r="ARJ30" s="10"/>
      <c r="ARK30" s="11"/>
      <c r="ARL30" s="12"/>
      <c r="ARM30" s="12"/>
      <c r="ARN30" s="12"/>
      <c r="ARO30" s="13"/>
      <c r="ARP30" s="9"/>
      <c r="ARQ30" s="9"/>
      <c r="ARR30" s="9"/>
      <c r="ARS30" s="9"/>
      <c r="ART30" s="10"/>
      <c r="ARU30" s="11"/>
      <c r="ARV30" s="12"/>
      <c r="ARW30" s="12"/>
      <c r="ARX30" s="12"/>
      <c r="ARY30" s="13"/>
      <c r="ARZ30" s="9"/>
      <c r="ASA30" s="9"/>
      <c r="ASB30" s="9"/>
      <c r="ASC30" s="9"/>
      <c r="ASD30" s="10"/>
      <c r="ASE30" s="11"/>
      <c r="ASF30" s="12"/>
      <c r="ASG30" s="12"/>
      <c r="ASH30" s="12"/>
      <c r="ASI30" s="13"/>
      <c r="ASJ30" s="9"/>
      <c r="ASK30" s="9"/>
      <c r="ASL30" s="9"/>
      <c r="ASM30" s="9"/>
      <c r="ASN30" s="10"/>
      <c r="ASO30" s="11"/>
      <c r="ASP30" s="12"/>
      <c r="ASQ30" s="12"/>
      <c r="ASR30" s="12"/>
      <c r="ASS30" s="13"/>
      <c r="AST30" s="9"/>
      <c r="ASU30" s="9"/>
      <c r="ASV30" s="9"/>
      <c r="ASW30" s="9"/>
      <c r="ASX30" s="10"/>
      <c r="ASY30" s="11"/>
      <c r="ASZ30" s="12"/>
      <c r="ATA30" s="12"/>
      <c r="ATB30" s="12"/>
      <c r="ATC30" s="13"/>
      <c r="ATD30" s="9"/>
      <c r="ATE30" s="9"/>
      <c r="ATF30" s="9"/>
      <c r="ATG30" s="9"/>
      <c r="ATH30" s="10"/>
      <c r="ATI30" s="11"/>
      <c r="ATJ30" s="12"/>
      <c r="ATK30" s="12"/>
      <c r="ATL30" s="12"/>
      <c r="ATM30" s="13"/>
      <c r="ATN30" s="9"/>
      <c r="ATO30" s="9"/>
      <c r="ATP30" s="9"/>
      <c r="ATQ30" s="9"/>
      <c r="ATR30" s="10"/>
      <c r="ATS30" s="11"/>
      <c r="ATT30" s="12"/>
      <c r="ATU30" s="12"/>
      <c r="ATV30" s="12"/>
      <c r="ATW30" s="13"/>
      <c r="ATX30" s="9"/>
      <c r="ATY30" s="9"/>
      <c r="ATZ30" s="9"/>
      <c r="AUA30" s="9"/>
      <c r="AUB30" s="10"/>
      <c r="AUC30" s="11"/>
      <c r="AUD30" s="12"/>
      <c r="AUE30" s="12"/>
      <c r="AUF30" s="12"/>
      <c r="AUG30" s="13"/>
      <c r="AUH30" s="9"/>
      <c r="AUI30" s="9"/>
      <c r="AUJ30" s="9"/>
      <c r="AUK30" s="9"/>
      <c r="AUL30" s="10"/>
      <c r="AUM30" s="11"/>
      <c r="AUN30" s="12"/>
      <c r="AUO30" s="12"/>
      <c r="AUP30" s="12"/>
      <c r="AUQ30" s="13"/>
      <c r="AUR30" s="9"/>
      <c r="AUS30" s="9"/>
      <c r="AUT30" s="9"/>
      <c r="AUU30" s="9"/>
      <c r="AUV30" s="10"/>
      <c r="AUW30" s="11"/>
      <c r="AUX30" s="12"/>
      <c r="AUY30" s="12"/>
      <c r="AUZ30" s="12"/>
      <c r="AVA30" s="13"/>
      <c r="AVB30" s="9"/>
      <c r="AVC30" s="9"/>
      <c r="AVD30" s="9"/>
      <c r="AVE30" s="9"/>
      <c r="AVF30" s="10"/>
      <c r="AVG30" s="11"/>
      <c r="AVH30" s="12"/>
      <c r="AVI30" s="12"/>
      <c r="AVJ30" s="12"/>
      <c r="AVK30" s="13"/>
      <c r="AVL30" s="9"/>
      <c r="AVM30" s="9"/>
      <c r="AVN30" s="9"/>
      <c r="AVO30" s="9"/>
      <c r="AVP30" s="10"/>
      <c r="AVQ30" s="11"/>
      <c r="AVR30" s="12"/>
      <c r="AVS30" s="12"/>
      <c r="AVT30" s="12"/>
      <c r="AVU30" s="13"/>
      <c r="AVV30" s="9"/>
      <c r="AVW30" s="9"/>
      <c r="AVX30" s="9"/>
      <c r="AVY30" s="9"/>
      <c r="AVZ30" s="10"/>
      <c r="AWA30" s="11"/>
      <c r="AWB30" s="12"/>
      <c r="AWC30" s="12"/>
      <c r="AWD30" s="12"/>
      <c r="AWE30" s="13"/>
      <c r="AWF30" s="9"/>
      <c r="AWG30" s="9"/>
      <c r="AWH30" s="9"/>
      <c r="AWI30" s="9"/>
      <c r="AWJ30" s="10"/>
      <c r="AWK30" s="11"/>
      <c r="AWL30" s="12"/>
      <c r="AWM30" s="12"/>
      <c r="AWN30" s="12"/>
      <c r="AWO30" s="13"/>
      <c r="AWP30" s="9"/>
      <c r="AWQ30" s="9"/>
      <c r="AWR30" s="9"/>
      <c r="AWS30" s="9"/>
      <c r="AWT30" s="10"/>
      <c r="AWU30" s="11"/>
      <c r="AWV30" s="12"/>
      <c r="AWW30" s="12"/>
      <c r="AWX30" s="12"/>
      <c r="AWY30" s="13"/>
      <c r="AWZ30" s="9"/>
      <c r="AXA30" s="9"/>
      <c r="AXB30" s="9"/>
      <c r="AXC30" s="9"/>
      <c r="AXD30" s="10"/>
      <c r="AXE30" s="11"/>
      <c r="AXF30" s="12"/>
      <c r="AXG30" s="12"/>
      <c r="AXH30" s="12"/>
      <c r="AXI30" s="13"/>
      <c r="AXJ30" s="9"/>
      <c r="AXK30" s="9"/>
      <c r="AXL30" s="9"/>
      <c r="AXM30" s="9"/>
      <c r="AXN30" s="10"/>
      <c r="AXO30" s="11"/>
      <c r="AXP30" s="12"/>
      <c r="AXQ30" s="12"/>
      <c r="AXR30" s="12"/>
      <c r="AXS30" s="13"/>
      <c r="AXT30" s="9"/>
      <c r="AXU30" s="9"/>
      <c r="AXV30" s="9"/>
      <c r="AXW30" s="9"/>
      <c r="AXX30" s="10"/>
      <c r="AXY30" s="11"/>
      <c r="AXZ30" s="12"/>
      <c r="AYA30" s="12"/>
      <c r="AYB30" s="12"/>
      <c r="AYC30" s="13"/>
      <c r="AYD30" s="9"/>
      <c r="AYE30" s="9"/>
      <c r="AYF30" s="9"/>
      <c r="AYG30" s="9"/>
      <c r="AYH30" s="10"/>
      <c r="AYI30" s="11"/>
      <c r="AYJ30" s="12"/>
      <c r="AYK30" s="12"/>
      <c r="AYL30" s="12"/>
      <c r="AYM30" s="13"/>
      <c r="AYN30" s="9"/>
      <c r="AYO30" s="9"/>
      <c r="AYP30" s="9"/>
      <c r="AYQ30" s="9"/>
      <c r="AYR30" s="10"/>
      <c r="AYS30" s="11"/>
      <c r="AYT30" s="12"/>
      <c r="AYU30" s="12"/>
      <c r="AYV30" s="12"/>
      <c r="AYW30" s="13"/>
      <c r="AYX30" s="9"/>
      <c r="AYY30" s="9"/>
      <c r="AYZ30" s="9"/>
      <c r="AZA30" s="9"/>
      <c r="AZB30" s="10"/>
      <c r="AZC30" s="11"/>
      <c r="AZD30" s="12"/>
      <c r="AZE30" s="12"/>
      <c r="AZF30" s="12"/>
      <c r="AZG30" s="13"/>
      <c r="AZH30" s="9"/>
      <c r="AZI30" s="9"/>
      <c r="AZJ30" s="9"/>
      <c r="AZK30" s="9"/>
      <c r="AZL30" s="10"/>
      <c r="AZM30" s="11"/>
      <c r="AZN30" s="12"/>
      <c r="AZO30" s="12"/>
      <c r="AZP30" s="12"/>
      <c r="AZQ30" s="13"/>
      <c r="AZR30" s="9"/>
      <c r="AZS30" s="9"/>
      <c r="AZT30" s="9"/>
      <c r="AZU30" s="9"/>
      <c r="AZV30" s="10"/>
      <c r="AZW30" s="11"/>
      <c r="AZX30" s="12"/>
      <c r="AZY30" s="12"/>
      <c r="AZZ30" s="12"/>
      <c r="BAA30" s="13"/>
      <c r="BAB30" s="9"/>
      <c r="BAC30" s="9"/>
      <c r="BAD30" s="9"/>
      <c r="BAE30" s="9"/>
      <c r="BAF30" s="10"/>
      <c r="BAG30" s="11"/>
      <c r="BAH30" s="12"/>
      <c r="BAI30" s="12"/>
      <c r="BAJ30" s="12"/>
      <c r="BAK30" s="13"/>
      <c r="BAL30" s="9"/>
      <c r="BAM30" s="9"/>
      <c r="BAN30" s="9"/>
      <c r="BAO30" s="9"/>
      <c r="BAP30" s="10"/>
      <c r="BAQ30" s="11"/>
      <c r="BAR30" s="12"/>
      <c r="BAS30" s="12"/>
      <c r="BAT30" s="12"/>
      <c r="BAU30" s="13"/>
      <c r="BAV30" s="9"/>
      <c r="BAW30" s="9"/>
      <c r="BAX30" s="9"/>
      <c r="BAY30" s="9"/>
      <c r="BAZ30" s="10"/>
      <c r="BBA30" s="11"/>
      <c r="BBB30" s="12"/>
      <c r="BBC30" s="12"/>
      <c r="BBD30" s="12"/>
      <c r="BBE30" s="13"/>
      <c r="BBF30" s="9"/>
      <c r="BBG30" s="9"/>
      <c r="BBH30" s="9"/>
      <c r="BBI30" s="9"/>
      <c r="BBJ30" s="10"/>
      <c r="BBK30" s="11"/>
      <c r="BBL30" s="12"/>
      <c r="BBM30" s="12"/>
      <c r="BBN30" s="12"/>
      <c r="BBO30" s="13"/>
      <c r="BBP30" s="9"/>
      <c r="BBQ30" s="9"/>
      <c r="BBR30" s="9"/>
      <c r="BBS30" s="9"/>
      <c r="BBT30" s="10"/>
      <c r="BBU30" s="11"/>
      <c r="BBV30" s="12"/>
      <c r="BBW30" s="12"/>
      <c r="BBX30" s="12"/>
      <c r="BBY30" s="13"/>
      <c r="BBZ30" s="9"/>
      <c r="BCA30" s="9"/>
      <c r="BCB30" s="9"/>
      <c r="BCC30" s="9"/>
      <c r="BCD30" s="10"/>
      <c r="BCE30" s="11"/>
      <c r="BCF30" s="12"/>
      <c r="BCG30" s="12"/>
      <c r="BCH30" s="12"/>
      <c r="BCI30" s="13"/>
      <c r="BCJ30" s="9"/>
      <c r="BCK30" s="9"/>
      <c r="BCL30" s="9"/>
      <c r="BCM30" s="9"/>
      <c r="BCN30" s="10"/>
      <c r="BCO30" s="11"/>
      <c r="BCP30" s="12"/>
      <c r="BCQ30" s="12"/>
      <c r="BCR30" s="12"/>
      <c r="BCS30" s="13"/>
      <c r="BCT30" s="9"/>
      <c r="BCU30" s="9"/>
      <c r="BCV30" s="9"/>
      <c r="BCW30" s="9"/>
      <c r="BCX30" s="10"/>
      <c r="BCY30" s="11"/>
      <c r="BCZ30" s="12"/>
      <c r="BDA30" s="12"/>
      <c r="BDB30" s="12"/>
      <c r="BDC30" s="13"/>
      <c r="BDD30" s="9"/>
      <c r="BDE30" s="9"/>
      <c r="BDF30" s="9"/>
      <c r="BDG30" s="9"/>
      <c r="BDH30" s="10"/>
      <c r="BDI30" s="11"/>
      <c r="BDJ30" s="12"/>
      <c r="BDK30" s="12"/>
      <c r="BDL30" s="12"/>
      <c r="BDM30" s="13"/>
      <c r="BDN30" s="9"/>
      <c r="BDO30" s="9"/>
      <c r="BDP30" s="9"/>
      <c r="BDQ30" s="9"/>
      <c r="BDR30" s="10"/>
      <c r="BDS30" s="11"/>
      <c r="BDT30" s="12"/>
      <c r="BDU30" s="12"/>
      <c r="BDV30" s="12"/>
      <c r="BDW30" s="13"/>
      <c r="BDX30" s="9"/>
      <c r="BDY30" s="9"/>
      <c r="BDZ30" s="9"/>
      <c r="BEA30" s="9"/>
      <c r="BEB30" s="10"/>
      <c r="BEC30" s="11"/>
      <c r="BED30" s="12"/>
      <c r="BEE30" s="12"/>
      <c r="BEF30" s="12"/>
      <c r="BEG30" s="13"/>
      <c r="BEH30" s="9"/>
      <c r="BEI30" s="9"/>
      <c r="BEJ30" s="9"/>
      <c r="BEK30" s="9"/>
      <c r="BEL30" s="10"/>
      <c r="BEM30" s="11"/>
      <c r="BEN30" s="12"/>
      <c r="BEO30" s="12"/>
      <c r="BEP30" s="12"/>
      <c r="BEQ30" s="13"/>
      <c r="BER30" s="9"/>
      <c r="BES30" s="9"/>
      <c r="BET30" s="9"/>
      <c r="BEU30" s="9"/>
      <c r="BEV30" s="10"/>
      <c r="BEW30" s="11"/>
      <c r="BEX30" s="12"/>
      <c r="BEY30" s="12"/>
      <c r="BEZ30" s="12"/>
      <c r="BFA30" s="13"/>
      <c r="BFB30" s="9"/>
      <c r="BFC30" s="9"/>
      <c r="BFD30" s="9"/>
      <c r="BFE30" s="9"/>
      <c r="BFF30" s="10"/>
      <c r="BFG30" s="11"/>
      <c r="BFH30" s="12"/>
      <c r="BFI30" s="12"/>
      <c r="BFJ30" s="12"/>
      <c r="BFK30" s="13"/>
      <c r="BFL30" s="9"/>
      <c r="BFM30" s="9"/>
      <c r="BFN30" s="9"/>
      <c r="BFO30" s="9"/>
      <c r="BFP30" s="10"/>
      <c r="BFQ30" s="11"/>
      <c r="BFR30" s="12"/>
      <c r="BFS30" s="12"/>
      <c r="BFT30" s="12"/>
      <c r="BFU30" s="13"/>
      <c r="BFV30" s="9"/>
      <c r="BFW30" s="9"/>
      <c r="BFX30" s="9"/>
      <c r="BFY30" s="9"/>
      <c r="BFZ30" s="10"/>
      <c r="BGA30" s="11"/>
      <c r="BGB30" s="12"/>
      <c r="BGC30" s="12"/>
      <c r="BGD30" s="12"/>
      <c r="BGE30" s="13"/>
      <c r="BGF30" s="9"/>
      <c r="BGG30" s="9"/>
      <c r="BGH30" s="9"/>
      <c r="BGI30" s="9"/>
      <c r="BGJ30" s="10"/>
      <c r="BGK30" s="11"/>
      <c r="BGL30" s="12"/>
      <c r="BGM30" s="12"/>
      <c r="BGN30" s="12"/>
      <c r="BGO30" s="13"/>
      <c r="BGP30" s="9"/>
      <c r="BGQ30" s="9"/>
      <c r="BGR30" s="9"/>
      <c r="BGS30" s="9"/>
      <c r="BGT30" s="10"/>
      <c r="BGU30" s="11"/>
      <c r="BGV30" s="12"/>
      <c r="BGW30" s="12"/>
      <c r="BGX30" s="12"/>
      <c r="BGY30" s="13"/>
      <c r="BGZ30" s="9"/>
      <c r="BHA30" s="9"/>
      <c r="BHB30" s="9"/>
      <c r="BHC30" s="9"/>
      <c r="BHD30" s="10"/>
      <c r="BHE30" s="11"/>
      <c r="BHF30" s="12"/>
      <c r="BHG30" s="12"/>
      <c r="BHH30" s="12"/>
      <c r="BHI30" s="13"/>
      <c r="BHJ30" s="9"/>
      <c r="BHK30" s="9"/>
      <c r="BHL30" s="9"/>
      <c r="BHM30" s="9"/>
      <c r="BHN30" s="10"/>
      <c r="BHO30" s="11"/>
      <c r="BHP30" s="12"/>
      <c r="BHQ30" s="12"/>
      <c r="BHR30" s="12"/>
      <c r="BHS30" s="13"/>
      <c r="BHT30" s="9"/>
      <c r="BHU30" s="9"/>
      <c r="BHV30" s="9"/>
      <c r="BHW30" s="9"/>
      <c r="BHX30" s="10"/>
      <c r="BHY30" s="11"/>
      <c r="BHZ30" s="12"/>
      <c r="BIA30" s="12"/>
      <c r="BIB30" s="12"/>
      <c r="BIC30" s="13"/>
      <c r="BID30" s="9"/>
      <c r="BIE30" s="9"/>
      <c r="BIF30" s="9"/>
      <c r="BIG30" s="9"/>
      <c r="BIH30" s="10"/>
      <c r="BII30" s="11"/>
      <c r="BIJ30" s="12"/>
      <c r="BIK30" s="12"/>
      <c r="BIL30" s="12"/>
      <c r="BIM30" s="13"/>
      <c r="BIN30" s="9"/>
      <c r="BIO30" s="9"/>
      <c r="BIP30" s="9"/>
      <c r="BIQ30" s="9"/>
      <c r="BIR30" s="10"/>
      <c r="BIS30" s="11"/>
      <c r="BIT30" s="12"/>
      <c r="BIU30" s="12"/>
      <c r="BIV30" s="12"/>
      <c r="BIW30" s="13"/>
      <c r="BIX30" s="9"/>
      <c r="BIY30" s="9"/>
      <c r="BIZ30" s="9"/>
      <c r="BJA30" s="9"/>
      <c r="BJB30" s="10"/>
      <c r="BJC30" s="11"/>
      <c r="BJD30" s="12"/>
      <c r="BJE30" s="12"/>
      <c r="BJF30" s="12"/>
      <c r="BJG30" s="13"/>
      <c r="BJH30" s="9"/>
      <c r="BJI30" s="9"/>
      <c r="BJJ30" s="9"/>
      <c r="BJK30" s="9"/>
      <c r="BJL30" s="10"/>
      <c r="BJM30" s="11"/>
      <c r="BJN30" s="12"/>
      <c r="BJO30" s="12"/>
      <c r="BJP30" s="12"/>
      <c r="BJQ30" s="13"/>
      <c r="BJR30" s="9"/>
      <c r="BJS30" s="9"/>
      <c r="BJT30" s="9"/>
      <c r="BJU30" s="9"/>
      <c r="BJV30" s="10"/>
      <c r="BJW30" s="11"/>
      <c r="BJX30" s="12"/>
      <c r="BJY30" s="12"/>
      <c r="BJZ30" s="12"/>
      <c r="BKA30" s="13"/>
      <c r="BKB30" s="9"/>
      <c r="BKC30" s="9"/>
      <c r="BKD30" s="9"/>
      <c r="BKE30" s="9"/>
      <c r="BKF30" s="10"/>
      <c r="BKG30" s="11"/>
      <c r="BKH30" s="12"/>
      <c r="BKI30" s="12"/>
      <c r="BKJ30" s="12"/>
      <c r="BKK30" s="13"/>
      <c r="BKL30" s="9"/>
      <c r="BKM30" s="9"/>
      <c r="BKN30" s="9"/>
      <c r="BKO30" s="9"/>
      <c r="BKP30" s="10"/>
      <c r="BKQ30" s="11"/>
      <c r="BKR30" s="12"/>
      <c r="BKS30" s="12"/>
      <c r="BKT30" s="12"/>
      <c r="BKU30" s="13"/>
      <c r="BKV30" s="9"/>
      <c r="BKW30" s="9"/>
      <c r="BKX30" s="9"/>
      <c r="BKY30" s="9"/>
      <c r="BKZ30" s="10"/>
      <c r="BLA30" s="11"/>
      <c r="BLB30" s="12"/>
      <c r="BLC30" s="12"/>
      <c r="BLD30" s="12"/>
      <c r="BLE30" s="13"/>
      <c r="BLF30" s="9"/>
      <c r="BLG30" s="9"/>
      <c r="BLH30" s="9"/>
      <c r="BLI30" s="9"/>
      <c r="BLJ30" s="10"/>
      <c r="BLK30" s="11"/>
      <c r="BLL30" s="12"/>
      <c r="BLM30" s="12"/>
      <c r="BLN30" s="12"/>
      <c r="BLO30" s="13"/>
      <c r="BLP30" s="9"/>
      <c r="BLQ30" s="9"/>
      <c r="BLR30" s="9"/>
      <c r="BLS30" s="9"/>
      <c r="BLT30" s="10"/>
      <c r="BLU30" s="11"/>
      <c r="BLV30" s="12"/>
      <c r="BLW30" s="12"/>
      <c r="BLX30" s="12"/>
      <c r="BLY30" s="13"/>
      <c r="BLZ30" s="9"/>
      <c r="BMA30" s="9"/>
      <c r="BMB30" s="9"/>
      <c r="BMC30" s="9"/>
      <c r="BMD30" s="10"/>
      <c r="BME30" s="11"/>
      <c r="BMF30" s="12"/>
      <c r="BMG30" s="12"/>
      <c r="BMH30" s="12"/>
      <c r="BMI30" s="13"/>
      <c r="BMJ30" s="9"/>
      <c r="BMK30" s="9"/>
      <c r="BML30" s="9"/>
      <c r="BMM30" s="9"/>
      <c r="BMN30" s="10"/>
      <c r="BMO30" s="11"/>
      <c r="BMP30" s="12"/>
      <c r="BMQ30" s="12"/>
      <c r="BMR30" s="12"/>
      <c r="BMS30" s="13"/>
      <c r="BMT30" s="9"/>
      <c r="BMU30" s="9"/>
      <c r="BMV30" s="9"/>
      <c r="BMW30" s="9"/>
      <c r="BMX30" s="10"/>
      <c r="BMY30" s="11"/>
      <c r="BMZ30" s="12"/>
      <c r="BNA30" s="12"/>
      <c r="BNB30" s="12"/>
      <c r="BNC30" s="13"/>
      <c r="BND30" s="9"/>
      <c r="BNE30" s="9"/>
      <c r="BNF30" s="9"/>
      <c r="BNG30" s="9"/>
      <c r="BNH30" s="10"/>
      <c r="BNI30" s="11"/>
      <c r="BNJ30" s="12"/>
      <c r="BNK30" s="12"/>
      <c r="BNL30" s="12"/>
      <c r="BNM30" s="13"/>
      <c r="BNN30" s="9"/>
      <c r="BNO30" s="9"/>
      <c r="BNP30" s="9"/>
      <c r="BNQ30" s="9"/>
      <c r="BNR30" s="10"/>
      <c r="BNS30" s="11"/>
      <c r="BNT30" s="12"/>
      <c r="BNU30" s="12"/>
      <c r="BNV30" s="12"/>
      <c r="BNW30" s="13"/>
      <c r="BNX30" s="9"/>
      <c r="BNY30" s="9"/>
      <c r="BNZ30" s="9"/>
      <c r="BOA30" s="9"/>
      <c r="BOB30" s="10"/>
      <c r="BOC30" s="11"/>
      <c r="BOD30" s="12"/>
      <c r="BOE30" s="12"/>
      <c r="BOF30" s="12"/>
      <c r="BOG30" s="13"/>
      <c r="BOH30" s="9"/>
      <c r="BOI30" s="9"/>
      <c r="BOJ30" s="9"/>
      <c r="BOK30" s="9"/>
      <c r="BOL30" s="10"/>
      <c r="BOM30" s="11"/>
      <c r="BON30" s="12"/>
      <c r="BOO30" s="12"/>
      <c r="BOP30" s="12"/>
      <c r="BOQ30" s="13"/>
      <c r="BOR30" s="9"/>
      <c r="BOS30" s="9"/>
      <c r="BOT30" s="9"/>
      <c r="BOU30" s="9"/>
      <c r="BOV30" s="10"/>
      <c r="BOW30" s="11"/>
      <c r="BOX30" s="12"/>
      <c r="BOY30" s="12"/>
      <c r="BOZ30" s="12"/>
      <c r="BPA30" s="13"/>
      <c r="BPB30" s="9"/>
      <c r="BPC30" s="9"/>
      <c r="BPD30" s="9"/>
      <c r="BPE30" s="9"/>
      <c r="BPF30" s="10"/>
      <c r="BPG30" s="11"/>
      <c r="BPH30" s="12"/>
      <c r="BPI30" s="12"/>
      <c r="BPJ30" s="12"/>
      <c r="BPK30" s="13"/>
      <c r="BPL30" s="9"/>
      <c r="BPM30" s="9"/>
      <c r="BPN30" s="9"/>
      <c r="BPO30" s="9"/>
      <c r="BPP30" s="10"/>
      <c r="BPQ30" s="11"/>
      <c r="BPR30" s="12"/>
      <c r="BPS30" s="12"/>
      <c r="BPT30" s="12"/>
      <c r="BPU30" s="13"/>
      <c r="BPV30" s="9"/>
      <c r="BPW30" s="9"/>
      <c r="BPX30" s="9"/>
      <c r="BPY30" s="9"/>
      <c r="BPZ30" s="10"/>
      <c r="BQA30" s="11"/>
      <c r="BQB30" s="12"/>
      <c r="BQC30" s="12"/>
      <c r="BQD30" s="12"/>
      <c r="BQE30" s="13"/>
      <c r="BQF30" s="9"/>
      <c r="BQG30" s="9"/>
      <c r="BQH30" s="9"/>
      <c r="BQI30" s="9"/>
      <c r="BQJ30" s="10"/>
      <c r="BQK30" s="11"/>
      <c r="BQL30" s="12"/>
      <c r="BQM30" s="12"/>
      <c r="BQN30" s="12"/>
      <c r="BQO30" s="13"/>
      <c r="BQP30" s="9"/>
      <c r="BQQ30" s="9"/>
      <c r="BQR30" s="9"/>
      <c r="BQS30" s="9"/>
      <c r="BQT30" s="10"/>
      <c r="BQU30" s="11"/>
      <c r="BQV30" s="12"/>
      <c r="BQW30" s="12"/>
      <c r="BQX30" s="12"/>
      <c r="BQY30" s="13"/>
      <c r="BQZ30" s="9"/>
      <c r="BRA30" s="9"/>
      <c r="BRB30" s="9"/>
      <c r="BRC30" s="9"/>
      <c r="BRD30" s="10"/>
      <c r="BRE30" s="11"/>
      <c r="BRF30" s="12"/>
      <c r="BRG30" s="12"/>
      <c r="BRH30" s="12"/>
      <c r="BRI30" s="13"/>
      <c r="BRJ30" s="9"/>
      <c r="BRK30" s="9"/>
      <c r="BRL30" s="9"/>
      <c r="BRM30" s="9"/>
      <c r="BRN30" s="10"/>
      <c r="BRO30" s="11"/>
      <c r="BRP30" s="12"/>
      <c r="BRQ30" s="12"/>
      <c r="BRR30" s="12"/>
      <c r="BRS30" s="13"/>
      <c r="BRT30" s="9"/>
      <c r="BRU30" s="9"/>
      <c r="BRV30" s="9"/>
      <c r="BRW30" s="9"/>
      <c r="BRX30" s="10"/>
      <c r="BRY30" s="11"/>
      <c r="BRZ30" s="12"/>
      <c r="BSA30" s="12"/>
      <c r="BSB30" s="12"/>
      <c r="BSC30" s="13"/>
      <c r="BSD30" s="9"/>
      <c r="BSE30" s="9"/>
      <c r="BSF30" s="9"/>
      <c r="BSG30" s="9"/>
      <c r="BSH30" s="10"/>
      <c r="BSI30" s="11"/>
      <c r="BSJ30" s="12"/>
      <c r="BSK30" s="12"/>
      <c r="BSL30" s="12"/>
      <c r="BSM30" s="13"/>
      <c r="BSN30" s="9"/>
      <c r="BSO30" s="9"/>
      <c r="BSP30" s="9"/>
      <c r="BSQ30" s="9"/>
      <c r="BSR30" s="10"/>
      <c r="BSS30" s="11"/>
      <c r="BST30" s="12"/>
      <c r="BSU30" s="12"/>
      <c r="BSV30" s="12"/>
      <c r="BSW30" s="13"/>
      <c r="BSX30" s="9"/>
      <c r="BSY30" s="9"/>
      <c r="BSZ30" s="9"/>
      <c r="BTA30" s="9"/>
      <c r="BTB30" s="10"/>
      <c r="BTC30" s="11"/>
      <c r="BTD30" s="12"/>
      <c r="BTE30" s="12"/>
      <c r="BTF30" s="12"/>
      <c r="BTG30" s="13"/>
      <c r="BTH30" s="9"/>
      <c r="BTI30" s="9"/>
      <c r="BTJ30" s="9"/>
      <c r="BTK30" s="9"/>
      <c r="BTL30" s="10"/>
      <c r="BTM30" s="11"/>
      <c r="BTN30" s="12"/>
      <c r="BTO30" s="12"/>
      <c r="BTP30" s="12"/>
      <c r="BTQ30" s="13"/>
      <c r="BTR30" s="9"/>
      <c r="BTS30" s="9"/>
      <c r="BTT30" s="9"/>
      <c r="BTU30" s="9"/>
      <c r="BTV30" s="10"/>
      <c r="BTW30" s="11"/>
      <c r="BTX30" s="12"/>
      <c r="BTY30" s="12"/>
      <c r="BTZ30" s="12"/>
      <c r="BUA30" s="13"/>
      <c r="BUB30" s="9"/>
      <c r="BUC30" s="9"/>
      <c r="BUD30" s="9"/>
      <c r="BUE30" s="9"/>
      <c r="BUF30" s="10"/>
      <c r="BUG30" s="11"/>
      <c r="BUH30" s="12"/>
      <c r="BUI30" s="12"/>
      <c r="BUJ30" s="12"/>
      <c r="BUK30" s="13"/>
      <c r="BUL30" s="9"/>
      <c r="BUM30" s="9"/>
      <c r="BUN30" s="9"/>
      <c r="BUO30" s="9"/>
      <c r="BUP30" s="10"/>
      <c r="BUQ30" s="11"/>
      <c r="BUR30" s="12"/>
      <c r="BUS30" s="12"/>
      <c r="BUT30" s="12"/>
      <c r="BUU30" s="13"/>
      <c r="BUV30" s="9"/>
      <c r="BUW30" s="9"/>
      <c r="BUX30" s="9"/>
      <c r="BUY30" s="9"/>
      <c r="BUZ30" s="10"/>
      <c r="BVA30" s="11"/>
      <c r="BVB30" s="12"/>
      <c r="BVC30" s="12"/>
      <c r="BVD30" s="12"/>
      <c r="BVE30" s="13"/>
      <c r="BVF30" s="9"/>
      <c r="BVG30" s="9"/>
      <c r="BVH30" s="9"/>
      <c r="BVI30" s="9"/>
      <c r="BVJ30" s="10"/>
      <c r="BVK30" s="11"/>
      <c r="BVL30" s="12"/>
      <c r="BVM30" s="12"/>
      <c r="BVN30" s="12"/>
      <c r="BVO30" s="13"/>
      <c r="BVP30" s="9"/>
      <c r="BVQ30" s="9"/>
      <c r="BVR30" s="9"/>
      <c r="BVS30" s="9"/>
      <c r="BVT30" s="10"/>
      <c r="BVU30" s="11"/>
      <c r="BVV30" s="12"/>
      <c r="BVW30" s="12"/>
      <c r="BVX30" s="12"/>
      <c r="BVY30" s="13"/>
      <c r="BVZ30" s="9"/>
      <c r="BWA30" s="9"/>
      <c r="BWB30" s="9"/>
      <c r="BWC30" s="9"/>
      <c r="BWD30" s="10"/>
      <c r="BWE30" s="11"/>
      <c r="BWF30" s="12"/>
      <c r="BWG30" s="12"/>
      <c r="BWH30" s="12"/>
      <c r="BWI30" s="13"/>
      <c r="BWJ30" s="9"/>
      <c r="BWK30" s="9"/>
      <c r="BWL30" s="9"/>
      <c r="BWM30" s="9"/>
      <c r="BWN30" s="10"/>
      <c r="BWO30" s="11"/>
      <c r="BWP30" s="12"/>
      <c r="BWQ30" s="12"/>
      <c r="BWR30" s="12"/>
      <c r="BWS30" s="13"/>
      <c r="BWT30" s="9"/>
      <c r="BWU30" s="9"/>
      <c r="BWV30" s="9"/>
      <c r="BWW30" s="9"/>
      <c r="BWX30" s="10"/>
      <c r="BWY30" s="11"/>
      <c r="BWZ30" s="12"/>
      <c r="BXA30" s="12"/>
      <c r="BXB30" s="12"/>
      <c r="BXC30" s="13"/>
      <c r="BXD30" s="9"/>
      <c r="BXE30" s="9"/>
      <c r="BXF30" s="9"/>
      <c r="BXG30" s="9"/>
      <c r="BXH30" s="10"/>
      <c r="BXI30" s="11"/>
      <c r="BXJ30" s="12"/>
      <c r="BXK30" s="12"/>
      <c r="BXL30" s="12"/>
      <c r="BXM30" s="13"/>
      <c r="BXN30" s="9"/>
      <c r="BXO30" s="9"/>
      <c r="BXP30" s="9"/>
      <c r="BXQ30" s="9"/>
      <c r="BXR30" s="10"/>
      <c r="BXS30" s="11"/>
      <c r="BXT30" s="12"/>
      <c r="BXU30" s="12"/>
      <c r="BXV30" s="12"/>
      <c r="BXW30" s="13"/>
      <c r="BXX30" s="9"/>
      <c r="BXY30" s="9"/>
      <c r="BXZ30" s="9"/>
      <c r="BYA30" s="9"/>
      <c r="BYB30" s="10"/>
      <c r="BYC30" s="11"/>
      <c r="BYD30" s="12"/>
      <c r="BYE30" s="12"/>
      <c r="BYF30" s="12"/>
      <c r="BYG30" s="13"/>
      <c r="BYH30" s="9"/>
      <c r="BYI30" s="9"/>
      <c r="BYJ30" s="9"/>
      <c r="BYK30" s="9"/>
      <c r="BYL30" s="10"/>
      <c r="BYM30" s="11"/>
      <c r="BYN30" s="12"/>
      <c r="BYO30" s="12"/>
      <c r="BYP30" s="12"/>
      <c r="BYQ30" s="13"/>
      <c r="BYR30" s="9"/>
      <c r="BYS30" s="9"/>
      <c r="BYT30" s="9"/>
      <c r="BYU30" s="9"/>
      <c r="BYV30" s="10"/>
      <c r="BYW30" s="11"/>
      <c r="BYX30" s="12"/>
      <c r="BYY30" s="12"/>
      <c r="BYZ30" s="12"/>
      <c r="BZA30" s="13"/>
      <c r="BZB30" s="9"/>
      <c r="BZC30" s="9"/>
      <c r="BZD30" s="9"/>
      <c r="BZE30" s="9"/>
      <c r="BZF30" s="10"/>
      <c r="BZG30" s="11"/>
      <c r="BZH30" s="12"/>
      <c r="BZI30" s="12"/>
      <c r="BZJ30" s="12"/>
      <c r="BZK30" s="13"/>
      <c r="BZL30" s="9"/>
      <c r="BZM30" s="9"/>
      <c r="BZN30" s="9"/>
      <c r="BZO30" s="9"/>
      <c r="BZP30" s="10"/>
      <c r="BZQ30" s="11"/>
      <c r="BZR30" s="12"/>
      <c r="BZS30" s="12"/>
      <c r="BZT30" s="12"/>
      <c r="BZU30" s="13"/>
      <c r="BZV30" s="9"/>
      <c r="BZW30" s="9"/>
      <c r="BZX30" s="9"/>
      <c r="BZY30" s="9"/>
      <c r="BZZ30" s="10"/>
      <c r="CAA30" s="11"/>
      <c r="CAB30" s="12"/>
      <c r="CAC30" s="12"/>
      <c r="CAD30" s="12"/>
      <c r="CAE30" s="13"/>
      <c r="CAF30" s="9"/>
      <c r="CAG30" s="9"/>
      <c r="CAH30" s="9"/>
      <c r="CAI30" s="9"/>
      <c r="CAJ30" s="10"/>
      <c r="CAK30" s="11"/>
      <c r="CAL30" s="12"/>
      <c r="CAM30" s="12"/>
      <c r="CAN30" s="12"/>
      <c r="CAO30" s="13"/>
      <c r="CAP30" s="9"/>
      <c r="CAQ30" s="9"/>
      <c r="CAR30" s="9"/>
      <c r="CAS30" s="9"/>
      <c r="CAT30" s="10"/>
      <c r="CAU30" s="11"/>
      <c r="CAV30" s="12"/>
      <c r="CAW30" s="12"/>
      <c r="CAX30" s="12"/>
      <c r="CAY30" s="13"/>
      <c r="CAZ30" s="9"/>
      <c r="CBA30" s="9"/>
      <c r="CBB30" s="9"/>
      <c r="CBC30" s="9"/>
      <c r="CBD30" s="10"/>
      <c r="CBE30" s="11"/>
      <c r="CBF30" s="12"/>
      <c r="CBG30" s="12"/>
      <c r="CBH30" s="12"/>
      <c r="CBI30" s="13"/>
      <c r="CBJ30" s="9"/>
      <c r="CBK30" s="9"/>
      <c r="CBL30" s="9"/>
      <c r="CBM30" s="9"/>
      <c r="CBN30" s="10"/>
      <c r="CBO30" s="11"/>
      <c r="CBP30" s="12"/>
      <c r="CBQ30" s="12"/>
      <c r="CBR30" s="12"/>
      <c r="CBS30" s="13"/>
      <c r="CBT30" s="9"/>
      <c r="CBU30" s="9"/>
      <c r="CBV30" s="9"/>
      <c r="CBW30" s="9"/>
      <c r="CBX30" s="10"/>
      <c r="CBY30" s="11"/>
      <c r="CBZ30" s="12"/>
      <c r="CCA30" s="12"/>
      <c r="CCB30" s="12"/>
      <c r="CCC30" s="13"/>
      <c r="CCD30" s="9"/>
      <c r="CCE30" s="9"/>
      <c r="CCF30" s="9"/>
      <c r="CCG30" s="9"/>
      <c r="CCH30" s="10"/>
      <c r="CCI30" s="11"/>
      <c r="CCJ30" s="12"/>
      <c r="CCK30" s="12"/>
      <c r="CCL30" s="12"/>
      <c r="CCM30" s="13"/>
      <c r="CCN30" s="9"/>
      <c r="CCO30" s="9"/>
      <c r="CCP30" s="9"/>
      <c r="CCQ30" s="9"/>
      <c r="CCR30" s="10"/>
      <c r="CCS30" s="11"/>
      <c r="CCT30" s="12"/>
      <c r="CCU30" s="12"/>
      <c r="CCV30" s="12"/>
      <c r="CCW30" s="13"/>
      <c r="CCX30" s="9"/>
      <c r="CCY30" s="9"/>
      <c r="CCZ30" s="9"/>
      <c r="CDA30" s="9"/>
      <c r="CDB30" s="10"/>
      <c r="CDC30" s="11"/>
      <c r="CDD30" s="12"/>
      <c r="CDE30" s="12"/>
      <c r="CDF30" s="12"/>
      <c r="CDG30" s="13"/>
      <c r="CDH30" s="9"/>
      <c r="CDI30" s="9"/>
      <c r="CDJ30" s="9"/>
      <c r="CDK30" s="9"/>
      <c r="CDL30" s="10"/>
      <c r="CDM30" s="11"/>
      <c r="CDN30" s="12"/>
      <c r="CDO30" s="12"/>
      <c r="CDP30" s="12"/>
      <c r="CDQ30" s="13"/>
      <c r="CDR30" s="9"/>
      <c r="CDS30" s="9"/>
      <c r="CDT30" s="9"/>
      <c r="CDU30" s="9"/>
      <c r="CDV30" s="10"/>
      <c r="CDW30" s="11"/>
      <c r="CDX30" s="12"/>
      <c r="CDY30" s="12"/>
      <c r="CDZ30" s="12"/>
      <c r="CEA30" s="13"/>
      <c r="CEB30" s="9"/>
      <c r="CEC30" s="9"/>
      <c r="CED30" s="9"/>
      <c r="CEE30" s="9"/>
      <c r="CEF30" s="10"/>
      <c r="CEG30" s="11"/>
      <c r="CEH30" s="12"/>
      <c r="CEI30" s="12"/>
      <c r="CEJ30" s="12"/>
      <c r="CEK30" s="13"/>
      <c r="CEL30" s="9"/>
      <c r="CEM30" s="9"/>
      <c r="CEN30" s="9"/>
      <c r="CEO30" s="9"/>
      <c r="CEP30" s="10"/>
      <c r="CEQ30" s="11"/>
      <c r="CER30" s="12"/>
      <c r="CES30" s="12"/>
      <c r="CET30" s="12"/>
      <c r="CEU30" s="13"/>
      <c r="CEV30" s="9"/>
      <c r="CEW30" s="9"/>
      <c r="CEX30" s="9"/>
      <c r="CEY30" s="9"/>
      <c r="CEZ30" s="10"/>
      <c r="CFA30" s="11"/>
      <c r="CFB30" s="12"/>
      <c r="CFC30" s="12"/>
      <c r="CFD30" s="12"/>
      <c r="CFE30" s="13"/>
      <c r="CFF30" s="9"/>
      <c r="CFG30" s="9"/>
      <c r="CFH30" s="9"/>
      <c r="CFI30" s="9"/>
      <c r="CFJ30" s="10"/>
      <c r="CFK30" s="11"/>
      <c r="CFL30" s="12"/>
      <c r="CFM30" s="12"/>
      <c r="CFN30" s="12"/>
      <c r="CFO30" s="13"/>
      <c r="CFP30" s="9"/>
      <c r="CFQ30" s="9"/>
      <c r="CFR30" s="9"/>
      <c r="CFS30" s="9"/>
      <c r="CFT30" s="10"/>
      <c r="CFU30" s="11"/>
      <c r="CFV30" s="12"/>
      <c r="CFW30" s="12"/>
      <c r="CFX30" s="12"/>
      <c r="CFY30" s="13"/>
      <c r="CFZ30" s="9"/>
      <c r="CGA30" s="9"/>
      <c r="CGB30" s="9"/>
      <c r="CGC30" s="9"/>
      <c r="CGD30" s="10"/>
      <c r="CGE30" s="11"/>
      <c r="CGF30" s="12"/>
      <c r="CGG30" s="12"/>
      <c r="CGH30" s="12"/>
      <c r="CGI30" s="13"/>
      <c r="CGJ30" s="9"/>
      <c r="CGK30" s="9"/>
      <c r="CGL30" s="9"/>
      <c r="CGM30" s="9"/>
      <c r="CGN30" s="10"/>
      <c r="CGO30" s="11"/>
      <c r="CGP30" s="12"/>
      <c r="CGQ30" s="12"/>
      <c r="CGR30" s="12"/>
      <c r="CGS30" s="13"/>
      <c r="CGT30" s="9"/>
      <c r="CGU30" s="9"/>
      <c r="CGV30" s="9"/>
      <c r="CGW30" s="9"/>
      <c r="CGX30" s="10"/>
      <c r="CGY30" s="11"/>
      <c r="CGZ30" s="12"/>
      <c r="CHA30" s="12"/>
      <c r="CHB30" s="12"/>
      <c r="CHC30" s="13"/>
      <c r="CHD30" s="9"/>
      <c r="CHE30" s="9"/>
      <c r="CHF30" s="9"/>
      <c r="CHG30" s="9"/>
      <c r="CHH30" s="10"/>
      <c r="CHI30" s="11"/>
      <c r="CHJ30" s="12"/>
      <c r="CHK30" s="12"/>
      <c r="CHL30" s="12"/>
      <c r="CHM30" s="13"/>
      <c r="CHN30" s="9"/>
      <c r="CHO30" s="9"/>
      <c r="CHP30" s="9"/>
      <c r="CHQ30" s="9"/>
      <c r="CHR30" s="10"/>
      <c r="CHS30" s="11"/>
      <c r="CHT30" s="12"/>
      <c r="CHU30" s="12"/>
      <c r="CHV30" s="12"/>
      <c r="CHW30" s="13"/>
      <c r="CHX30" s="9"/>
      <c r="CHY30" s="9"/>
      <c r="CHZ30" s="9"/>
      <c r="CIA30" s="9"/>
      <c r="CIB30" s="10"/>
      <c r="CIC30" s="11"/>
      <c r="CID30" s="12"/>
      <c r="CIE30" s="12"/>
      <c r="CIF30" s="12"/>
      <c r="CIG30" s="13"/>
      <c r="CIH30" s="9"/>
      <c r="CII30" s="9"/>
      <c r="CIJ30" s="9"/>
      <c r="CIK30" s="9"/>
      <c r="CIL30" s="10"/>
      <c r="CIM30" s="11"/>
      <c r="CIN30" s="12"/>
      <c r="CIO30" s="12"/>
      <c r="CIP30" s="12"/>
      <c r="CIQ30" s="13"/>
      <c r="CIR30" s="9"/>
      <c r="CIS30" s="9"/>
      <c r="CIT30" s="9"/>
      <c r="CIU30" s="9"/>
      <c r="CIV30" s="10"/>
      <c r="CIW30" s="11"/>
      <c r="CIX30" s="12"/>
      <c r="CIY30" s="12"/>
      <c r="CIZ30" s="12"/>
      <c r="CJA30" s="13"/>
      <c r="CJB30" s="9"/>
      <c r="CJC30" s="9"/>
      <c r="CJD30" s="9"/>
      <c r="CJE30" s="9"/>
      <c r="CJF30" s="10"/>
      <c r="CJG30" s="11"/>
      <c r="CJH30" s="12"/>
      <c r="CJI30" s="12"/>
      <c r="CJJ30" s="12"/>
      <c r="CJK30" s="13"/>
      <c r="CJL30" s="9"/>
      <c r="CJM30" s="9"/>
      <c r="CJN30" s="9"/>
      <c r="CJO30" s="9"/>
      <c r="CJP30" s="10"/>
      <c r="CJQ30" s="11"/>
      <c r="CJR30" s="12"/>
      <c r="CJS30" s="12"/>
      <c r="CJT30" s="12"/>
      <c r="CJU30" s="13"/>
      <c r="CJV30" s="9"/>
      <c r="CJW30" s="9"/>
      <c r="CJX30" s="9"/>
      <c r="CJY30" s="9"/>
      <c r="CJZ30" s="10"/>
      <c r="CKA30" s="11"/>
      <c r="CKB30" s="12"/>
      <c r="CKC30" s="12"/>
      <c r="CKD30" s="12"/>
      <c r="CKE30" s="13"/>
      <c r="CKF30" s="9"/>
      <c r="CKG30" s="9"/>
      <c r="CKH30" s="9"/>
      <c r="CKI30" s="9"/>
      <c r="CKJ30" s="10"/>
      <c r="CKK30" s="11"/>
      <c r="CKL30" s="12"/>
      <c r="CKM30" s="12"/>
      <c r="CKN30" s="12"/>
      <c r="CKO30" s="13"/>
      <c r="CKP30" s="9"/>
      <c r="CKQ30" s="9"/>
      <c r="CKR30" s="9"/>
      <c r="CKS30" s="9"/>
      <c r="CKT30" s="10"/>
      <c r="CKU30" s="11"/>
      <c r="CKV30" s="12"/>
      <c r="CKW30" s="12"/>
      <c r="CKX30" s="12"/>
      <c r="CKY30" s="13"/>
      <c r="CKZ30" s="9"/>
      <c r="CLA30" s="9"/>
      <c r="CLB30" s="9"/>
      <c r="CLC30" s="9"/>
      <c r="CLD30" s="10"/>
      <c r="CLE30" s="11"/>
      <c r="CLF30" s="12"/>
      <c r="CLG30" s="12"/>
      <c r="CLH30" s="12"/>
      <c r="CLI30" s="13"/>
      <c r="CLJ30" s="9"/>
      <c r="CLK30" s="9"/>
      <c r="CLL30" s="9"/>
      <c r="CLM30" s="9"/>
      <c r="CLN30" s="10"/>
      <c r="CLO30" s="11"/>
      <c r="CLP30" s="12"/>
      <c r="CLQ30" s="12"/>
      <c r="CLR30" s="12"/>
      <c r="CLS30" s="13"/>
      <c r="CLT30" s="9"/>
      <c r="CLU30" s="9"/>
      <c r="CLV30" s="9"/>
      <c r="CLW30" s="9"/>
      <c r="CLX30" s="10"/>
      <c r="CLY30" s="11"/>
      <c r="CLZ30" s="12"/>
      <c r="CMA30" s="12"/>
      <c r="CMB30" s="12"/>
      <c r="CMC30" s="13"/>
      <c r="CMD30" s="9"/>
      <c r="CME30" s="9"/>
      <c r="CMF30" s="9"/>
      <c r="CMG30" s="9"/>
      <c r="CMH30" s="10"/>
      <c r="CMI30" s="11"/>
      <c r="CMJ30" s="12"/>
      <c r="CMK30" s="12"/>
      <c r="CML30" s="12"/>
      <c r="CMM30" s="13"/>
      <c r="CMN30" s="9"/>
      <c r="CMO30" s="9"/>
      <c r="CMP30" s="9"/>
      <c r="CMQ30" s="9"/>
      <c r="CMR30" s="10"/>
      <c r="CMS30" s="11"/>
      <c r="CMT30" s="12"/>
      <c r="CMU30" s="12"/>
      <c r="CMV30" s="12"/>
      <c r="CMW30" s="13"/>
      <c r="CMX30" s="9"/>
      <c r="CMY30" s="9"/>
      <c r="CMZ30" s="9"/>
      <c r="CNA30" s="9"/>
      <c r="CNB30" s="10"/>
      <c r="CNC30" s="11"/>
      <c r="CND30" s="12"/>
      <c r="CNE30" s="12"/>
      <c r="CNF30" s="12"/>
      <c r="CNG30" s="13"/>
      <c r="CNH30" s="9"/>
      <c r="CNI30" s="9"/>
      <c r="CNJ30" s="9"/>
      <c r="CNK30" s="9"/>
      <c r="CNL30" s="10"/>
      <c r="CNM30" s="11"/>
      <c r="CNN30" s="12"/>
      <c r="CNO30" s="12"/>
      <c r="CNP30" s="12"/>
      <c r="CNQ30" s="13"/>
      <c r="CNR30" s="9"/>
      <c r="CNS30" s="9"/>
      <c r="CNT30" s="9"/>
      <c r="CNU30" s="9"/>
      <c r="CNV30" s="10"/>
      <c r="CNW30" s="11"/>
      <c r="CNX30" s="12"/>
      <c r="CNY30" s="12"/>
      <c r="CNZ30" s="12"/>
      <c r="COA30" s="13"/>
      <c r="COB30" s="9"/>
      <c r="COC30" s="9"/>
      <c r="COD30" s="9"/>
      <c r="COE30" s="9"/>
      <c r="COF30" s="10"/>
      <c r="COG30" s="11"/>
      <c r="COH30" s="12"/>
      <c r="COI30" s="12"/>
      <c r="COJ30" s="12"/>
      <c r="COK30" s="13"/>
      <c r="COL30" s="9"/>
      <c r="COM30" s="9"/>
      <c r="CON30" s="9"/>
      <c r="COO30" s="9"/>
      <c r="COP30" s="10"/>
      <c r="COQ30" s="11"/>
      <c r="COR30" s="12"/>
      <c r="COS30" s="12"/>
      <c r="COT30" s="12"/>
      <c r="COU30" s="13"/>
      <c r="COV30" s="9"/>
      <c r="COW30" s="9"/>
      <c r="COX30" s="9"/>
      <c r="COY30" s="9"/>
      <c r="COZ30" s="10"/>
      <c r="CPA30" s="11"/>
      <c r="CPB30" s="12"/>
      <c r="CPC30" s="12"/>
      <c r="CPD30" s="12"/>
      <c r="CPE30" s="13"/>
      <c r="CPF30" s="9"/>
      <c r="CPG30" s="9"/>
      <c r="CPH30" s="9"/>
      <c r="CPI30" s="9"/>
      <c r="CPJ30" s="10"/>
      <c r="CPK30" s="11"/>
      <c r="CPL30" s="12"/>
      <c r="CPM30" s="12"/>
      <c r="CPN30" s="12"/>
      <c r="CPO30" s="13"/>
      <c r="CPP30" s="9"/>
      <c r="CPQ30" s="9"/>
      <c r="CPR30" s="9"/>
      <c r="CPS30" s="9"/>
      <c r="CPT30" s="10"/>
      <c r="CPU30" s="11"/>
      <c r="CPV30" s="12"/>
      <c r="CPW30" s="12"/>
      <c r="CPX30" s="12"/>
      <c r="CPY30" s="13"/>
      <c r="CPZ30" s="9"/>
      <c r="CQA30" s="9"/>
      <c r="CQB30" s="9"/>
      <c r="CQC30" s="9"/>
      <c r="CQD30" s="10"/>
      <c r="CQE30" s="11"/>
      <c r="CQF30" s="12"/>
      <c r="CQG30" s="12"/>
      <c r="CQH30" s="12"/>
      <c r="CQI30" s="13"/>
      <c r="CQJ30" s="9"/>
      <c r="CQK30" s="9"/>
      <c r="CQL30" s="9"/>
      <c r="CQM30" s="9"/>
      <c r="CQN30" s="10"/>
      <c r="CQO30" s="11"/>
      <c r="CQP30" s="12"/>
      <c r="CQQ30" s="12"/>
      <c r="CQR30" s="12"/>
      <c r="CQS30" s="13"/>
      <c r="CQT30" s="9"/>
      <c r="CQU30" s="9"/>
      <c r="CQV30" s="9"/>
      <c r="CQW30" s="9"/>
      <c r="CQX30" s="10"/>
      <c r="CQY30" s="11"/>
      <c r="CQZ30" s="12"/>
      <c r="CRA30" s="12"/>
      <c r="CRB30" s="12"/>
      <c r="CRC30" s="13"/>
      <c r="CRD30" s="9"/>
      <c r="CRE30" s="9"/>
      <c r="CRF30" s="9"/>
      <c r="CRG30" s="9"/>
      <c r="CRH30" s="10"/>
      <c r="CRI30" s="11"/>
      <c r="CRJ30" s="12"/>
      <c r="CRK30" s="12"/>
      <c r="CRL30" s="12"/>
      <c r="CRM30" s="13"/>
      <c r="CRN30" s="9"/>
      <c r="CRO30" s="9"/>
      <c r="CRP30" s="9"/>
      <c r="CRQ30" s="9"/>
      <c r="CRR30" s="10"/>
      <c r="CRS30" s="11"/>
      <c r="CRT30" s="12"/>
      <c r="CRU30" s="12"/>
      <c r="CRV30" s="12"/>
      <c r="CRW30" s="13"/>
      <c r="CRX30" s="9"/>
      <c r="CRY30" s="9"/>
      <c r="CRZ30" s="9"/>
      <c r="CSA30" s="9"/>
      <c r="CSB30" s="10"/>
      <c r="CSC30" s="11"/>
      <c r="CSD30" s="12"/>
      <c r="CSE30" s="12"/>
      <c r="CSF30" s="12"/>
      <c r="CSG30" s="13"/>
      <c r="CSH30" s="9"/>
      <c r="CSI30" s="9"/>
      <c r="CSJ30" s="9"/>
      <c r="CSK30" s="9"/>
      <c r="CSL30" s="10"/>
      <c r="CSM30" s="11"/>
      <c r="CSN30" s="12"/>
      <c r="CSO30" s="12"/>
      <c r="CSP30" s="12"/>
      <c r="CSQ30" s="13"/>
      <c r="CSR30" s="9"/>
      <c r="CSS30" s="9"/>
      <c r="CST30" s="9"/>
      <c r="CSU30" s="9"/>
      <c r="CSV30" s="10"/>
      <c r="CSW30" s="11"/>
      <c r="CSX30" s="12"/>
      <c r="CSY30" s="12"/>
      <c r="CSZ30" s="12"/>
      <c r="CTA30" s="13"/>
      <c r="CTB30" s="9"/>
      <c r="CTC30" s="9"/>
      <c r="CTD30" s="9"/>
      <c r="CTE30" s="9"/>
      <c r="CTF30" s="10"/>
      <c r="CTG30" s="11"/>
      <c r="CTH30" s="12"/>
      <c r="CTI30" s="12"/>
      <c r="CTJ30" s="12"/>
      <c r="CTK30" s="13"/>
      <c r="CTL30" s="9"/>
      <c r="CTM30" s="9"/>
      <c r="CTN30" s="9"/>
      <c r="CTO30" s="9"/>
      <c r="CTP30" s="10"/>
      <c r="CTQ30" s="11"/>
      <c r="CTR30" s="12"/>
      <c r="CTS30" s="12"/>
      <c r="CTT30" s="12"/>
      <c r="CTU30" s="13"/>
      <c r="CTV30" s="9"/>
      <c r="CTW30" s="9"/>
      <c r="CTX30" s="9"/>
      <c r="CTY30" s="9"/>
      <c r="CTZ30" s="10"/>
      <c r="CUA30" s="11"/>
      <c r="CUB30" s="12"/>
      <c r="CUC30" s="12"/>
      <c r="CUD30" s="12"/>
      <c r="CUE30" s="13"/>
      <c r="CUF30" s="9"/>
      <c r="CUG30" s="9"/>
      <c r="CUH30" s="9"/>
      <c r="CUI30" s="9"/>
      <c r="CUJ30" s="10"/>
      <c r="CUK30" s="11"/>
      <c r="CUL30" s="12"/>
      <c r="CUM30" s="12"/>
      <c r="CUN30" s="12"/>
      <c r="CUO30" s="13"/>
      <c r="CUP30" s="9"/>
      <c r="CUQ30" s="9"/>
      <c r="CUR30" s="9"/>
      <c r="CUS30" s="9"/>
      <c r="CUT30" s="10"/>
      <c r="CUU30" s="11"/>
      <c r="CUV30" s="12"/>
      <c r="CUW30" s="12"/>
      <c r="CUX30" s="12"/>
      <c r="CUY30" s="13"/>
      <c r="CUZ30" s="9"/>
      <c r="CVA30" s="9"/>
      <c r="CVB30" s="9"/>
      <c r="CVC30" s="9"/>
      <c r="CVD30" s="10"/>
      <c r="CVE30" s="11"/>
      <c r="CVF30" s="12"/>
      <c r="CVG30" s="12"/>
      <c r="CVH30" s="12"/>
      <c r="CVI30" s="13"/>
      <c r="CVJ30" s="9"/>
      <c r="CVK30" s="9"/>
      <c r="CVL30" s="9"/>
      <c r="CVM30" s="9"/>
      <c r="CVN30" s="10"/>
      <c r="CVO30" s="11"/>
      <c r="CVP30" s="12"/>
      <c r="CVQ30" s="12"/>
      <c r="CVR30" s="12"/>
      <c r="CVS30" s="13"/>
      <c r="CVT30" s="9"/>
      <c r="CVU30" s="9"/>
      <c r="CVV30" s="9"/>
      <c r="CVW30" s="9"/>
      <c r="CVX30" s="10"/>
      <c r="CVY30" s="11"/>
      <c r="CVZ30" s="12"/>
      <c r="CWA30" s="12"/>
      <c r="CWB30" s="12"/>
      <c r="CWC30" s="13"/>
      <c r="CWD30" s="9"/>
      <c r="CWE30" s="9"/>
      <c r="CWF30" s="9"/>
      <c r="CWG30" s="9"/>
      <c r="CWH30" s="10"/>
      <c r="CWI30" s="11"/>
      <c r="CWJ30" s="12"/>
      <c r="CWK30" s="12"/>
      <c r="CWL30" s="12"/>
      <c r="CWM30" s="13"/>
      <c r="CWN30" s="9"/>
      <c r="CWO30" s="9"/>
      <c r="CWP30" s="9"/>
      <c r="CWQ30" s="9"/>
      <c r="CWR30" s="10"/>
      <c r="CWS30" s="11"/>
      <c r="CWT30" s="12"/>
      <c r="CWU30" s="12"/>
      <c r="CWV30" s="12"/>
      <c r="CWW30" s="13"/>
      <c r="CWX30" s="9"/>
      <c r="CWY30" s="9"/>
      <c r="CWZ30" s="9"/>
      <c r="CXA30" s="9"/>
      <c r="CXB30" s="10"/>
      <c r="CXC30" s="11"/>
      <c r="CXD30" s="12"/>
      <c r="CXE30" s="12"/>
      <c r="CXF30" s="12"/>
      <c r="CXG30" s="13"/>
      <c r="CXH30" s="9"/>
      <c r="CXI30" s="9"/>
      <c r="CXJ30" s="9"/>
      <c r="CXK30" s="9"/>
      <c r="CXL30" s="10"/>
      <c r="CXM30" s="11"/>
      <c r="CXN30" s="12"/>
      <c r="CXO30" s="12"/>
      <c r="CXP30" s="12"/>
      <c r="CXQ30" s="13"/>
      <c r="CXR30" s="9"/>
      <c r="CXS30" s="9"/>
      <c r="CXT30" s="9"/>
      <c r="CXU30" s="9"/>
      <c r="CXV30" s="10"/>
      <c r="CXW30" s="11"/>
      <c r="CXX30" s="12"/>
      <c r="CXY30" s="12"/>
      <c r="CXZ30" s="12"/>
      <c r="CYA30" s="13"/>
      <c r="CYB30" s="9"/>
      <c r="CYC30" s="9"/>
      <c r="CYD30" s="9"/>
      <c r="CYE30" s="9"/>
      <c r="CYF30" s="10"/>
      <c r="CYG30" s="11"/>
      <c r="CYH30" s="12"/>
      <c r="CYI30" s="12"/>
      <c r="CYJ30" s="12"/>
      <c r="CYK30" s="13"/>
      <c r="CYL30" s="9"/>
      <c r="CYM30" s="9"/>
      <c r="CYN30" s="9"/>
      <c r="CYO30" s="9"/>
      <c r="CYP30" s="10"/>
      <c r="CYQ30" s="11"/>
      <c r="CYR30" s="12"/>
      <c r="CYS30" s="12"/>
      <c r="CYT30" s="12"/>
      <c r="CYU30" s="13"/>
      <c r="CYV30" s="9"/>
      <c r="CYW30" s="9"/>
      <c r="CYX30" s="9"/>
      <c r="CYY30" s="9"/>
      <c r="CYZ30" s="10"/>
      <c r="CZA30" s="11"/>
      <c r="CZB30" s="12"/>
      <c r="CZC30" s="12"/>
      <c r="CZD30" s="12"/>
      <c r="CZE30" s="13"/>
      <c r="CZF30" s="9"/>
      <c r="CZG30" s="9"/>
      <c r="CZH30" s="9"/>
      <c r="CZI30" s="9"/>
      <c r="CZJ30" s="10"/>
      <c r="CZK30" s="11"/>
      <c r="CZL30" s="12"/>
      <c r="CZM30" s="12"/>
      <c r="CZN30" s="12"/>
      <c r="CZO30" s="13"/>
      <c r="CZP30" s="9"/>
      <c r="CZQ30" s="9"/>
      <c r="CZR30" s="9"/>
      <c r="CZS30" s="9"/>
      <c r="CZT30" s="10"/>
      <c r="CZU30" s="11"/>
      <c r="CZV30" s="12"/>
      <c r="CZW30" s="12"/>
      <c r="CZX30" s="12"/>
      <c r="CZY30" s="13"/>
      <c r="CZZ30" s="9"/>
      <c r="DAA30" s="9"/>
      <c r="DAB30" s="9"/>
      <c r="DAC30" s="9"/>
      <c r="DAD30" s="10"/>
      <c r="DAE30" s="11"/>
      <c r="DAF30" s="12"/>
      <c r="DAG30" s="12"/>
      <c r="DAH30" s="12"/>
      <c r="DAI30" s="13"/>
      <c r="DAJ30" s="9"/>
      <c r="DAK30" s="9"/>
      <c r="DAL30" s="9"/>
      <c r="DAM30" s="9"/>
      <c r="DAN30" s="10"/>
      <c r="DAO30" s="11"/>
      <c r="DAP30" s="12"/>
      <c r="DAQ30" s="12"/>
      <c r="DAR30" s="12"/>
      <c r="DAS30" s="13"/>
      <c r="DAT30" s="9"/>
      <c r="DAU30" s="9"/>
      <c r="DAV30" s="9"/>
      <c r="DAW30" s="9"/>
      <c r="DAX30" s="10"/>
      <c r="DAY30" s="11"/>
      <c r="DAZ30" s="12"/>
      <c r="DBA30" s="12"/>
      <c r="DBB30" s="12"/>
      <c r="DBC30" s="13"/>
      <c r="DBD30" s="9"/>
      <c r="DBE30" s="9"/>
      <c r="DBF30" s="9"/>
      <c r="DBG30" s="9"/>
      <c r="DBH30" s="10"/>
      <c r="DBI30" s="11"/>
      <c r="DBJ30" s="12"/>
      <c r="DBK30" s="12"/>
      <c r="DBL30" s="12"/>
      <c r="DBM30" s="13"/>
      <c r="DBN30" s="9"/>
      <c r="DBO30" s="9"/>
      <c r="DBP30" s="9"/>
      <c r="DBQ30" s="9"/>
      <c r="DBR30" s="10"/>
      <c r="DBS30" s="11"/>
      <c r="DBT30" s="12"/>
      <c r="DBU30" s="12"/>
      <c r="DBV30" s="12"/>
      <c r="DBW30" s="13"/>
      <c r="DBX30" s="9"/>
      <c r="DBY30" s="9"/>
      <c r="DBZ30" s="9"/>
      <c r="DCA30" s="9"/>
      <c r="DCB30" s="10"/>
      <c r="DCC30" s="11"/>
      <c r="DCD30" s="12"/>
      <c r="DCE30" s="12"/>
      <c r="DCF30" s="12"/>
      <c r="DCG30" s="13"/>
      <c r="DCH30" s="9"/>
      <c r="DCI30" s="9"/>
      <c r="DCJ30" s="9"/>
      <c r="DCK30" s="9"/>
      <c r="DCL30" s="10"/>
      <c r="DCM30" s="11"/>
      <c r="DCN30" s="12"/>
      <c r="DCO30" s="12"/>
      <c r="DCP30" s="12"/>
      <c r="DCQ30" s="13"/>
      <c r="DCR30" s="9"/>
      <c r="DCS30" s="9"/>
      <c r="DCT30" s="9"/>
      <c r="DCU30" s="9"/>
      <c r="DCV30" s="10"/>
      <c r="DCW30" s="11"/>
      <c r="DCX30" s="12"/>
      <c r="DCY30" s="12"/>
      <c r="DCZ30" s="12"/>
      <c r="DDA30" s="13"/>
      <c r="DDB30" s="9"/>
      <c r="DDC30" s="9"/>
      <c r="DDD30" s="9"/>
      <c r="DDE30" s="9"/>
      <c r="DDF30" s="10"/>
      <c r="DDG30" s="11"/>
      <c r="DDH30" s="12"/>
      <c r="DDI30" s="12"/>
      <c r="DDJ30" s="12"/>
      <c r="DDK30" s="13"/>
      <c r="DDL30" s="9"/>
      <c r="DDM30" s="9"/>
      <c r="DDN30" s="9"/>
      <c r="DDO30" s="9"/>
      <c r="DDP30" s="10"/>
      <c r="DDQ30" s="11"/>
      <c r="DDR30" s="12"/>
      <c r="DDS30" s="12"/>
      <c r="DDT30" s="12"/>
      <c r="DDU30" s="13"/>
      <c r="DDV30" s="9"/>
      <c r="DDW30" s="9"/>
      <c r="DDX30" s="9"/>
      <c r="DDY30" s="9"/>
      <c r="DDZ30" s="10"/>
      <c r="DEA30" s="11"/>
      <c r="DEB30" s="12"/>
      <c r="DEC30" s="12"/>
      <c r="DED30" s="12"/>
      <c r="DEE30" s="13"/>
      <c r="DEF30" s="9"/>
      <c r="DEG30" s="9"/>
      <c r="DEH30" s="9"/>
      <c r="DEI30" s="9"/>
      <c r="DEJ30" s="10"/>
      <c r="DEK30" s="11"/>
      <c r="DEL30" s="12"/>
      <c r="DEM30" s="12"/>
      <c r="DEN30" s="12"/>
      <c r="DEO30" s="13"/>
      <c r="DEP30" s="9"/>
      <c r="DEQ30" s="9"/>
      <c r="DER30" s="9"/>
      <c r="DES30" s="9"/>
      <c r="DET30" s="10"/>
      <c r="DEU30" s="11"/>
      <c r="DEV30" s="12"/>
      <c r="DEW30" s="12"/>
      <c r="DEX30" s="12"/>
      <c r="DEY30" s="13"/>
      <c r="DEZ30" s="9"/>
      <c r="DFA30" s="9"/>
      <c r="DFB30" s="9"/>
      <c r="DFC30" s="9"/>
      <c r="DFD30" s="10"/>
      <c r="DFE30" s="11"/>
      <c r="DFF30" s="12"/>
      <c r="DFG30" s="12"/>
      <c r="DFH30" s="12"/>
      <c r="DFI30" s="13"/>
      <c r="DFJ30" s="9"/>
      <c r="DFK30" s="9"/>
      <c r="DFL30" s="9"/>
      <c r="DFM30" s="9"/>
      <c r="DFN30" s="10"/>
      <c r="DFO30" s="11"/>
      <c r="DFP30" s="12"/>
      <c r="DFQ30" s="12"/>
      <c r="DFR30" s="12"/>
      <c r="DFS30" s="13"/>
      <c r="DFT30" s="9"/>
      <c r="DFU30" s="9"/>
      <c r="DFV30" s="9"/>
      <c r="DFW30" s="9"/>
      <c r="DFX30" s="10"/>
      <c r="DFY30" s="11"/>
      <c r="DFZ30" s="12"/>
      <c r="DGA30" s="12"/>
      <c r="DGB30" s="12"/>
      <c r="DGC30" s="13"/>
      <c r="DGD30" s="9"/>
      <c r="DGE30" s="9"/>
      <c r="DGF30" s="9"/>
      <c r="DGG30" s="9"/>
      <c r="DGH30" s="10"/>
      <c r="DGI30" s="11"/>
      <c r="DGJ30" s="12"/>
      <c r="DGK30" s="12"/>
      <c r="DGL30" s="12"/>
      <c r="DGM30" s="13"/>
      <c r="DGN30" s="9"/>
      <c r="DGO30" s="9"/>
      <c r="DGP30" s="9"/>
      <c r="DGQ30" s="9"/>
      <c r="DGR30" s="10"/>
      <c r="DGS30" s="11"/>
      <c r="DGT30" s="12"/>
      <c r="DGU30" s="12"/>
      <c r="DGV30" s="12"/>
      <c r="DGW30" s="13"/>
      <c r="DGX30" s="9"/>
      <c r="DGY30" s="9"/>
      <c r="DGZ30" s="9"/>
      <c r="DHA30" s="9"/>
      <c r="DHB30" s="10"/>
      <c r="DHC30" s="11"/>
      <c r="DHD30" s="12"/>
      <c r="DHE30" s="12"/>
      <c r="DHF30" s="12"/>
      <c r="DHG30" s="13"/>
      <c r="DHH30" s="9"/>
      <c r="DHI30" s="9"/>
      <c r="DHJ30" s="9"/>
      <c r="DHK30" s="9"/>
      <c r="DHL30" s="10"/>
      <c r="DHM30" s="11"/>
      <c r="DHN30" s="12"/>
      <c r="DHO30" s="12"/>
      <c r="DHP30" s="12"/>
      <c r="DHQ30" s="13"/>
      <c r="DHR30" s="9"/>
      <c r="DHS30" s="9"/>
      <c r="DHT30" s="9"/>
      <c r="DHU30" s="9"/>
      <c r="DHV30" s="10"/>
      <c r="DHW30" s="11"/>
      <c r="DHX30" s="12"/>
      <c r="DHY30" s="12"/>
      <c r="DHZ30" s="12"/>
      <c r="DIA30" s="13"/>
      <c r="DIB30" s="9"/>
      <c r="DIC30" s="9"/>
      <c r="DID30" s="9"/>
      <c r="DIE30" s="9"/>
      <c r="DIF30" s="10"/>
      <c r="DIG30" s="11"/>
      <c r="DIH30" s="12"/>
      <c r="DII30" s="12"/>
      <c r="DIJ30" s="12"/>
      <c r="DIK30" s="13"/>
      <c r="DIL30" s="9"/>
      <c r="DIM30" s="9"/>
      <c r="DIN30" s="9"/>
      <c r="DIO30" s="9"/>
      <c r="DIP30" s="10"/>
      <c r="DIQ30" s="11"/>
      <c r="DIR30" s="12"/>
      <c r="DIS30" s="12"/>
      <c r="DIT30" s="12"/>
      <c r="DIU30" s="13"/>
      <c r="DIV30" s="9"/>
      <c r="DIW30" s="9"/>
      <c r="DIX30" s="9"/>
      <c r="DIY30" s="9"/>
      <c r="DIZ30" s="10"/>
      <c r="DJA30" s="11"/>
      <c r="DJB30" s="12"/>
      <c r="DJC30" s="12"/>
      <c r="DJD30" s="12"/>
      <c r="DJE30" s="13"/>
      <c r="DJF30" s="9"/>
      <c r="DJG30" s="9"/>
      <c r="DJH30" s="9"/>
      <c r="DJI30" s="9"/>
      <c r="DJJ30" s="10"/>
      <c r="DJK30" s="11"/>
      <c r="DJL30" s="12"/>
      <c r="DJM30" s="12"/>
      <c r="DJN30" s="12"/>
      <c r="DJO30" s="13"/>
      <c r="DJP30" s="9"/>
      <c r="DJQ30" s="9"/>
      <c r="DJR30" s="9"/>
      <c r="DJS30" s="9"/>
      <c r="DJT30" s="10"/>
      <c r="DJU30" s="11"/>
      <c r="DJV30" s="12"/>
      <c r="DJW30" s="12"/>
      <c r="DJX30" s="12"/>
      <c r="DJY30" s="13"/>
      <c r="DJZ30" s="9"/>
      <c r="DKA30" s="9"/>
      <c r="DKB30" s="9"/>
      <c r="DKC30" s="9"/>
      <c r="DKD30" s="10"/>
      <c r="DKE30" s="11"/>
      <c r="DKF30" s="12"/>
      <c r="DKG30" s="12"/>
      <c r="DKH30" s="12"/>
      <c r="DKI30" s="13"/>
      <c r="DKJ30" s="9"/>
      <c r="DKK30" s="9"/>
      <c r="DKL30" s="9"/>
      <c r="DKM30" s="9"/>
      <c r="DKN30" s="10"/>
      <c r="DKO30" s="11"/>
      <c r="DKP30" s="12"/>
      <c r="DKQ30" s="12"/>
      <c r="DKR30" s="12"/>
      <c r="DKS30" s="13"/>
      <c r="DKT30" s="9"/>
      <c r="DKU30" s="9"/>
      <c r="DKV30" s="9"/>
      <c r="DKW30" s="9"/>
      <c r="DKX30" s="10"/>
      <c r="DKY30" s="11"/>
      <c r="DKZ30" s="12"/>
      <c r="DLA30" s="12"/>
      <c r="DLB30" s="12"/>
      <c r="DLC30" s="13"/>
      <c r="DLD30" s="9"/>
      <c r="DLE30" s="9"/>
      <c r="DLF30" s="9"/>
      <c r="DLG30" s="9"/>
      <c r="DLH30" s="10"/>
      <c r="DLI30" s="11"/>
      <c r="DLJ30" s="12"/>
      <c r="DLK30" s="12"/>
      <c r="DLL30" s="12"/>
      <c r="DLM30" s="13"/>
      <c r="DLN30" s="9"/>
      <c r="DLO30" s="9"/>
      <c r="DLP30" s="9"/>
      <c r="DLQ30" s="9"/>
      <c r="DLR30" s="10"/>
      <c r="DLS30" s="11"/>
      <c r="DLT30" s="12"/>
      <c r="DLU30" s="12"/>
      <c r="DLV30" s="12"/>
      <c r="DLW30" s="13"/>
      <c r="DLX30" s="9"/>
      <c r="DLY30" s="9"/>
      <c r="DLZ30" s="9"/>
      <c r="DMA30" s="9"/>
      <c r="DMB30" s="10"/>
      <c r="DMC30" s="11"/>
      <c r="DMD30" s="12"/>
      <c r="DME30" s="12"/>
      <c r="DMF30" s="12"/>
      <c r="DMG30" s="13"/>
      <c r="DMH30" s="9"/>
      <c r="DMI30" s="9"/>
      <c r="DMJ30" s="9"/>
      <c r="DMK30" s="9"/>
      <c r="DML30" s="10"/>
      <c r="DMM30" s="11"/>
      <c r="DMN30" s="12"/>
      <c r="DMO30" s="12"/>
      <c r="DMP30" s="12"/>
      <c r="DMQ30" s="13"/>
      <c r="DMR30" s="9"/>
      <c r="DMS30" s="9"/>
      <c r="DMT30" s="9"/>
      <c r="DMU30" s="9"/>
      <c r="DMV30" s="10"/>
      <c r="DMW30" s="11"/>
      <c r="DMX30" s="12"/>
      <c r="DMY30" s="12"/>
      <c r="DMZ30" s="12"/>
      <c r="DNA30" s="13"/>
      <c r="DNB30" s="9"/>
      <c r="DNC30" s="9"/>
      <c r="DND30" s="9"/>
      <c r="DNE30" s="9"/>
      <c r="DNF30" s="10"/>
      <c r="DNG30" s="11"/>
      <c r="DNH30" s="12"/>
      <c r="DNI30" s="12"/>
      <c r="DNJ30" s="12"/>
      <c r="DNK30" s="13"/>
      <c r="DNL30" s="9"/>
      <c r="DNM30" s="9"/>
      <c r="DNN30" s="9"/>
      <c r="DNO30" s="9"/>
      <c r="DNP30" s="10"/>
      <c r="DNQ30" s="11"/>
      <c r="DNR30" s="12"/>
      <c r="DNS30" s="12"/>
      <c r="DNT30" s="12"/>
      <c r="DNU30" s="13"/>
      <c r="DNV30" s="9"/>
      <c r="DNW30" s="9"/>
      <c r="DNX30" s="9"/>
      <c r="DNY30" s="9"/>
      <c r="DNZ30" s="10"/>
      <c r="DOA30" s="11"/>
      <c r="DOB30" s="12"/>
      <c r="DOC30" s="12"/>
      <c r="DOD30" s="12"/>
      <c r="DOE30" s="13"/>
      <c r="DOF30" s="9"/>
      <c r="DOG30" s="9"/>
      <c r="DOH30" s="9"/>
      <c r="DOI30" s="9"/>
      <c r="DOJ30" s="10"/>
      <c r="DOK30" s="11"/>
      <c r="DOL30" s="12"/>
      <c r="DOM30" s="12"/>
      <c r="DON30" s="12"/>
      <c r="DOO30" s="13"/>
      <c r="DOP30" s="9"/>
      <c r="DOQ30" s="9"/>
      <c r="DOR30" s="9"/>
      <c r="DOS30" s="9"/>
      <c r="DOT30" s="10"/>
      <c r="DOU30" s="11"/>
      <c r="DOV30" s="12"/>
      <c r="DOW30" s="12"/>
      <c r="DOX30" s="12"/>
      <c r="DOY30" s="13"/>
      <c r="DOZ30" s="9"/>
      <c r="DPA30" s="9"/>
      <c r="DPB30" s="9"/>
      <c r="DPC30" s="9"/>
      <c r="DPD30" s="10"/>
      <c r="DPE30" s="11"/>
      <c r="DPF30" s="12"/>
      <c r="DPG30" s="12"/>
      <c r="DPH30" s="12"/>
      <c r="DPI30" s="13"/>
      <c r="DPJ30" s="9"/>
      <c r="DPK30" s="9"/>
      <c r="DPL30" s="9"/>
      <c r="DPM30" s="9"/>
      <c r="DPN30" s="10"/>
      <c r="DPO30" s="11"/>
      <c r="DPP30" s="12"/>
      <c r="DPQ30" s="12"/>
      <c r="DPR30" s="12"/>
      <c r="DPS30" s="13"/>
      <c r="DPT30" s="9"/>
      <c r="DPU30" s="9"/>
      <c r="DPV30" s="9"/>
      <c r="DPW30" s="9"/>
      <c r="DPX30" s="10"/>
      <c r="DPY30" s="11"/>
      <c r="DPZ30" s="12"/>
      <c r="DQA30" s="12"/>
      <c r="DQB30" s="12"/>
      <c r="DQC30" s="13"/>
      <c r="DQD30" s="9"/>
      <c r="DQE30" s="9"/>
      <c r="DQF30" s="9"/>
      <c r="DQG30" s="9"/>
      <c r="DQH30" s="10"/>
      <c r="DQI30" s="11"/>
      <c r="DQJ30" s="12"/>
      <c r="DQK30" s="12"/>
      <c r="DQL30" s="12"/>
      <c r="DQM30" s="13"/>
      <c r="DQN30" s="9"/>
      <c r="DQO30" s="9"/>
      <c r="DQP30" s="9"/>
      <c r="DQQ30" s="9"/>
      <c r="DQR30" s="10"/>
      <c r="DQS30" s="11"/>
      <c r="DQT30" s="12"/>
      <c r="DQU30" s="12"/>
      <c r="DQV30" s="12"/>
      <c r="DQW30" s="13"/>
      <c r="DQX30" s="9"/>
      <c r="DQY30" s="9"/>
      <c r="DQZ30" s="9"/>
      <c r="DRA30" s="9"/>
      <c r="DRB30" s="10"/>
      <c r="DRC30" s="11"/>
      <c r="DRD30" s="12"/>
      <c r="DRE30" s="12"/>
      <c r="DRF30" s="12"/>
      <c r="DRG30" s="13"/>
      <c r="DRH30" s="9"/>
      <c r="DRI30" s="9"/>
      <c r="DRJ30" s="9"/>
      <c r="DRK30" s="9"/>
      <c r="DRL30" s="10"/>
      <c r="DRM30" s="11"/>
      <c r="DRN30" s="12"/>
      <c r="DRO30" s="12"/>
      <c r="DRP30" s="12"/>
      <c r="DRQ30" s="13"/>
      <c r="DRR30" s="9"/>
      <c r="DRS30" s="9"/>
      <c r="DRT30" s="9"/>
      <c r="DRU30" s="9"/>
      <c r="DRV30" s="10"/>
      <c r="DRW30" s="11"/>
      <c r="DRX30" s="12"/>
      <c r="DRY30" s="12"/>
      <c r="DRZ30" s="12"/>
      <c r="DSA30" s="13"/>
      <c r="DSB30" s="9"/>
      <c r="DSC30" s="9"/>
      <c r="DSD30" s="9"/>
      <c r="DSE30" s="9"/>
      <c r="DSF30" s="10"/>
      <c r="DSG30" s="11"/>
      <c r="DSH30" s="12"/>
      <c r="DSI30" s="12"/>
      <c r="DSJ30" s="12"/>
      <c r="DSK30" s="13"/>
      <c r="DSL30" s="9"/>
      <c r="DSM30" s="9"/>
      <c r="DSN30" s="9"/>
      <c r="DSO30" s="9"/>
      <c r="DSP30" s="10"/>
      <c r="DSQ30" s="11"/>
      <c r="DSR30" s="12"/>
      <c r="DSS30" s="12"/>
      <c r="DST30" s="12"/>
      <c r="DSU30" s="13"/>
      <c r="DSV30" s="9"/>
      <c r="DSW30" s="9"/>
      <c r="DSX30" s="9"/>
      <c r="DSY30" s="9"/>
      <c r="DSZ30" s="10"/>
      <c r="DTA30" s="11"/>
      <c r="DTB30" s="12"/>
      <c r="DTC30" s="12"/>
      <c r="DTD30" s="12"/>
      <c r="DTE30" s="13"/>
      <c r="DTF30" s="9"/>
      <c r="DTG30" s="9"/>
      <c r="DTH30" s="9"/>
      <c r="DTI30" s="9"/>
      <c r="DTJ30" s="10"/>
      <c r="DTK30" s="11"/>
      <c r="DTL30" s="12"/>
      <c r="DTM30" s="12"/>
      <c r="DTN30" s="12"/>
      <c r="DTO30" s="13"/>
      <c r="DTP30" s="9"/>
      <c r="DTQ30" s="9"/>
      <c r="DTR30" s="9"/>
      <c r="DTS30" s="9"/>
      <c r="DTT30" s="10"/>
      <c r="DTU30" s="11"/>
      <c r="DTV30" s="12"/>
      <c r="DTW30" s="12"/>
      <c r="DTX30" s="12"/>
      <c r="DTY30" s="13"/>
      <c r="DTZ30" s="9"/>
      <c r="DUA30" s="9"/>
      <c r="DUB30" s="9"/>
      <c r="DUC30" s="9"/>
      <c r="DUD30" s="10"/>
      <c r="DUE30" s="11"/>
      <c r="DUF30" s="12"/>
      <c r="DUG30" s="12"/>
      <c r="DUH30" s="12"/>
      <c r="DUI30" s="13"/>
      <c r="DUJ30" s="9"/>
      <c r="DUK30" s="9"/>
      <c r="DUL30" s="9"/>
      <c r="DUM30" s="9"/>
      <c r="DUN30" s="10"/>
      <c r="DUO30" s="11"/>
      <c r="DUP30" s="12"/>
      <c r="DUQ30" s="12"/>
      <c r="DUR30" s="12"/>
      <c r="DUS30" s="13"/>
      <c r="DUT30" s="9"/>
      <c r="DUU30" s="9"/>
      <c r="DUV30" s="9"/>
      <c r="DUW30" s="9"/>
      <c r="DUX30" s="10"/>
      <c r="DUY30" s="11"/>
      <c r="DUZ30" s="12"/>
      <c r="DVA30" s="12"/>
      <c r="DVB30" s="12"/>
      <c r="DVC30" s="13"/>
      <c r="DVD30" s="9"/>
      <c r="DVE30" s="9"/>
      <c r="DVF30" s="9"/>
      <c r="DVG30" s="9"/>
      <c r="DVH30" s="10"/>
      <c r="DVI30" s="11"/>
      <c r="DVJ30" s="12"/>
      <c r="DVK30" s="12"/>
      <c r="DVL30" s="12"/>
      <c r="DVM30" s="13"/>
      <c r="DVN30" s="9"/>
      <c r="DVO30" s="9"/>
      <c r="DVP30" s="9"/>
      <c r="DVQ30" s="9"/>
      <c r="DVR30" s="10"/>
      <c r="DVS30" s="11"/>
      <c r="DVT30" s="12"/>
      <c r="DVU30" s="12"/>
      <c r="DVV30" s="12"/>
      <c r="DVW30" s="13"/>
      <c r="DVX30" s="9"/>
      <c r="DVY30" s="9"/>
      <c r="DVZ30" s="9"/>
      <c r="DWA30" s="9"/>
      <c r="DWB30" s="10"/>
      <c r="DWC30" s="11"/>
      <c r="DWD30" s="12"/>
      <c r="DWE30" s="12"/>
      <c r="DWF30" s="12"/>
      <c r="DWG30" s="13"/>
      <c r="DWH30" s="9"/>
      <c r="DWI30" s="9"/>
      <c r="DWJ30" s="9"/>
      <c r="DWK30" s="9"/>
      <c r="DWL30" s="10"/>
      <c r="DWM30" s="11"/>
      <c r="DWN30" s="12"/>
      <c r="DWO30" s="12"/>
      <c r="DWP30" s="12"/>
      <c r="DWQ30" s="13"/>
      <c r="DWR30" s="9"/>
      <c r="DWS30" s="9"/>
      <c r="DWT30" s="9"/>
      <c r="DWU30" s="9"/>
      <c r="DWV30" s="10"/>
      <c r="DWW30" s="11"/>
      <c r="DWX30" s="12"/>
      <c r="DWY30" s="12"/>
      <c r="DWZ30" s="12"/>
      <c r="DXA30" s="13"/>
      <c r="DXB30" s="9"/>
      <c r="DXC30" s="9"/>
      <c r="DXD30" s="9"/>
      <c r="DXE30" s="9"/>
      <c r="DXF30" s="10"/>
      <c r="DXG30" s="11"/>
      <c r="DXH30" s="12"/>
      <c r="DXI30" s="12"/>
      <c r="DXJ30" s="12"/>
      <c r="DXK30" s="13"/>
      <c r="DXL30" s="9"/>
      <c r="DXM30" s="9"/>
      <c r="DXN30" s="9"/>
      <c r="DXO30" s="9"/>
      <c r="DXP30" s="10"/>
      <c r="DXQ30" s="11"/>
      <c r="DXR30" s="12"/>
      <c r="DXS30" s="12"/>
      <c r="DXT30" s="12"/>
      <c r="DXU30" s="13"/>
      <c r="DXV30" s="9"/>
      <c r="DXW30" s="9"/>
      <c r="DXX30" s="9"/>
      <c r="DXY30" s="9"/>
      <c r="DXZ30" s="10"/>
      <c r="DYA30" s="11"/>
      <c r="DYB30" s="12"/>
      <c r="DYC30" s="12"/>
      <c r="DYD30" s="12"/>
      <c r="DYE30" s="13"/>
      <c r="DYF30" s="9"/>
      <c r="DYG30" s="9"/>
      <c r="DYH30" s="9"/>
      <c r="DYI30" s="9"/>
      <c r="DYJ30" s="10"/>
      <c r="DYK30" s="11"/>
      <c r="DYL30" s="12"/>
      <c r="DYM30" s="12"/>
      <c r="DYN30" s="12"/>
      <c r="DYO30" s="13"/>
      <c r="DYP30" s="9"/>
      <c r="DYQ30" s="9"/>
      <c r="DYR30" s="9"/>
      <c r="DYS30" s="9"/>
      <c r="DYT30" s="10"/>
      <c r="DYU30" s="11"/>
      <c r="DYV30" s="12"/>
      <c r="DYW30" s="12"/>
      <c r="DYX30" s="12"/>
      <c r="DYY30" s="13"/>
      <c r="DYZ30" s="9"/>
      <c r="DZA30" s="9"/>
      <c r="DZB30" s="9"/>
      <c r="DZC30" s="9"/>
      <c r="DZD30" s="10"/>
      <c r="DZE30" s="11"/>
      <c r="DZF30" s="12"/>
      <c r="DZG30" s="12"/>
      <c r="DZH30" s="12"/>
      <c r="DZI30" s="13"/>
      <c r="DZJ30" s="9"/>
      <c r="DZK30" s="9"/>
      <c r="DZL30" s="9"/>
      <c r="DZM30" s="9"/>
      <c r="DZN30" s="10"/>
      <c r="DZO30" s="11"/>
      <c r="DZP30" s="12"/>
      <c r="DZQ30" s="12"/>
      <c r="DZR30" s="12"/>
      <c r="DZS30" s="13"/>
      <c r="DZT30" s="9"/>
      <c r="DZU30" s="9"/>
      <c r="DZV30" s="9"/>
      <c r="DZW30" s="9"/>
      <c r="DZX30" s="10"/>
      <c r="DZY30" s="11"/>
      <c r="DZZ30" s="12"/>
      <c r="EAA30" s="12"/>
      <c r="EAB30" s="12"/>
      <c r="EAC30" s="13"/>
      <c r="EAD30" s="9"/>
      <c r="EAE30" s="9"/>
      <c r="EAF30" s="9"/>
      <c r="EAG30" s="9"/>
      <c r="EAH30" s="10"/>
      <c r="EAI30" s="11"/>
      <c r="EAJ30" s="12"/>
      <c r="EAK30" s="12"/>
      <c r="EAL30" s="12"/>
      <c r="EAM30" s="13"/>
      <c r="EAN30" s="9"/>
      <c r="EAO30" s="9"/>
      <c r="EAP30" s="9"/>
      <c r="EAQ30" s="9"/>
      <c r="EAR30" s="10"/>
      <c r="EAS30" s="11"/>
      <c r="EAT30" s="12"/>
      <c r="EAU30" s="12"/>
      <c r="EAV30" s="12"/>
      <c r="EAW30" s="13"/>
      <c r="EAX30" s="9"/>
      <c r="EAY30" s="9"/>
      <c r="EAZ30" s="9"/>
      <c r="EBA30" s="9"/>
      <c r="EBB30" s="10"/>
      <c r="EBC30" s="11"/>
      <c r="EBD30" s="12"/>
      <c r="EBE30" s="12"/>
      <c r="EBF30" s="12"/>
      <c r="EBG30" s="13"/>
      <c r="EBH30" s="9"/>
      <c r="EBI30" s="9"/>
      <c r="EBJ30" s="9"/>
      <c r="EBK30" s="9"/>
      <c r="EBL30" s="10"/>
      <c r="EBM30" s="11"/>
      <c r="EBN30" s="12"/>
      <c r="EBO30" s="12"/>
      <c r="EBP30" s="12"/>
      <c r="EBQ30" s="13"/>
      <c r="EBR30" s="9"/>
      <c r="EBS30" s="9"/>
      <c r="EBT30" s="9"/>
      <c r="EBU30" s="9"/>
      <c r="EBV30" s="10"/>
      <c r="EBW30" s="11"/>
      <c r="EBX30" s="12"/>
      <c r="EBY30" s="12"/>
      <c r="EBZ30" s="12"/>
      <c r="ECA30" s="13"/>
      <c r="ECB30" s="9"/>
      <c r="ECC30" s="9"/>
      <c r="ECD30" s="9"/>
      <c r="ECE30" s="9"/>
      <c r="ECF30" s="10"/>
      <c r="ECG30" s="11"/>
      <c r="ECH30" s="12"/>
      <c r="ECI30" s="12"/>
      <c r="ECJ30" s="12"/>
      <c r="ECK30" s="13"/>
      <c r="ECL30" s="9"/>
      <c r="ECM30" s="9"/>
      <c r="ECN30" s="9"/>
      <c r="ECO30" s="9"/>
      <c r="ECP30" s="10"/>
      <c r="ECQ30" s="11"/>
      <c r="ECR30" s="12"/>
      <c r="ECS30" s="12"/>
      <c r="ECT30" s="12"/>
      <c r="ECU30" s="13"/>
      <c r="ECV30" s="9"/>
      <c r="ECW30" s="9"/>
      <c r="ECX30" s="9"/>
      <c r="ECY30" s="9"/>
      <c r="ECZ30" s="10"/>
      <c r="EDA30" s="11"/>
      <c r="EDB30" s="12"/>
      <c r="EDC30" s="12"/>
      <c r="EDD30" s="12"/>
      <c r="EDE30" s="13"/>
      <c r="EDF30" s="9"/>
      <c r="EDG30" s="9"/>
      <c r="EDH30" s="9"/>
      <c r="EDI30" s="9"/>
      <c r="EDJ30" s="10"/>
      <c r="EDK30" s="11"/>
      <c r="EDL30" s="12"/>
      <c r="EDM30" s="12"/>
      <c r="EDN30" s="12"/>
      <c r="EDO30" s="13"/>
      <c r="EDP30" s="9"/>
      <c r="EDQ30" s="9"/>
      <c r="EDR30" s="9"/>
      <c r="EDS30" s="9"/>
      <c r="EDT30" s="10"/>
      <c r="EDU30" s="11"/>
      <c r="EDV30" s="12"/>
      <c r="EDW30" s="12"/>
      <c r="EDX30" s="12"/>
      <c r="EDY30" s="13"/>
      <c r="EDZ30" s="9"/>
      <c r="EEA30" s="9"/>
      <c r="EEB30" s="9"/>
      <c r="EEC30" s="9"/>
      <c r="EED30" s="10"/>
      <c r="EEE30" s="11"/>
      <c r="EEF30" s="12"/>
      <c r="EEG30" s="12"/>
      <c r="EEH30" s="12"/>
      <c r="EEI30" s="13"/>
      <c r="EEJ30" s="9"/>
      <c r="EEK30" s="9"/>
      <c r="EEL30" s="9"/>
      <c r="EEM30" s="9"/>
      <c r="EEN30" s="10"/>
      <c r="EEO30" s="11"/>
      <c r="EEP30" s="12"/>
      <c r="EEQ30" s="12"/>
      <c r="EER30" s="12"/>
      <c r="EES30" s="13"/>
      <c r="EET30" s="9"/>
      <c r="EEU30" s="9"/>
      <c r="EEV30" s="9"/>
      <c r="EEW30" s="9"/>
      <c r="EEX30" s="10"/>
      <c r="EEY30" s="11"/>
      <c r="EEZ30" s="12"/>
      <c r="EFA30" s="12"/>
      <c r="EFB30" s="12"/>
      <c r="EFC30" s="13"/>
      <c r="EFD30" s="9"/>
      <c r="EFE30" s="9"/>
      <c r="EFF30" s="9"/>
      <c r="EFG30" s="9"/>
      <c r="EFH30" s="10"/>
      <c r="EFI30" s="11"/>
      <c r="EFJ30" s="12"/>
      <c r="EFK30" s="12"/>
      <c r="EFL30" s="12"/>
      <c r="EFM30" s="13"/>
      <c r="EFN30" s="9"/>
      <c r="EFO30" s="9"/>
      <c r="EFP30" s="9"/>
      <c r="EFQ30" s="9"/>
      <c r="EFR30" s="10"/>
      <c r="EFS30" s="11"/>
      <c r="EFT30" s="12"/>
      <c r="EFU30" s="12"/>
      <c r="EFV30" s="12"/>
      <c r="EFW30" s="13"/>
      <c r="EFX30" s="9"/>
      <c r="EFY30" s="9"/>
      <c r="EFZ30" s="9"/>
      <c r="EGA30" s="9"/>
      <c r="EGB30" s="10"/>
      <c r="EGC30" s="11"/>
      <c r="EGD30" s="12"/>
      <c r="EGE30" s="12"/>
      <c r="EGF30" s="12"/>
      <c r="EGG30" s="13"/>
      <c r="EGH30" s="9"/>
      <c r="EGI30" s="9"/>
      <c r="EGJ30" s="9"/>
      <c r="EGK30" s="9"/>
      <c r="EGL30" s="10"/>
      <c r="EGM30" s="11"/>
      <c r="EGN30" s="12"/>
      <c r="EGO30" s="12"/>
      <c r="EGP30" s="12"/>
      <c r="EGQ30" s="13"/>
      <c r="EGR30" s="9"/>
      <c r="EGS30" s="9"/>
      <c r="EGT30" s="9"/>
      <c r="EGU30" s="9"/>
      <c r="EGV30" s="10"/>
      <c r="EGW30" s="11"/>
      <c r="EGX30" s="12"/>
      <c r="EGY30" s="12"/>
      <c r="EGZ30" s="12"/>
      <c r="EHA30" s="13"/>
      <c r="EHB30" s="9"/>
      <c r="EHC30" s="9"/>
      <c r="EHD30" s="9"/>
      <c r="EHE30" s="9"/>
      <c r="EHF30" s="10"/>
      <c r="EHG30" s="11"/>
      <c r="EHH30" s="12"/>
      <c r="EHI30" s="12"/>
      <c r="EHJ30" s="12"/>
      <c r="EHK30" s="13"/>
      <c r="EHL30" s="9"/>
      <c r="EHM30" s="9"/>
      <c r="EHN30" s="9"/>
      <c r="EHO30" s="9"/>
      <c r="EHP30" s="10"/>
      <c r="EHQ30" s="11"/>
      <c r="EHR30" s="12"/>
      <c r="EHS30" s="12"/>
      <c r="EHT30" s="12"/>
      <c r="EHU30" s="13"/>
      <c r="EHV30" s="9"/>
      <c r="EHW30" s="9"/>
      <c r="EHX30" s="9"/>
      <c r="EHY30" s="9"/>
      <c r="EHZ30" s="10"/>
      <c r="EIA30" s="11"/>
      <c r="EIB30" s="12"/>
      <c r="EIC30" s="12"/>
      <c r="EID30" s="12"/>
      <c r="EIE30" s="13"/>
      <c r="EIF30" s="9"/>
      <c r="EIG30" s="9"/>
      <c r="EIH30" s="9"/>
      <c r="EII30" s="9"/>
      <c r="EIJ30" s="10"/>
      <c r="EIK30" s="11"/>
      <c r="EIL30" s="12"/>
      <c r="EIM30" s="12"/>
      <c r="EIN30" s="12"/>
      <c r="EIO30" s="13"/>
      <c r="EIP30" s="9"/>
      <c r="EIQ30" s="9"/>
      <c r="EIR30" s="9"/>
      <c r="EIS30" s="9"/>
      <c r="EIT30" s="10"/>
      <c r="EIU30" s="11"/>
      <c r="EIV30" s="12"/>
      <c r="EIW30" s="12"/>
      <c r="EIX30" s="12"/>
      <c r="EIY30" s="13"/>
      <c r="EIZ30" s="9"/>
      <c r="EJA30" s="9"/>
      <c r="EJB30" s="9"/>
      <c r="EJC30" s="9"/>
      <c r="EJD30" s="10"/>
      <c r="EJE30" s="11"/>
      <c r="EJF30" s="12"/>
      <c r="EJG30" s="12"/>
      <c r="EJH30" s="12"/>
      <c r="EJI30" s="13"/>
      <c r="EJJ30" s="9"/>
      <c r="EJK30" s="9"/>
      <c r="EJL30" s="9"/>
      <c r="EJM30" s="9"/>
      <c r="EJN30" s="10"/>
      <c r="EJO30" s="11"/>
      <c r="EJP30" s="12"/>
      <c r="EJQ30" s="12"/>
      <c r="EJR30" s="12"/>
      <c r="EJS30" s="13"/>
      <c r="EJT30" s="9"/>
      <c r="EJU30" s="9"/>
      <c r="EJV30" s="9"/>
      <c r="EJW30" s="9"/>
      <c r="EJX30" s="10"/>
      <c r="EJY30" s="11"/>
      <c r="EJZ30" s="12"/>
      <c r="EKA30" s="12"/>
      <c r="EKB30" s="12"/>
      <c r="EKC30" s="13"/>
      <c r="EKD30" s="9"/>
      <c r="EKE30" s="9"/>
      <c r="EKF30" s="9"/>
      <c r="EKG30" s="9"/>
      <c r="EKH30" s="10"/>
      <c r="EKI30" s="11"/>
      <c r="EKJ30" s="12"/>
      <c r="EKK30" s="12"/>
      <c r="EKL30" s="12"/>
      <c r="EKM30" s="13"/>
      <c r="EKN30" s="9"/>
      <c r="EKO30" s="9"/>
      <c r="EKP30" s="9"/>
      <c r="EKQ30" s="9"/>
      <c r="EKR30" s="10"/>
      <c r="EKS30" s="11"/>
      <c r="EKT30" s="12"/>
      <c r="EKU30" s="12"/>
      <c r="EKV30" s="12"/>
      <c r="EKW30" s="13"/>
      <c r="EKX30" s="9"/>
      <c r="EKY30" s="9"/>
      <c r="EKZ30" s="9"/>
      <c r="ELA30" s="9"/>
      <c r="ELB30" s="10"/>
      <c r="ELC30" s="11"/>
      <c r="ELD30" s="12"/>
      <c r="ELE30" s="12"/>
      <c r="ELF30" s="12"/>
      <c r="ELG30" s="13"/>
      <c r="ELH30" s="9"/>
      <c r="ELI30" s="9"/>
      <c r="ELJ30" s="9"/>
      <c r="ELK30" s="9"/>
      <c r="ELL30" s="10"/>
      <c r="ELM30" s="11"/>
      <c r="ELN30" s="12"/>
      <c r="ELO30" s="12"/>
      <c r="ELP30" s="12"/>
      <c r="ELQ30" s="13"/>
      <c r="ELR30" s="9"/>
      <c r="ELS30" s="9"/>
      <c r="ELT30" s="9"/>
      <c r="ELU30" s="9"/>
      <c r="ELV30" s="10"/>
      <c r="ELW30" s="11"/>
      <c r="ELX30" s="12"/>
      <c r="ELY30" s="12"/>
      <c r="ELZ30" s="12"/>
      <c r="EMA30" s="13"/>
      <c r="EMB30" s="9"/>
      <c r="EMC30" s="9"/>
      <c r="EMD30" s="9"/>
      <c r="EME30" s="9"/>
      <c r="EMF30" s="10"/>
      <c r="EMG30" s="11"/>
      <c r="EMH30" s="12"/>
      <c r="EMI30" s="12"/>
      <c r="EMJ30" s="12"/>
      <c r="EMK30" s="13"/>
      <c r="EML30" s="9"/>
      <c r="EMM30" s="9"/>
      <c r="EMN30" s="9"/>
      <c r="EMO30" s="9"/>
      <c r="EMP30" s="10"/>
      <c r="EMQ30" s="11"/>
      <c r="EMR30" s="12"/>
      <c r="EMS30" s="12"/>
      <c r="EMT30" s="12"/>
      <c r="EMU30" s="13"/>
      <c r="EMV30" s="9"/>
      <c r="EMW30" s="9"/>
      <c r="EMX30" s="9"/>
      <c r="EMY30" s="9"/>
      <c r="EMZ30" s="10"/>
      <c r="ENA30" s="11"/>
      <c r="ENB30" s="12"/>
      <c r="ENC30" s="12"/>
      <c r="END30" s="12"/>
      <c r="ENE30" s="13"/>
      <c r="ENF30" s="9"/>
      <c r="ENG30" s="9"/>
      <c r="ENH30" s="9"/>
      <c r="ENI30" s="9"/>
      <c r="ENJ30" s="10"/>
      <c r="ENK30" s="11"/>
      <c r="ENL30" s="12"/>
      <c r="ENM30" s="12"/>
      <c r="ENN30" s="12"/>
      <c r="ENO30" s="13"/>
      <c r="ENP30" s="9"/>
      <c r="ENQ30" s="9"/>
      <c r="ENR30" s="9"/>
      <c r="ENS30" s="9"/>
      <c r="ENT30" s="10"/>
      <c r="ENU30" s="11"/>
      <c r="ENV30" s="12"/>
      <c r="ENW30" s="12"/>
      <c r="ENX30" s="12"/>
      <c r="ENY30" s="13"/>
      <c r="ENZ30" s="9"/>
      <c r="EOA30" s="9"/>
      <c r="EOB30" s="9"/>
      <c r="EOC30" s="9"/>
      <c r="EOD30" s="10"/>
      <c r="EOE30" s="11"/>
      <c r="EOF30" s="12"/>
      <c r="EOG30" s="12"/>
      <c r="EOH30" s="12"/>
      <c r="EOI30" s="13"/>
      <c r="EOJ30" s="9"/>
      <c r="EOK30" s="9"/>
      <c r="EOL30" s="9"/>
      <c r="EOM30" s="9"/>
      <c r="EON30" s="10"/>
      <c r="EOO30" s="11"/>
      <c r="EOP30" s="12"/>
      <c r="EOQ30" s="12"/>
      <c r="EOR30" s="12"/>
      <c r="EOS30" s="13"/>
      <c r="EOT30" s="9"/>
      <c r="EOU30" s="9"/>
      <c r="EOV30" s="9"/>
      <c r="EOW30" s="9"/>
      <c r="EOX30" s="10"/>
      <c r="EOY30" s="11"/>
      <c r="EOZ30" s="12"/>
      <c r="EPA30" s="12"/>
      <c r="EPB30" s="12"/>
      <c r="EPC30" s="13"/>
      <c r="EPD30" s="9"/>
      <c r="EPE30" s="9"/>
      <c r="EPF30" s="9"/>
      <c r="EPG30" s="9"/>
      <c r="EPH30" s="10"/>
      <c r="EPI30" s="11"/>
      <c r="EPJ30" s="12"/>
      <c r="EPK30" s="12"/>
      <c r="EPL30" s="12"/>
      <c r="EPM30" s="13"/>
      <c r="EPN30" s="9"/>
      <c r="EPO30" s="9"/>
      <c r="EPP30" s="9"/>
      <c r="EPQ30" s="9"/>
      <c r="EPR30" s="10"/>
      <c r="EPS30" s="11"/>
      <c r="EPT30" s="12"/>
      <c r="EPU30" s="12"/>
      <c r="EPV30" s="12"/>
      <c r="EPW30" s="13"/>
      <c r="EPX30" s="9"/>
      <c r="EPY30" s="9"/>
      <c r="EPZ30" s="9"/>
      <c r="EQA30" s="9"/>
      <c r="EQB30" s="10"/>
      <c r="EQC30" s="11"/>
      <c r="EQD30" s="12"/>
      <c r="EQE30" s="12"/>
      <c r="EQF30" s="12"/>
      <c r="EQG30" s="13"/>
      <c r="EQH30" s="9"/>
      <c r="EQI30" s="9"/>
      <c r="EQJ30" s="9"/>
      <c r="EQK30" s="9"/>
      <c r="EQL30" s="10"/>
      <c r="EQM30" s="11"/>
      <c r="EQN30" s="12"/>
      <c r="EQO30" s="12"/>
      <c r="EQP30" s="12"/>
      <c r="EQQ30" s="13"/>
      <c r="EQR30" s="9"/>
      <c r="EQS30" s="9"/>
      <c r="EQT30" s="9"/>
      <c r="EQU30" s="9"/>
      <c r="EQV30" s="10"/>
      <c r="EQW30" s="11"/>
      <c r="EQX30" s="12"/>
      <c r="EQY30" s="12"/>
      <c r="EQZ30" s="12"/>
      <c r="ERA30" s="13"/>
      <c r="ERB30" s="9"/>
      <c r="ERC30" s="9"/>
      <c r="ERD30" s="9"/>
      <c r="ERE30" s="9"/>
      <c r="ERF30" s="10"/>
      <c r="ERG30" s="11"/>
      <c r="ERH30" s="12"/>
      <c r="ERI30" s="12"/>
      <c r="ERJ30" s="12"/>
      <c r="ERK30" s="13"/>
      <c r="ERL30" s="9"/>
      <c r="ERM30" s="9"/>
      <c r="ERN30" s="9"/>
      <c r="ERO30" s="9"/>
      <c r="ERP30" s="10"/>
      <c r="ERQ30" s="11"/>
      <c r="ERR30" s="12"/>
      <c r="ERS30" s="12"/>
      <c r="ERT30" s="12"/>
      <c r="ERU30" s="13"/>
      <c r="ERV30" s="9"/>
      <c r="ERW30" s="9"/>
      <c r="ERX30" s="9"/>
      <c r="ERY30" s="9"/>
      <c r="ERZ30" s="10"/>
      <c r="ESA30" s="11"/>
      <c r="ESB30" s="12"/>
      <c r="ESC30" s="12"/>
      <c r="ESD30" s="12"/>
      <c r="ESE30" s="13"/>
      <c r="ESF30" s="9"/>
      <c r="ESG30" s="9"/>
      <c r="ESH30" s="9"/>
      <c r="ESI30" s="9"/>
      <c r="ESJ30" s="10"/>
      <c r="ESK30" s="11"/>
      <c r="ESL30" s="12"/>
      <c r="ESM30" s="12"/>
      <c r="ESN30" s="12"/>
      <c r="ESO30" s="13"/>
      <c r="ESP30" s="9"/>
      <c r="ESQ30" s="9"/>
      <c r="ESR30" s="9"/>
      <c r="ESS30" s="9"/>
      <c r="EST30" s="10"/>
      <c r="ESU30" s="11"/>
      <c r="ESV30" s="12"/>
      <c r="ESW30" s="12"/>
      <c r="ESX30" s="12"/>
      <c r="ESY30" s="13"/>
      <c r="ESZ30" s="9"/>
      <c r="ETA30" s="9"/>
      <c r="ETB30" s="9"/>
      <c r="ETC30" s="9"/>
      <c r="ETD30" s="10"/>
      <c r="ETE30" s="11"/>
      <c r="ETF30" s="12"/>
      <c r="ETG30" s="12"/>
      <c r="ETH30" s="12"/>
      <c r="ETI30" s="13"/>
      <c r="ETJ30" s="9"/>
      <c r="ETK30" s="9"/>
      <c r="ETL30" s="9"/>
      <c r="ETM30" s="9"/>
      <c r="ETN30" s="10"/>
      <c r="ETO30" s="11"/>
      <c r="ETP30" s="12"/>
      <c r="ETQ30" s="12"/>
      <c r="ETR30" s="12"/>
      <c r="ETS30" s="13"/>
      <c r="ETT30" s="9"/>
      <c r="ETU30" s="9"/>
      <c r="ETV30" s="9"/>
      <c r="ETW30" s="9"/>
      <c r="ETX30" s="10"/>
      <c r="ETY30" s="11"/>
      <c r="ETZ30" s="12"/>
      <c r="EUA30" s="12"/>
      <c r="EUB30" s="12"/>
      <c r="EUC30" s="13"/>
      <c r="EUD30" s="9"/>
      <c r="EUE30" s="9"/>
      <c r="EUF30" s="9"/>
      <c r="EUG30" s="9"/>
      <c r="EUH30" s="10"/>
      <c r="EUI30" s="11"/>
      <c r="EUJ30" s="12"/>
      <c r="EUK30" s="12"/>
      <c r="EUL30" s="12"/>
      <c r="EUM30" s="13"/>
      <c r="EUN30" s="9"/>
      <c r="EUO30" s="9"/>
      <c r="EUP30" s="9"/>
      <c r="EUQ30" s="9"/>
      <c r="EUR30" s="10"/>
      <c r="EUS30" s="11"/>
      <c r="EUT30" s="12"/>
      <c r="EUU30" s="12"/>
      <c r="EUV30" s="12"/>
      <c r="EUW30" s="13"/>
      <c r="EUX30" s="9"/>
      <c r="EUY30" s="9"/>
      <c r="EUZ30" s="9"/>
      <c r="EVA30" s="9"/>
      <c r="EVB30" s="10"/>
      <c r="EVC30" s="11"/>
      <c r="EVD30" s="12"/>
      <c r="EVE30" s="12"/>
      <c r="EVF30" s="12"/>
      <c r="EVG30" s="13"/>
      <c r="EVH30" s="9"/>
      <c r="EVI30" s="9"/>
      <c r="EVJ30" s="9"/>
      <c r="EVK30" s="9"/>
      <c r="EVL30" s="10"/>
      <c r="EVM30" s="11"/>
      <c r="EVN30" s="12"/>
      <c r="EVO30" s="12"/>
      <c r="EVP30" s="12"/>
      <c r="EVQ30" s="13"/>
      <c r="EVR30" s="9"/>
      <c r="EVS30" s="9"/>
      <c r="EVT30" s="9"/>
      <c r="EVU30" s="9"/>
      <c r="EVV30" s="10"/>
      <c r="EVW30" s="11"/>
      <c r="EVX30" s="12"/>
      <c r="EVY30" s="12"/>
      <c r="EVZ30" s="12"/>
      <c r="EWA30" s="13"/>
      <c r="EWB30" s="9"/>
      <c r="EWC30" s="9"/>
      <c r="EWD30" s="9"/>
      <c r="EWE30" s="9"/>
      <c r="EWF30" s="10"/>
      <c r="EWG30" s="11"/>
      <c r="EWH30" s="12"/>
      <c r="EWI30" s="12"/>
      <c r="EWJ30" s="12"/>
      <c r="EWK30" s="13"/>
      <c r="EWL30" s="9"/>
      <c r="EWM30" s="9"/>
      <c r="EWN30" s="9"/>
      <c r="EWO30" s="9"/>
      <c r="EWP30" s="10"/>
      <c r="EWQ30" s="11"/>
      <c r="EWR30" s="12"/>
      <c r="EWS30" s="12"/>
      <c r="EWT30" s="12"/>
      <c r="EWU30" s="13"/>
      <c r="EWV30" s="9"/>
      <c r="EWW30" s="9"/>
      <c r="EWX30" s="9"/>
      <c r="EWY30" s="9"/>
      <c r="EWZ30" s="10"/>
      <c r="EXA30" s="11"/>
      <c r="EXB30" s="12"/>
      <c r="EXC30" s="12"/>
      <c r="EXD30" s="12"/>
      <c r="EXE30" s="13"/>
      <c r="EXF30" s="9"/>
      <c r="EXG30" s="9"/>
      <c r="EXH30" s="9"/>
      <c r="EXI30" s="9"/>
      <c r="EXJ30" s="10"/>
      <c r="EXK30" s="11"/>
      <c r="EXL30" s="12"/>
      <c r="EXM30" s="12"/>
      <c r="EXN30" s="12"/>
      <c r="EXO30" s="13"/>
      <c r="EXP30" s="9"/>
      <c r="EXQ30" s="9"/>
      <c r="EXR30" s="9"/>
      <c r="EXS30" s="9"/>
      <c r="EXT30" s="10"/>
      <c r="EXU30" s="11"/>
      <c r="EXV30" s="12"/>
      <c r="EXW30" s="12"/>
      <c r="EXX30" s="12"/>
      <c r="EXY30" s="13"/>
      <c r="EXZ30" s="9"/>
      <c r="EYA30" s="9"/>
      <c r="EYB30" s="9"/>
      <c r="EYC30" s="9"/>
      <c r="EYD30" s="10"/>
      <c r="EYE30" s="11"/>
      <c r="EYF30" s="12"/>
      <c r="EYG30" s="12"/>
      <c r="EYH30" s="12"/>
      <c r="EYI30" s="13"/>
      <c r="EYJ30" s="9"/>
      <c r="EYK30" s="9"/>
      <c r="EYL30" s="9"/>
      <c r="EYM30" s="9"/>
      <c r="EYN30" s="10"/>
      <c r="EYO30" s="11"/>
      <c r="EYP30" s="12"/>
      <c r="EYQ30" s="12"/>
      <c r="EYR30" s="12"/>
      <c r="EYS30" s="13"/>
      <c r="EYT30" s="9"/>
      <c r="EYU30" s="9"/>
      <c r="EYV30" s="9"/>
      <c r="EYW30" s="9"/>
      <c r="EYX30" s="10"/>
      <c r="EYY30" s="11"/>
      <c r="EYZ30" s="12"/>
      <c r="EZA30" s="12"/>
      <c r="EZB30" s="12"/>
      <c r="EZC30" s="13"/>
      <c r="EZD30" s="9"/>
      <c r="EZE30" s="9"/>
      <c r="EZF30" s="9"/>
      <c r="EZG30" s="9"/>
      <c r="EZH30" s="10"/>
      <c r="EZI30" s="11"/>
      <c r="EZJ30" s="12"/>
      <c r="EZK30" s="12"/>
      <c r="EZL30" s="12"/>
      <c r="EZM30" s="13"/>
      <c r="EZN30" s="9"/>
      <c r="EZO30" s="9"/>
      <c r="EZP30" s="9"/>
      <c r="EZQ30" s="9"/>
      <c r="EZR30" s="10"/>
      <c r="EZS30" s="11"/>
      <c r="EZT30" s="12"/>
      <c r="EZU30" s="12"/>
      <c r="EZV30" s="12"/>
      <c r="EZW30" s="13"/>
      <c r="EZX30" s="9"/>
      <c r="EZY30" s="9"/>
      <c r="EZZ30" s="9"/>
      <c r="FAA30" s="9"/>
      <c r="FAB30" s="10"/>
      <c r="FAC30" s="11"/>
      <c r="FAD30" s="12"/>
      <c r="FAE30" s="12"/>
      <c r="FAF30" s="12"/>
      <c r="FAG30" s="13"/>
      <c r="FAH30" s="9"/>
      <c r="FAI30" s="9"/>
      <c r="FAJ30" s="9"/>
      <c r="FAK30" s="9"/>
      <c r="FAL30" s="10"/>
      <c r="FAM30" s="11"/>
      <c r="FAN30" s="12"/>
      <c r="FAO30" s="12"/>
      <c r="FAP30" s="12"/>
      <c r="FAQ30" s="13"/>
      <c r="FAR30" s="9"/>
      <c r="FAS30" s="9"/>
      <c r="FAT30" s="9"/>
      <c r="FAU30" s="9"/>
      <c r="FAV30" s="10"/>
      <c r="FAW30" s="11"/>
      <c r="FAX30" s="12"/>
      <c r="FAY30" s="12"/>
      <c r="FAZ30" s="12"/>
      <c r="FBA30" s="13"/>
      <c r="FBB30" s="9"/>
      <c r="FBC30" s="9"/>
      <c r="FBD30" s="9"/>
      <c r="FBE30" s="9"/>
      <c r="FBF30" s="10"/>
      <c r="FBG30" s="11"/>
      <c r="FBH30" s="12"/>
      <c r="FBI30" s="12"/>
      <c r="FBJ30" s="12"/>
      <c r="FBK30" s="13"/>
      <c r="FBL30" s="9"/>
      <c r="FBM30" s="9"/>
      <c r="FBN30" s="9"/>
      <c r="FBO30" s="9"/>
      <c r="FBP30" s="10"/>
      <c r="FBQ30" s="11"/>
      <c r="FBR30" s="12"/>
      <c r="FBS30" s="12"/>
      <c r="FBT30" s="12"/>
      <c r="FBU30" s="13"/>
      <c r="FBV30" s="9"/>
      <c r="FBW30" s="9"/>
      <c r="FBX30" s="9"/>
      <c r="FBY30" s="9"/>
      <c r="FBZ30" s="10"/>
      <c r="FCA30" s="11"/>
      <c r="FCB30" s="12"/>
      <c r="FCC30" s="12"/>
      <c r="FCD30" s="12"/>
      <c r="FCE30" s="13"/>
      <c r="FCF30" s="9"/>
      <c r="FCG30" s="9"/>
      <c r="FCH30" s="9"/>
      <c r="FCI30" s="9"/>
      <c r="FCJ30" s="10"/>
      <c r="FCK30" s="11"/>
      <c r="FCL30" s="12"/>
      <c r="FCM30" s="12"/>
      <c r="FCN30" s="12"/>
      <c r="FCO30" s="13"/>
      <c r="FCP30" s="9"/>
      <c r="FCQ30" s="9"/>
      <c r="FCR30" s="9"/>
      <c r="FCS30" s="9"/>
      <c r="FCT30" s="10"/>
      <c r="FCU30" s="11"/>
      <c r="FCV30" s="12"/>
      <c r="FCW30" s="12"/>
      <c r="FCX30" s="12"/>
      <c r="FCY30" s="13"/>
      <c r="FCZ30" s="9"/>
      <c r="FDA30" s="9"/>
      <c r="FDB30" s="9"/>
      <c r="FDC30" s="9"/>
      <c r="FDD30" s="10"/>
      <c r="FDE30" s="11"/>
      <c r="FDF30" s="12"/>
      <c r="FDG30" s="12"/>
      <c r="FDH30" s="12"/>
      <c r="FDI30" s="13"/>
      <c r="FDJ30" s="9"/>
      <c r="FDK30" s="9"/>
      <c r="FDL30" s="9"/>
      <c r="FDM30" s="9"/>
      <c r="FDN30" s="10"/>
      <c r="FDO30" s="11"/>
      <c r="FDP30" s="12"/>
      <c r="FDQ30" s="12"/>
      <c r="FDR30" s="12"/>
      <c r="FDS30" s="13"/>
      <c r="FDT30" s="9"/>
      <c r="FDU30" s="9"/>
      <c r="FDV30" s="9"/>
      <c r="FDW30" s="9"/>
      <c r="FDX30" s="10"/>
      <c r="FDY30" s="11"/>
      <c r="FDZ30" s="12"/>
      <c r="FEA30" s="12"/>
      <c r="FEB30" s="12"/>
      <c r="FEC30" s="13"/>
      <c r="FED30" s="9"/>
      <c r="FEE30" s="9"/>
      <c r="FEF30" s="9"/>
      <c r="FEG30" s="9"/>
      <c r="FEH30" s="10"/>
      <c r="FEI30" s="11"/>
      <c r="FEJ30" s="12"/>
      <c r="FEK30" s="12"/>
      <c r="FEL30" s="12"/>
      <c r="FEM30" s="13"/>
      <c r="FEN30" s="9"/>
      <c r="FEO30" s="9"/>
      <c r="FEP30" s="9"/>
      <c r="FEQ30" s="9"/>
      <c r="FER30" s="10"/>
      <c r="FES30" s="11"/>
      <c r="FET30" s="12"/>
      <c r="FEU30" s="12"/>
      <c r="FEV30" s="12"/>
      <c r="FEW30" s="13"/>
      <c r="FEX30" s="9"/>
      <c r="FEY30" s="9"/>
      <c r="FEZ30" s="9"/>
      <c r="FFA30" s="9"/>
      <c r="FFB30" s="10"/>
      <c r="FFC30" s="11"/>
      <c r="FFD30" s="12"/>
      <c r="FFE30" s="12"/>
      <c r="FFF30" s="12"/>
      <c r="FFG30" s="13"/>
      <c r="FFH30" s="9"/>
      <c r="FFI30" s="9"/>
      <c r="FFJ30" s="9"/>
      <c r="FFK30" s="9"/>
      <c r="FFL30" s="10"/>
      <c r="FFM30" s="11"/>
      <c r="FFN30" s="12"/>
      <c r="FFO30" s="12"/>
      <c r="FFP30" s="12"/>
      <c r="FFQ30" s="13"/>
      <c r="FFR30" s="9"/>
      <c r="FFS30" s="9"/>
      <c r="FFT30" s="9"/>
      <c r="FFU30" s="9"/>
      <c r="FFV30" s="10"/>
      <c r="FFW30" s="11"/>
      <c r="FFX30" s="12"/>
      <c r="FFY30" s="12"/>
      <c r="FFZ30" s="12"/>
      <c r="FGA30" s="13"/>
      <c r="FGB30" s="9"/>
      <c r="FGC30" s="9"/>
      <c r="FGD30" s="9"/>
      <c r="FGE30" s="9"/>
      <c r="FGF30" s="10"/>
      <c r="FGG30" s="11"/>
      <c r="FGH30" s="12"/>
      <c r="FGI30" s="12"/>
      <c r="FGJ30" s="12"/>
      <c r="FGK30" s="13"/>
      <c r="FGL30" s="9"/>
      <c r="FGM30" s="9"/>
      <c r="FGN30" s="9"/>
      <c r="FGO30" s="9"/>
      <c r="FGP30" s="10"/>
      <c r="FGQ30" s="11"/>
      <c r="FGR30" s="12"/>
      <c r="FGS30" s="12"/>
      <c r="FGT30" s="12"/>
      <c r="FGU30" s="13"/>
      <c r="FGV30" s="9"/>
      <c r="FGW30" s="9"/>
      <c r="FGX30" s="9"/>
      <c r="FGY30" s="9"/>
      <c r="FGZ30" s="10"/>
      <c r="FHA30" s="11"/>
      <c r="FHB30" s="12"/>
      <c r="FHC30" s="12"/>
      <c r="FHD30" s="12"/>
      <c r="FHE30" s="13"/>
      <c r="FHF30" s="9"/>
      <c r="FHG30" s="9"/>
      <c r="FHH30" s="9"/>
      <c r="FHI30" s="9"/>
      <c r="FHJ30" s="10"/>
      <c r="FHK30" s="11"/>
      <c r="FHL30" s="12"/>
      <c r="FHM30" s="12"/>
      <c r="FHN30" s="12"/>
      <c r="FHO30" s="13"/>
      <c r="FHP30" s="9"/>
      <c r="FHQ30" s="9"/>
      <c r="FHR30" s="9"/>
      <c r="FHS30" s="9"/>
      <c r="FHT30" s="10"/>
      <c r="FHU30" s="11"/>
      <c r="FHV30" s="12"/>
      <c r="FHW30" s="12"/>
      <c r="FHX30" s="12"/>
      <c r="FHY30" s="13"/>
      <c r="FHZ30" s="9"/>
      <c r="FIA30" s="9"/>
      <c r="FIB30" s="9"/>
      <c r="FIC30" s="9"/>
      <c r="FID30" s="10"/>
      <c r="FIE30" s="11"/>
      <c r="FIF30" s="12"/>
      <c r="FIG30" s="12"/>
      <c r="FIH30" s="12"/>
      <c r="FII30" s="13"/>
      <c r="FIJ30" s="9"/>
      <c r="FIK30" s="9"/>
      <c r="FIL30" s="9"/>
      <c r="FIM30" s="9"/>
      <c r="FIN30" s="10"/>
      <c r="FIO30" s="11"/>
      <c r="FIP30" s="12"/>
      <c r="FIQ30" s="12"/>
      <c r="FIR30" s="12"/>
      <c r="FIS30" s="13"/>
      <c r="FIT30" s="9"/>
      <c r="FIU30" s="9"/>
      <c r="FIV30" s="9"/>
      <c r="FIW30" s="9"/>
      <c r="FIX30" s="10"/>
      <c r="FIY30" s="11"/>
      <c r="FIZ30" s="12"/>
      <c r="FJA30" s="12"/>
      <c r="FJB30" s="12"/>
      <c r="FJC30" s="13"/>
      <c r="FJD30" s="9"/>
      <c r="FJE30" s="9"/>
      <c r="FJF30" s="9"/>
      <c r="FJG30" s="9"/>
      <c r="FJH30" s="10"/>
      <c r="FJI30" s="11"/>
      <c r="FJJ30" s="12"/>
      <c r="FJK30" s="12"/>
      <c r="FJL30" s="12"/>
      <c r="FJM30" s="13"/>
      <c r="FJN30" s="9"/>
      <c r="FJO30" s="9"/>
      <c r="FJP30" s="9"/>
      <c r="FJQ30" s="9"/>
      <c r="FJR30" s="10"/>
      <c r="FJS30" s="11"/>
      <c r="FJT30" s="12"/>
      <c r="FJU30" s="12"/>
      <c r="FJV30" s="12"/>
      <c r="FJW30" s="13"/>
      <c r="FJX30" s="9"/>
      <c r="FJY30" s="9"/>
      <c r="FJZ30" s="9"/>
      <c r="FKA30" s="9"/>
      <c r="FKB30" s="10"/>
      <c r="FKC30" s="11"/>
      <c r="FKD30" s="12"/>
      <c r="FKE30" s="12"/>
      <c r="FKF30" s="12"/>
      <c r="FKG30" s="13"/>
      <c r="FKH30" s="9"/>
      <c r="FKI30" s="9"/>
      <c r="FKJ30" s="9"/>
      <c r="FKK30" s="9"/>
      <c r="FKL30" s="10"/>
      <c r="FKM30" s="11"/>
      <c r="FKN30" s="12"/>
      <c r="FKO30" s="12"/>
      <c r="FKP30" s="12"/>
      <c r="FKQ30" s="13"/>
      <c r="FKR30" s="9"/>
      <c r="FKS30" s="9"/>
      <c r="FKT30" s="9"/>
      <c r="FKU30" s="9"/>
      <c r="FKV30" s="10"/>
      <c r="FKW30" s="11"/>
      <c r="FKX30" s="12"/>
      <c r="FKY30" s="12"/>
      <c r="FKZ30" s="12"/>
      <c r="FLA30" s="13"/>
      <c r="FLB30" s="9"/>
      <c r="FLC30" s="9"/>
      <c r="FLD30" s="9"/>
      <c r="FLE30" s="9"/>
      <c r="FLF30" s="10"/>
      <c r="FLG30" s="11"/>
      <c r="FLH30" s="12"/>
      <c r="FLI30" s="12"/>
      <c r="FLJ30" s="12"/>
      <c r="FLK30" s="13"/>
      <c r="FLL30" s="9"/>
      <c r="FLM30" s="9"/>
      <c r="FLN30" s="9"/>
      <c r="FLO30" s="9"/>
      <c r="FLP30" s="10"/>
      <c r="FLQ30" s="11"/>
      <c r="FLR30" s="12"/>
      <c r="FLS30" s="12"/>
      <c r="FLT30" s="12"/>
      <c r="FLU30" s="13"/>
      <c r="FLV30" s="9"/>
      <c r="FLW30" s="9"/>
      <c r="FLX30" s="9"/>
      <c r="FLY30" s="9"/>
      <c r="FLZ30" s="10"/>
      <c r="FMA30" s="11"/>
      <c r="FMB30" s="12"/>
      <c r="FMC30" s="12"/>
      <c r="FMD30" s="12"/>
      <c r="FME30" s="13"/>
      <c r="FMF30" s="9"/>
      <c r="FMG30" s="9"/>
      <c r="FMH30" s="9"/>
      <c r="FMI30" s="9"/>
      <c r="FMJ30" s="10"/>
      <c r="FMK30" s="11"/>
      <c r="FML30" s="12"/>
      <c r="FMM30" s="12"/>
      <c r="FMN30" s="12"/>
      <c r="FMO30" s="13"/>
      <c r="FMP30" s="9"/>
      <c r="FMQ30" s="9"/>
      <c r="FMR30" s="9"/>
      <c r="FMS30" s="9"/>
      <c r="FMT30" s="10"/>
      <c r="FMU30" s="11"/>
      <c r="FMV30" s="12"/>
      <c r="FMW30" s="12"/>
      <c r="FMX30" s="12"/>
      <c r="FMY30" s="13"/>
      <c r="FMZ30" s="9"/>
      <c r="FNA30" s="9"/>
      <c r="FNB30" s="9"/>
      <c r="FNC30" s="9"/>
      <c r="FND30" s="10"/>
      <c r="FNE30" s="11"/>
      <c r="FNF30" s="12"/>
      <c r="FNG30" s="12"/>
      <c r="FNH30" s="12"/>
      <c r="FNI30" s="13"/>
      <c r="FNJ30" s="9"/>
      <c r="FNK30" s="9"/>
      <c r="FNL30" s="9"/>
      <c r="FNM30" s="9"/>
      <c r="FNN30" s="10"/>
      <c r="FNO30" s="11"/>
      <c r="FNP30" s="12"/>
      <c r="FNQ30" s="12"/>
      <c r="FNR30" s="12"/>
      <c r="FNS30" s="13"/>
      <c r="FNT30" s="9"/>
      <c r="FNU30" s="9"/>
      <c r="FNV30" s="9"/>
      <c r="FNW30" s="9"/>
      <c r="FNX30" s="10"/>
      <c r="FNY30" s="11"/>
      <c r="FNZ30" s="12"/>
      <c r="FOA30" s="12"/>
      <c r="FOB30" s="12"/>
      <c r="FOC30" s="13"/>
      <c r="FOD30" s="9"/>
      <c r="FOE30" s="9"/>
      <c r="FOF30" s="9"/>
      <c r="FOG30" s="9"/>
      <c r="FOH30" s="10"/>
      <c r="FOI30" s="11"/>
      <c r="FOJ30" s="12"/>
      <c r="FOK30" s="12"/>
      <c r="FOL30" s="12"/>
      <c r="FOM30" s="13"/>
      <c r="FON30" s="9"/>
      <c r="FOO30" s="9"/>
      <c r="FOP30" s="9"/>
      <c r="FOQ30" s="9"/>
      <c r="FOR30" s="10"/>
      <c r="FOS30" s="11"/>
      <c r="FOT30" s="12"/>
      <c r="FOU30" s="12"/>
      <c r="FOV30" s="12"/>
      <c r="FOW30" s="13"/>
      <c r="FOX30" s="9"/>
      <c r="FOY30" s="9"/>
      <c r="FOZ30" s="9"/>
      <c r="FPA30" s="9"/>
      <c r="FPB30" s="10"/>
      <c r="FPC30" s="11"/>
      <c r="FPD30" s="12"/>
      <c r="FPE30" s="12"/>
      <c r="FPF30" s="12"/>
      <c r="FPG30" s="13"/>
      <c r="FPH30" s="9"/>
      <c r="FPI30" s="9"/>
      <c r="FPJ30" s="9"/>
      <c r="FPK30" s="9"/>
      <c r="FPL30" s="10"/>
      <c r="FPM30" s="11"/>
      <c r="FPN30" s="12"/>
      <c r="FPO30" s="12"/>
      <c r="FPP30" s="12"/>
      <c r="FPQ30" s="13"/>
      <c r="FPR30" s="9"/>
      <c r="FPS30" s="9"/>
      <c r="FPT30" s="9"/>
      <c r="FPU30" s="9"/>
      <c r="FPV30" s="10"/>
      <c r="FPW30" s="11"/>
      <c r="FPX30" s="12"/>
      <c r="FPY30" s="12"/>
      <c r="FPZ30" s="12"/>
      <c r="FQA30" s="13"/>
      <c r="FQB30" s="9"/>
      <c r="FQC30" s="9"/>
      <c r="FQD30" s="9"/>
      <c r="FQE30" s="9"/>
      <c r="FQF30" s="10"/>
      <c r="FQG30" s="11"/>
      <c r="FQH30" s="12"/>
      <c r="FQI30" s="12"/>
      <c r="FQJ30" s="12"/>
      <c r="FQK30" s="13"/>
      <c r="FQL30" s="9"/>
      <c r="FQM30" s="9"/>
      <c r="FQN30" s="9"/>
      <c r="FQO30" s="9"/>
      <c r="FQP30" s="10"/>
      <c r="FQQ30" s="11"/>
      <c r="FQR30" s="12"/>
      <c r="FQS30" s="12"/>
      <c r="FQT30" s="12"/>
      <c r="FQU30" s="13"/>
      <c r="FQV30" s="9"/>
      <c r="FQW30" s="9"/>
      <c r="FQX30" s="9"/>
      <c r="FQY30" s="9"/>
      <c r="FQZ30" s="10"/>
      <c r="FRA30" s="11"/>
      <c r="FRB30" s="12"/>
      <c r="FRC30" s="12"/>
      <c r="FRD30" s="12"/>
      <c r="FRE30" s="13"/>
      <c r="FRF30" s="9"/>
      <c r="FRG30" s="9"/>
      <c r="FRH30" s="9"/>
      <c r="FRI30" s="9"/>
      <c r="FRJ30" s="10"/>
      <c r="FRK30" s="11"/>
      <c r="FRL30" s="12"/>
      <c r="FRM30" s="12"/>
      <c r="FRN30" s="12"/>
      <c r="FRO30" s="13"/>
      <c r="FRP30" s="9"/>
      <c r="FRQ30" s="9"/>
      <c r="FRR30" s="9"/>
      <c r="FRS30" s="9"/>
      <c r="FRT30" s="10"/>
      <c r="FRU30" s="11"/>
      <c r="FRV30" s="12"/>
      <c r="FRW30" s="12"/>
      <c r="FRX30" s="12"/>
      <c r="FRY30" s="13"/>
      <c r="FRZ30" s="9"/>
      <c r="FSA30" s="9"/>
      <c r="FSB30" s="9"/>
      <c r="FSC30" s="9"/>
      <c r="FSD30" s="10"/>
      <c r="FSE30" s="11"/>
      <c r="FSF30" s="12"/>
      <c r="FSG30" s="12"/>
      <c r="FSH30" s="12"/>
      <c r="FSI30" s="13"/>
      <c r="FSJ30" s="9"/>
      <c r="FSK30" s="9"/>
      <c r="FSL30" s="9"/>
      <c r="FSM30" s="9"/>
      <c r="FSN30" s="10"/>
      <c r="FSO30" s="11"/>
      <c r="FSP30" s="12"/>
      <c r="FSQ30" s="12"/>
      <c r="FSR30" s="12"/>
      <c r="FSS30" s="13"/>
      <c r="FST30" s="9"/>
      <c r="FSU30" s="9"/>
      <c r="FSV30" s="9"/>
      <c r="FSW30" s="9"/>
      <c r="FSX30" s="10"/>
      <c r="FSY30" s="11"/>
      <c r="FSZ30" s="12"/>
      <c r="FTA30" s="12"/>
      <c r="FTB30" s="12"/>
      <c r="FTC30" s="13"/>
      <c r="FTD30" s="9"/>
      <c r="FTE30" s="9"/>
      <c r="FTF30" s="9"/>
      <c r="FTG30" s="9"/>
      <c r="FTH30" s="10"/>
      <c r="FTI30" s="11"/>
      <c r="FTJ30" s="12"/>
      <c r="FTK30" s="12"/>
      <c r="FTL30" s="12"/>
      <c r="FTM30" s="13"/>
      <c r="FTN30" s="9"/>
      <c r="FTO30" s="9"/>
      <c r="FTP30" s="9"/>
      <c r="FTQ30" s="9"/>
      <c r="FTR30" s="10"/>
      <c r="FTS30" s="11"/>
      <c r="FTT30" s="12"/>
      <c r="FTU30" s="12"/>
      <c r="FTV30" s="12"/>
      <c r="FTW30" s="13"/>
      <c r="FTX30" s="9"/>
      <c r="FTY30" s="9"/>
      <c r="FTZ30" s="9"/>
      <c r="FUA30" s="9"/>
      <c r="FUB30" s="10"/>
      <c r="FUC30" s="11"/>
      <c r="FUD30" s="12"/>
      <c r="FUE30" s="12"/>
      <c r="FUF30" s="12"/>
      <c r="FUG30" s="13"/>
      <c r="FUH30" s="9"/>
      <c r="FUI30" s="9"/>
      <c r="FUJ30" s="9"/>
      <c r="FUK30" s="9"/>
      <c r="FUL30" s="10"/>
      <c r="FUM30" s="11"/>
      <c r="FUN30" s="12"/>
      <c r="FUO30" s="12"/>
      <c r="FUP30" s="12"/>
      <c r="FUQ30" s="13"/>
      <c r="FUR30" s="9"/>
      <c r="FUS30" s="9"/>
      <c r="FUT30" s="9"/>
      <c r="FUU30" s="9"/>
      <c r="FUV30" s="10"/>
      <c r="FUW30" s="11"/>
      <c r="FUX30" s="12"/>
      <c r="FUY30" s="12"/>
      <c r="FUZ30" s="12"/>
      <c r="FVA30" s="13"/>
      <c r="FVB30" s="9"/>
      <c r="FVC30" s="9"/>
      <c r="FVD30" s="9"/>
      <c r="FVE30" s="9"/>
      <c r="FVF30" s="10"/>
      <c r="FVG30" s="11"/>
      <c r="FVH30" s="12"/>
      <c r="FVI30" s="12"/>
      <c r="FVJ30" s="12"/>
      <c r="FVK30" s="13"/>
      <c r="FVL30" s="9"/>
      <c r="FVM30" s="9"/>
      <c r="FVN30" s="9"/>
      <c r="FVO30" s="9"/>
      <c r="FVP30" s="10"/>
      <c r="FVQ30" s="11"/>
      <c r="FVR30" s="12"/>
      <c r="FVS30" s="12"/>
      <c r="FVT30" s="12"/>
      <c r="FVU30" s="13"/>
      <c r="FVV30" s="9"/>
      <c r="FVW30" s="9"/>
      <c r="FVX30" s="9"/>
      <c r="FVY30" s="9"/>
      <c r="FVZ30" s="10"/>
      <c r="FWA30" s="11"/>
      <c r="FWB30" s="12"/>
      <c r="FWC30" s="12"/>
      <c r="FWD30" s="12"/>
      <c r="FWE30" s="13"/>
      <c r="FWF30" s="9"/>
      <c r="FWG30" s="9"/>
      <c r="FWH30" s="9"/>
      <c r="FWI30" s="9"/>
      <c r="FWJ30" s="10"/>
      <c r="FWK30" s="11"/>
      <c r="FWL30" s="12"/>
      <c r="FWM30" s="12"/>
      <c r="FWN30" s="12"/>
      <c r="FWO30" s="13"/>
      <c r="FWP30" s="9"/>
      <c r="FWQ30" s="9"/>
      <c r="FWR30" s="9"/>
      <c r="FWS30" s="9"/>
      <c r="FWT30" s="10"/>
      <c r="FWU30" s="11"/>
      <c r="FWV30" s="12"/>
      <c r="FWW30" s="12"/>
      <c r="FWX30" s="12"/>
      <c r="FWY30" s="13"/>
      <c r="FWZ30" s="9"/>
      <c r="FXA30" s="9"/>
      <c r="FXB30" s="9"/>
      <c r="FXC30" s="9"/>
      <c r="FXD30" s="10"/>
      <c r="FXE30" s="11"/>
      <c r="FXF30" s="12"/>
      <c r="FXG30" s="12"/>
      <c r="FXH30" s="12"/>
      <c r="FXI30" s="13"/>
      <c r="FXJ30" s="9"/>
      <c r="FXK30" s="9"/>
      <c r="FXL30" s="9"/>
      <c r="FXM30" s="9"/>
      <c r="FXN30" s="10"/>
      <c r="FXO30" s="11"/>
      <c r="FXP30" s="12"/>
      <c r="FXQ30" s="12"/>
      <c r="FXR30" s="12"/>
      <c r="FXS30" s="13"/>
      <c r="FXT30" s="9"/>
      <c r="FXU30" s="9"/>
      <c r="FXV30" s="9"/>
      <c r="FXW30" s="9"/>
      <c r="FXX30" s="10"/>
      <c r="FXY30" s="11"/>
      <c r="FXZ30" s="12"/>
      <c r="FYA30" s="12"/>
      <c r="FYB30" s="12"/>
      <c r="FYC30" s="13"/>
      <c r="FYD30" s="9"/>
      <c r="FYE30" s="9"/>
      <c r="FYF30" s="9"/>
      <c r="FYG30" s="9"/>
      <c r="FYH30" s="10"/>
      <c r="FYI30" s="11"/>
      <c r="FYJ30" s="12"/>
      <c r="FYK30" s="12"/>
      <c r="FYL30" s="12"/>
      <c r="FYM30" s="13"/>
      <c r="FYN30" s="9"/>
      <c r="FYO30" s="9"/>
      <c r="FYP30" s="9"/>
      <c r="FYQ30" s="9"/>
      <c r="FYR30" s="10"/>
      <c r="FYS30" s="11"/>
      <c r="FYT30" s="12"/>
      <c r="FYU30" s="12"/>
      <c r="FYV30" s="12"/>
      <c r="FYW30" s="13"/>
      <c r="FYX30" s="9"/>
      <c r="FYY30" s="9"/>
      <c r="FYZ30" s="9"/>
      <c r="FZA30" s="9"/>
      <c r="FZB30" s="10"/>
      <c r="FZC30" s="11"/>
      <c r="FZD30" s="12"/>
      <c r="FZE30" s="12"/>
      <c r="FZF30" s="12"/>
      <c r="FZG30" s="13"/>
      <c r="FZH30" s="9"/>
      <c r="FZI30" s="9"/>
      <c r="FZJ30" s="9"/>
      <c r="FZK30" s="9"/>
      <c r="FZL30" s="10"/>
      <c r="FZM30" s="11"/>
      <c r="FZN30" s="12"/>
      <c r="FZO30" s="12"/>
      <c r="FZP30" s="12"/>
      <c r="FZQ30" s="13"/>
      <c r="FZR30" s="9"/>
      <c r="FZS30" s="9"/>
      <c r="FZT30" s="9"/>
      <c r="FZU30" s="9"/>
      <c r="FZV30" s="10"/>
      <c r="FZW30" s="11"/>
      <c r="FZX30" s="12"/>
      <c r="FZY30" s="12"/>
      <c r="FZZ30" s="12"/>
      <c r="GAA30" s="13"/>
      <c r="GAB30" s="9"/>
      <c r="GAC30" s="9"/>
      <c r="GAD30" s="9"/>
      <c r="GAE30" s="9"/>
      <c r="GAF30" s="10"/>
      <c r="GAG30" s="11"/>
      <c r="GAH30" s="12"/>
      <c r="GAI30" s="12"/>
      <c r="GAJ30" s="12"/>
      <c r="GAK30" s="13"/>
      <c r="GAL30" s="9"/>
      <c r="GAM30" s="9"/>
      <c r="GAN30" s="9"/>
      <c r="GAO30" s="9"/>
      <c r="GAP30" s="10"/>
      <c r="GAQ30" s="11"/>
      <c r="GAR30" s="12"/>
      <c r="GAS30" s="12"/>
      <c r="GAT30" s="12"/>
      <c r="GAU30" s="13"/>
      <c r="GAV30" s="9"/>
      <c r="GAW30" s="9"/>
      <c r="GAX30" s="9"/>
      <c r="GAY30" s="9"/>
      <c r="GAZ30" s="10"/>
      <c r="GBA30" s="11"/>
      <c r="GBB30" s="12"/>
      <c r="GBC30" s="12"/>
      <c r="GBD30" s="12"/>
      <c r="GBE30" s="13"/>
      <c r="GBF30" s="9"/>
      <c r="GBG30" s="9"/>
      <c r="GBH30" s="9"/>
      <c r="GBI30" s="9"/>
      <c r="GBJ30" s="10"/>
      <c r="GBK30" s="11"/>
      <c r="GBL30" s="12"/>
      <c r="GBM30" s="12"/>
      <c r="GBN30" s="12"/>
      <c r="GBO30" s="13"/>
      <c r="GBP30" s="9"/>
      <c r="GBQ30" s="9"/>
      <c r="GBR30" s="9"/>
      <c r="GBS30" s="9"/>
      <c r="GBT30" s="10"/>
      <c r="GBU30" s="11"/>
      <c r="GBV30" s="12"/>
      <c r="GBW30" s="12"/>
      <c r="GBX30" s="12"/>
      <c r="GBY30" s="13"/>
      <c r="GBZ30" s="9"/>
      <c r="GCA30" s="9"/>
      <c r="GCB30" s="9"/>
      <c r="GCC30" s="9"/>
      <c r="GCD30" s="10"/>
      <c r="GCE30" s="11"/>
      <c r="GCF30" s="12"/>
      <c r="GCG30" s="12"/>
      <c r="GCH30" s="12"/>
      <c r="GCI30" s="13"/>
      <c r="GCJ30" s="9"/>
      <c r="GCK30" s="9"/>
      <c r="GCL30" s="9"/>
      <c r="GCM30" s="9"/>
      <c r="GCN30" s="10"/>
      <c r="GCO30" s="11"/>
      <c r="GCP30" s="12"/>
      <c r="GCQ30" s="12"/>
      <c r="GCR30" s="12"/>
      <c r="GCS30" s="13"/>
      <c r="GCT30" s="9"/>
      <c r="GCU30" s="9"/>
      <c r="GCV30" s="9"/>
      <c r="GCW30" s="9"/>
      <c r="GCX30" s="10"/>
      <c r="GCY30" s="11"/>
      <c r="GCZ30" s="12"/>
      <c r="GDA30" s="12"/>
      <c r="GDB30" s="12"/>
      <c r="GDC30" s="13"/>
      <c r="GDD30" s="9"/>
      <c r="GDE30" s="9"/>
      <c r="GDF30" s="9"/>
      <c r="GDG30" s="9"/>
      <c r="GDH30" s="10"/>
      <c r="GDI30" s="11"/>
      <c r="GDJ30" s="12"/>
      <c r="GDK30" s="12"/>
      <c r="GDL30" s="12"/>
      <c r="GDM30" s="13"/>
      <c r="GDN30" s="9"/>
      <c r="GDO30" s="9"/>
      <c r="GDP30" s="9"/>
      <c r="GDQ30" s="9"/>
      <c r="GDR30" s="10"/>
      <c r="GDS30" s="11"/>
      <c r="GDT30" s="12"/>
      <c r="GDU30" s="12"/>
      <c r="GDV30" s="12"/>
      <c r="GDW30" s="13"/>
      <c r="GDX30" s="9"/>
      <c r="GDY30" s="9"/>
      <c r="GDZ30" s="9"/>
      <c r="GEA30" s="9"/>
      <c r="GEB30" s="10"/>
      <c r="GEC30" s="11"/>
      <c r="GED30" s="12"/>
      <c r="GEE30" s="12"/>
      <c r="GEF30" s="12"/>
      <c r="GEG30" s="13"/>
      <c r="GEH30" s="9"/>
      <c r="GEI30" s="9"/>
      <c r="GEJ30" s="9"/>
      <c r="GEK30" s="9"/>
      <c r="GEL30" s="10"/>
      <c r="GEM30" s="11"/>
      <c r="GEN30" s="12"/>
      <c r="GEO30" s="12"/>
      <c r="GEP30" s="12"/>
      <c r="GEQ30" s="13"/>
      <c r="GER30" s="9"/>
      <c r="GES30" s="9"/>
      <c r="GET30" s="9"/>
      <c r="GEU30" s="9"/>
      <c r="GEV30" s="10"/>
      <c r="GEW30" s="11"/>
      <c r="GEX30" s="12"/>
      <c r="GEY30" s="12"/>
      <c r="GEZ30" s="12"/>
      <c r="GFA30" s="13"/>
      <c r="GFB30" s="9"/>
      <c r="GFC30" s="9"/>
      <c r="GFD30" s="9"/>
      <c r="GFE30" s="9"/>
      <c r="GFF30" s="10"/>
      <c r="GFG30" s="11"/>
      <c r="GFH30" s="12"/>
      <c r="GFI30" s="12"/>
      <c r="GFJ30" s="12"/>
      <c r="GFK30" s="13"/>
      <c r="GFL30" s="9"/>
      <c r="GFM30" s="9"/>
      <c r="GFN30" s="9"/>
      <c r="GFO30" s="9"/>
      <c r="GFP30" s="10"/>
      <c r="GFQ30" s="11"/>
      <c r="GFR30" s="12"/>
      <c r="GFS30" s="12"/>
      <c r="GFT30" s="12"/>
      <c r="GFU30" s="13"/>
      <c r="GFV30" s="9"/>
      <c r="GFW30" s="9"/>
      <c r="GFX30" s="9"/>
      <c r="GFY30" s="9"/>
      <c r="GFZ30" s="10"/>
      <c r="GGA30" s="11"/>
      <c r="GGB30" s="12"/>
      <c r="GGC30" s="12"/>
      <c r="GGD30" s="12"/>
      <c r="GGE30" s="13"/>
      <c r="GGF30" s="9"/>
      <c r="GGG30" s="9"/>
      <c r="GGH30" s="9"/>
      <c r="GGI30" s="9"/>
      <c r="GGJ30" s="10"/>
      <c r="GGK30" s="11"/>
      <c r="GGL30" s="12"/>
      <c r="GGM30" s="12"/>
      <c r="GGN30" s="12"/>
      <c r="GGO30" s="13"/>
      <c r="GGP30" s="9"/>
      <c r="GGQ30" s="9"/>
      <c r="GGR30" s="9"/>
      <c r="GGS30" s="9"/>
      <c r="GGT30" s="10"/>
      <c r="GGU30" s="11"/>
      <c r="GGV30" s="12"/>
      <c r="GGW30" s="12"/>
      <c r="GGX30" s="12"/>
      <c r="GGY30" s="13"/>
      <c r="GGZ30" s="9"/>
      <c r="GHA30" s="9"/>
      <c r="GHB30" s="9"/>
      <c r="GHC30" s="9"/>
      <c r="GHD30" s="10"/>
      <c r="GHE30" s="11"/>
      <c r="GHF30" s="12"/>
      <c r="GHG30" s="12"/>
      <c r="GHH30" s="12"/>
      <c r="GHI30" s="13"/>
      <c r="GHJ30" s="9"/>
      <c r="GHK30" s="9"/>
      <c r="GHL30" s="9"/>
      <c r="GHM30" s="9"/>
      <c r="GHN30" s="10"/>
      <c r="GHO30" s="11"/>
      <c r="GHP30" s="12"/>
      <c r="GHQ30" s="12"/>
      <c r="GHR30" s="12"/>
      <c r="GHS30" s="13"/>
      <c r="GHT30" s="9"/>
      <c r="GHU30" s="9"/>
      <c r="GHV30" s="9"/>
      <c r="GHW30" s="9"/>
      <c r="GHX30" s="10"/>
      <c r="GHY30" s="11"/>
      <c r="GHZ30" s="12"/>
      <c r="GIA30" s="12"/>
      <c r="GIB30" s="12"/>
      <c r="GIC30" s="13"/>
      <c r="GID30" s="9"/>
      <c r="GIE30" s="9"/>
      <c r="GIF30" s="9"/>
      <c r="GIG30" s="9"/>
      <c r="GIH30" s="10"/>
      <c r="GII30" s="11"/>
      <c r="GIJ30" s="12"/>
      <c r="GIK30" s="12"/>
      <c r="GIL30" s="12"/>
      <c r="GIM30" s="13"/>
      <c r="GIN30" s="9"/>
      <c r="GIO30" s="9"/>
      <c r="GIP30" s="9"/>
      <c r="GIQ30" s="9"/>
      <c r="GIR30" s="10"/>
      <c r="GIS30" s="11"/>
      <c r="GIT30" s="12"/>
      <c r="GIU30" s="12"/>
      <c r="GIV30" s="12"/>
      <c r="GIW30" s="13"/>
      <c r="GIX30" s="9"/>
      <c r="GIY30" s="9"/>
      <c r="GIZ30" s="9"/>
      <c r="GJA30" s="9"/>
      <c r="GJB30" s="10"/>
      <c r="GJC30" s="11"/>
      <c r="GJD30" s="12"/>
      <c r="GJE30" s="12"/>
      <c r="GJF30" s="12"/>
      <c r="GJG30" s="13"/>
      <c r="GJH30" s="9"/>
      <c r="GJI30" s="9"/>
      <c r="GJJ30" s="9"/>
      <c r="GJK30" s="9"/>
      <c r="GJL30" s="10"/>
      <c r="GJM30" s="11"/>
      <c r="GJN30" s="12"/>
      <c r="GJO30" s="12"/>
      <c r="GJP30" s="12"/>
      <c r="GJQ30" s="13"/>
      <c r="GJR30" s="9"/>
      <c r="GJS30" s="9"/>
      <c r="GJT30" s="9"/>
      <c r="GJU30" s="9"/>
      <c r="GJV30" s="10"/>
      <c r="GJW30" s="11"/>
      <c r="GJX30" s="12"/>
      <c r="GJY30" s="12"/>
      <c r="GJZ30" s="12"/>
      <c r="GKA30" s="13"/>
      <c r="GKB30" s="9"/>
      <c r="GKC30" s="9"/>
      <c r="GKD30" s="9"/>
      <c r="GKE30" s="9"/>
      <c r="GKF30" s="10"/>
      <c r="GKG30" s="11"/>
      <c r="GKH30" s="12"/>
      <c r="GKI30" s="12"/>
      <c r="GKJ30" s="12"/>
      <c r="GKK30" s="13"/>
      <c r="GKL30" s="9"/>
      <c r="GKM30" s="9"/>
      <c r="GKN30" s="9"/>
      <c r="GKO30" s="9"/>
      <c r="GKP30" s="10"/>
      <c r="GKQ30" s="11"/>
      <c r="GKR30" s="12"/>
      <c r="GKS30" s="12"/>
      <c r="GKT30" s="12"/>
      <c r="GKU30" s="13"/>
      <c r="GKV30" s="9"/>
      <c r="GKW30" s="9"/>
      <c r="GKX30" s="9"/>
      <c r="GKY30" s="9"/>
      <c r="GKZ30" s="10"/>
      <c r="GLA30" s="11"/>
      <c r="GLB30" s="12"/>
      <c r="GLC30" s="12"/>
      <c r="GLD30" s="12"/>
      <c r="GLE30" s="13"/>
      <c r="GLF30" s="9"/>
      <c r="GLG30" s="9"/>
      <c r="GLH30" s="9"/>
      <c r="GLI30" s="9"/>
      <c r="GLJ30" s="10"/>
      <c r="GLK30" s="11"/>
      <c r="GLL30" s="12"/>
      <c r="GLM30" s="12"/>
      <c r="GLN30" s="12"/>
      <c r="GLO30" s="13"/>
      <c r="GLP30" s="9"/>
      <c r="GLQ30" s="9"/>
      <c r="GLR30" s="9"/>
      <c r="GLS30" s="9"/>
      <c r="GLT30" s="10"/>
      <c r="GLU30" s="11"/>
      <c r="GLV30" s="12"/>
      <c r="GLW30" s="12"/>
      <c r="GLX30" s="12"/>
      <c r="GLY30" s="13"/>
      <c r="GLZ30" s="9"/>
      <c r="GMA30" s="9"/>
      <c r="GMB30" s="9"/>
      <c r="GMC30" s="9"/>
      <c r="GMD30" s="10"/>
      <c r="GME30" s="11"/>
      <c r="GMF30" s="12"/>
      <c r="GMG30" s="12"/>
      <c r="GMH30" s="12"/>
      <c r="GMI30" s="13"/>
      <c r="GMJ30" s="9"/>
      <c r="GMK30" s="9"/>
      <c r="GML30" s="9"/>
      <c r="GMM30" s="9"/>
      <c r="GMN30" s="10"/>
      <c r="GMO30" s="11"/>
      <c r="GMP30" s="12"/>
      <c r="GMQ30" s="12"/>
      <c r="GMR30" s="12"/>
      <c r="GMS30" s="13"/>
      <c r="GMT30" s="9"/>
      <c r="GMU30" s="9"/>
      <c r="GMV30" s="9"/>
      <c r="GMW30" s="9"/>
      <c r="GMX30" s="10"/>
      <c r="GMY30" s="11"/>
      <c r="GMZ30" s="12"/>
      <c r="GNA30" s="12"/>
      <c r="GNB30" s="12"/>
      <c r="GNC30" s="13"/>
      <c r="GND30" s="9"/>
      <c r="GNE30" s="9"/>
      <c r="GNF30" s="9"/>
      <c r="GNG30" s="9"/>
      <c r="GNH30" s="10"/>
      <c r="GNI30" s="11"/>
      <c r="GNJ30" s="12"/>
      <c r="GNK30" s="12"/>
      <c r="GNL30" s="12"/>
      <c r="GNM30" s="13"/>
      <c r="GNN30" s="9"/>
      <c r="GNO30" s="9"/>
      <c r="GNP30" s="9"/>
      <c r="GNQ30" s="9"/>
      <c r="GNR30" s="10"/>
      <c r="GNS30" s="11"/>
      <c r="GNT30" s="12"/>
      <c r="GNU30" s="12"/>
      <c r="GNV30" s="12"/>
      <c r="GNW30" s="13"/>
      <c r="GNX30" s="9"/>
      <c r="GNY30" s="9"/>
      <c r="GNZ30" s="9"/>
      <c r="GOA30" s="9"/>
      <c r="GOB30" s="10"/>
      <c r="GOC30" s="11"/>
      <c r="GOD30" s="12"/>
      <c r="GOE30" s="12"/>
      <c r="GOF30" s="12"/>
      <c r="GOG30" s="13"/>
      <c r="GOH30" s="9"/>
      <c r="GOI30" s="9"/>
      <c r="GOJ30" s="9"/>
      <c r="GOK30" s="9"/>
      <c r="GOL30" s="10"/>
      <c r="GOM30" s="11"/>
      <c r="GON30" s="12"/>
      <c r="GOO30" s="12"/>
      <c r="GOP30" s="12"/>
      <c r="GOQ30" s="13"/>
      <c r="GOR30" s="9"/>
      <c r="GOS30" s="9"/>
      <c r="GOT30" s="9"/>
      <c r="GOU30" s="9"/>
      <c r="GOV30" s="10"/>
      <c r="GOW30" s="11"/>
      <c r="GOX30" s="12"/>
      <c r="GOY30" s="12"/>
      <c r="GOZ30" s="12"/>
      <c r="GPA30" s="13"/>
      <c r="GPB30" s="9"/>
      <c r="GPC30" s="9"/>
      <c r="GPD30" s="9"/>
      <c r="GPE30" s="9"/>
      <c r="GPF30" s="10"/>
      <c r="GPG30" s="11"/>
      <c r="GPH30" s="12"/>
      <c r="GPI30" s="12"/>
      <c r="GPJ30" s="12"/>
      <c r="GPK30" s="13"/>
      <c r="GPL30" s="9"/>
      <c r="GPM30" s="9"/>
      <c r="GPN30" s="9"/>
      <c r="GPO30" s="9"/>
      <c r="GPP30" s="10"/>
      <c r="GPQ30" s="11"/>
      <c r="GPR30" s="12"/>
      <c r="GPS30" s="12"/>
      <c r="GPT30" s="12"/>
      <c r="GPU30" s="13"/>
      <c r="GPV30" s="9"/>
      <c r="GPW30" s="9"/>
      <c r="GPX30" s="9"/>
      <c r="GPY30" s="9"/>
      <c r="GPZ30" s="10"/>
      <c r="GQA30" s="11"/>
      <c r="GQB30" s="12"/>
      <c r="GQC30" s="12"/>
      <c r="GQD30" s="12"/>
      <c r="GQE30" s="13"/>
      <c r="GQF30" s="9"/>
      <c r="GQG30" s="9"/>
      <c r="GQH30" s="9"/>
      <c r="GQI30" s="9"/>
      <c r="GQJ30" s="10"/>
      <c r="GQK30" s="11"/>
      <c r="GQL30" s="12"/>
      <c r="GQM30" s="12"/>
      <c r="GQN30" s="12"/>
      <c r="GQO30" s="13"/>
      <c r="GQP30" s="9"/>
      <c r="GQQ30" s="9"/>
      <c r="GQR30" s="9"/>
      <c r="GQS30" s="9"/>
      <c r="GQT30" s="10"/>
      <c r="GQU30" s="11"/>
      <c r="GQV30" s="12"/>
      <c r="GQW30" s="12"/>
      <c r="GQX30" s="12"/>
      <c r="GQY30" s="13"/>
      <c r="GQZ30" s="9"/>
      <c r="GRA30" s="9"/>
      <c r="GRB30" s="9"/>
      <c r="GRC30" s="9"/>
      <c r="GRD30" s="10"/>
      <c r="GRE30" s="11"/>
      <c r="GRF30" s="12"/>
      <c r="GRG30" s="12"/>
      <c r="GRH30" s="12"/>
      <c r="GRI30" s="13"/>
      <c r="GRJ30" s="9"/>
      <c r="GRK30" s="9"/>
      <c r="GRL30" s="9"/>
      <c r="GRM30" s="9"/>
      <c r="GRN30" s="10"/>
      <c r="GRO30" s="11"/>
      <c r="GRP30" s="12"/>
      <c r="GRQ30" s="12"/>
      <c r="GRR30" s="12"/>
      <c r="GRS30" s="13"/>
      <c r="GRT30" s="9"/>
      <c r="GRU30" s="9"/>
      <c r="GRV30" s="9"/>
      <c r="GRW30" s="9"/>
      <c r="GRX30" s="10"/>
      <c r="GRY30" s="11"/>
      <c r="GRZ30" s="12"/>
      <c r="GSA30" s="12"/>
      <c r="GSB30" s="12"/>
      <c r="GSC30" s="13"/>
      <c r="GSD30" s="9"/>
      <c r="GSE30" s="9"/>
      <c r="GSF30" s="9"/>
      <c r="GSG30" s="9"/>
      <c r="GSH30" s="10"/>
      <c r="GSI30" s="11"/>
      <c r="GSJ30" s="12"/>
      <c r="GSK30" s="12"/>
      <c r="GSL30" s="12"/>
      <c r="GSM30" s="13"/>
      <c r="GSN30" s="9"/>
      <c r="GSO30" s="9"/>
      <c r="GSP30" s="9"/>
      <c r="GSQ30" s="9"/>
      <c r="GSR30" s="10"/>
      <c r="GSS30" s="11"/>
      <c r="GST30" s="12"/>
      <c r="GSU30" s="12"/>
      <c r="GSV30" s="12"/>
      <c r="GSW30" s="13"/>
      <c r="GSX30" s="9"/>
      <c r="GSY30" s="9"/>
      <c r="GSZ30" s="9"/>
      <c r="GTA30" s="9"/>
      <c r="GTB30" s="10"/>
      <c r="GTC30" s="11"/>
      <c r="GTD30" s="12"/>
      <c r="GTE30" s="12"/>
      <c r="GTF30" s="12"/>
      <c r="GTG30" s="13"/>
      <c r="GTH30" s="9"/>
      <c r="GTI30" s="9"/>
      <c r="GTJ30" s="9"/>
      <c r="GTK30" s="9"/>
      <c r="GTL30" s="10"/>
      <c r="GTM30" s="11"/>
      <c r="GTN30" s="12"/>
      <c r="GTO30" s="12"/>
      <c r="GTP30" s="12"/>
      <c r="GTQ30" s="13"/>
      <c r="GTR30" s="9"/>
      <c r="GTS30" s="9"/>
      <c r="GTT30" s="9"/>
      <c r="GTU30" s="9"/>
      <c r="GTV30" s="10"/>
      <c r="GTW30" s="11"/>
      <c r="GTX30" s="12"/>
      <c r="GTY30" s="12"/>
      <c r="GTZ30" s="12"/>
      <c r="GUA30" s="13"/>
      <c r="GUB30" s="9"/>
      <c r="GUC30" s="9"/>
      <c r="GUD30" s="9"/>
      <c r="GUE30" s="9"/>
      <c r="GUF30" s="10"/>
      <c r="GUG30" s="11"/>
      <c r="GUH30" s="12"/>
      <c r="GUI30" s="12"/>
      <c r="GUJ30" s="12"/>
      <c r="GUK30" s="13"/>
      <c r="GUL30" s="9"/>
      <c r="GUM30" s="9"/>
      <c r="GUN30" s="9"/>
      <c r="GUO30" s="9"/>
      <c r="GUP30" s="10"/>
      <c r="GUQ30" s="11"/>
      <c r="GUR30" s="12"/>
      <c r="GUS30" s="12"/>
      <c r="GUT30" s="12"/>
      <c r="GUU30" s="13"/>
      <c r="GUV30" s="9"/>
      <c r="GUW30" s="9"/>
      <c r="GUX30" s="9"/>
      <c r="GUY30" s="9"/>
      <c r="GUZ30" s="10"/>
      <c r="GVA30" s="11"/>
      <c r="GVB30" s="12"/>
      <c r="GVC30" s="12"/>
      <c r="GVD30" s="12"/>
      <c r="GVE30" s="13"/>
      <c r="GVF30" s="9"/>
      <c r="GVG30" s="9"/>
      <c r="GVH30" s="9"/>
      <c r="GVI30" s="9"/>
      <c r="GVJ30" s="10"/>
      <c r="GVK30" s="11"/>
      <c r="GVL30" s="12"/>
      <c r="GVM30" s="12"/>
      <c r="GVN30" s="12"/>
      <c r="GVO30" s="13"/>
      <c r="GVP30" s="9"/>
      <c r="GVQ30" s="9"/>
      <c r="GVR30" s="9"/>
      <c r="GVS30" s="9"/>
      <c r="GVT30" s="10"/>
      <c r="GVU30" s="11"/>
      <c r="GVV30" s="12"/>
      <c r="GVW30" s="12"/>
      <c r="GVX30" s="12"/>
      <c r="GVY30" s="13"/>
      <c r="GVZ30" s="9"/>
      <c r="GWA30" s="9"/>
      <c r="GWB30" s="9"/>
      <c r="GWC30" s="9"/>
      <c r="GWD30" s="10"/>
      <c r="GWE30" s="11"/>
      <c r="GWF30" s="12"/>
      <c r="GWG30" s="12"/>
      <c r="GWH30" s="12"/>
      <c r="GWI30" s="13"/>
      <c r="GWJ30" s="9"/>
      <c r="GWK30" s="9"/>
      <c r="GWL30" s="9"/>
      <c r="GWM30" s="9"/>
      <c r="GWN30" s="10"/>
      <c r="GWO30" s="11"/>
      <c r="GWP30" s="12"/>
      <c r="GWQ30" s="12"/>
      <c r="GWR30" s="12"/>
      <c r="GWS30" s="13"/>
      <c r="GWT30" s="9"/>
      <c r="GWU30" s="9"/>
      <c r="GWV30" s="9"/>
      <c r="GWW30" s="9"/>
      <c r="GWX30" s="10"/>
      <c r="GWY30" s="11"/>
      <c r="GWZ30" s="12"/>
      <c r="GXA30" s="12"/>
      <c r="GXB30" s="12"/>
      <c r="GXC30" s="13"/>
      <c r="GXD30" s="9"/>
      <c r="GXE30" s="9"/>
      <c r="GXF30" s="9"/>
      <c r="GXG30" s="9"/>
      <c r="GXH30" s="10"/>
      <c r="GXI30" s="11"/>
      <c r="GXJ30" s="12"/>
      <c r="GXK30" s="12"/>
      <c r="GXL30" s="12"/>
      <c r="GXM30" s="13"/>
      <c r="GXN30" s="9"/>
      <c r="GXO30" s="9"/>
      <c r="GXP30" s="9"/>
      <c r="GXQ30" s="9"/>
      <c r="GXR30" s="10"/>
      <c r="GXS30" s="11"/>
      <c r="GXT30" s="12"/>
      <c r="GXU30" s="12"/>
      <c r="GXV30" s="12"/>
      <c r="GXW30" s="13"/>
      <c r="GXX30" s="9"/>
      <c r="GXY30" s="9"/>
      <c r="GXZ30" s="9"/>
      <c r="GYA30" s="9"/>
      <c r="GYB30" s="10"/>
      <c r="GYC30" s="11"/>
      <c r="GYD30" s="12"/>
      <c r="GYE30" s="12"/>
      <c r="GYF30" s="12"/>
      <c r="GYG30" s="13"/>
      <c r="GYH30" s="9"/>
      <c r="GYI30" s="9"/>
      <c r="GYJ30" s="9"/>
      <c r="GYK30" s="9"/>
      <c r="GYL30" s="10"/>
      <c r="GYM30" s="11"/>
      <c r="GYN30" s="12"/>
      <c r="GYO30" s="12"/>
      <c r="GYP30" s="12"/>
      <c r="GYQ30" s="13"/>
      <c r="GYR30" s="9"/>
      <c r="GYS30" s="9"/>
      <c r="GYT30" s="9"/>
      <c r="GYU30" s="9"/>
      <c r="GYV30" s="10"/>
      <c r="GYW30" s="11"/>
      <c r="GYX30" s="12"/>
      <c r="GYY30" s="12"/>
      <c r="GYZ30" s="12"/>
      <c r="GZA30" s="13"/>
      <c r="GZB30" s="9"/>
      <c r="GZC30" s="9"/>
      <c r="GZD30" s="9"/>
      <c r="GZE30" s="9"/>
      <c r="GZF30" s="10"/>
      <c r="GZG30" s="11"/>
      <c r="GZH30" s="12"/>
      <c r="GZI30" s="12"/>
      <c r="GZJ30" s="12"/>
      <c r="GZK30" s="13"/>
      <c r="GZL30" s="9"/>
      <c r="GZM30" s="9"/>
      <c r="GZN30" s="9"/>
      <c r="GZO30" s="9"/>
      <c r="GZP30" s="10"/>
      <c r="GZQ30" s="11"/>
      <c r="GZR30" s="12"/>
      <c r="GZS30" s="12"/>
      <c r="GZT30" s="12"/>
      <c r="GZU30" s="13"/>
      <c r="GZV30" s="9"/>
      <c r="GZW30" s="9"/>
      <c r="GZX30" s="9"/>
      <c r="GZY30" s="9"/>
      <c r="GZZ30" s="10"/>
      <c r="HAA30" s="11"/>
      <c r="HAB30" s="12"/>
      <c r="HAC30" s="12"/>
      <c r="HAD30" s="12"/>
      <c r="HAE30" s="13"/>
      <c r="HAF30" s="9"/>
      <c r="HAG30" s="9"/>
      <c r="HAH30" s="9"/>
      <c r="HAI30" s="9"/>
      <c r="HAJ30" s="10"/>
      <c r="HAK30" s="11"/>
      <c r="HAL30" s="12"/>
      <c r="HAM30" s="12"/>
      <c r="HAN30" s="12"/>
      <c r="HAO30" s="13"/>
      <c r="HAP30" s="9"/>
      <c r="HAQ30" s="9"/>
      <c r="HAR30" s="9"/>
      <c r="HAS30" s="9"/>
      <c r="HAT30" s="10"/>
      <c r="HAU30" s="11"/>
      <c r="HAV30" s="12"/>
      <c r="HAW30" s="12"/>
      <c r="HAX30" s="12"/>
      <c r="HAY30" s="13"/>
      <c r="HAZ30" s="9"/>
      <c r="HBA30" s="9"/>
      <c r="HBB30" s="9"/>
      <c r="HBC30" s="9"/>
      <c r="HBD30" s="10"/>
      <c r="HBE30" s="11"/>
      <c r="HBF30" s="12"/>
      <c r="HBG30" s="12"/>
      <c r="HBH30" s="12"/>
      <c r="HBI30" s="13"/>
      <c r="HBJ30" s="9"/>
      <c r="HBK30" s="9"/>
      <c r="HBL30" s="9"/>
      <c r="HBM30" s="9"/>
      <c r="HBN30" s="10"/>
      <c r="HBO30" s="11"/>
      <c r="HBP30" s="12"/>
      <c r="HBQ30" s="12"/>
      <c r="HBR30" s="12"/>
      <c r="HBS30" s="13"/>
      <c r="HBT30" s="9"/>
      <c r="HBU30" s="9"/>
      <c r="HBV30" s="9"/>
      <c r="HBW30" s="9"/>
      <c r="HBX30" s="10"/>
      <c r="HBY30" s="11"/>
      <c r="HBZ30" s="12"/>
      <c r="HCA30" s="12"/>
      <c r="HCB30" s="12"/>
      <c r="HCC30" s="13"/>
      <c r="HCD30" s="9"/>
      <c r="HCE30" s="9"/>
      <c r="HCF30" s="9"/>
      <c r="HCG30" s="9"/>
      <c r="HCH30" s="10"/>
      <c r="HCI30" s="11"/>
      <c r="HCJ30" s="12"/>
      <c r="HCK30" s="12"/>
      <c r="HCL30" s="12"/>
      <c r="HCM30" s="13"/>
      <c r="HCN30" s="9"/>
      <c r="HCO30" s="9"/>
      <c r="HCP30" s="9"/>
      <c r="HCQ30" s="9"/>
      <c r="HCR30" s="10"/>
      <c r="HCS30" s="11"/>
      <c r="HCT30" s="12"/>
      <c r="HCU30" s="12"/>
      <c r="HCV30" s="12"/>
      <c r="HCW30" s="13"/>
      <c r="HCX30" s="9"/>
      <c r="HCY30" s="9"/>
      <c r="HCZ30" s="9"/>
      <c r="HDA30" s="9"/>
      <c r="HDB30" s="10"/>
      <c r="HDC30" s="11"/>
      <c r="HDD30" s="12"/>
      <c r="HDE30" s="12"/>
      <c r="HDF30" s="12"/>
      <c r="HDG30" s="13"/>
      <c r="HDH30" s="9"/>
      <c r="HDI30" s="9"/>
      <c r="HDJ30" s="9"/>
      <c r="HDK30" s="9"/>
      <c r="HDL30" s="10"/>
      <c r="HDM30" s="11"/>
      <c r="HDN30" s="12"/>
      <c r="HDO30" s="12"/>
      <c r="HDP30" s="12"/>
      <c r="HDQ30" s="13"/>
      <c r="HDR30" s="9"/>
      <c r="HDS30" s="9"/>
      <c r="HDT30" s="9"/>
      <c r="HDU30" s="9"/>
      <c r="HDV30" s="10"/>
      <c r="HDW30" s="11"/>
      <c r="HDX30" s="12"/>
      <c r="HDY30" s="12"/>
      <c r="HDZ30" s="12"/>
      <c r="HEA30" s="13"/>
      <c r="HEB30" s="9"/>
      <c r="HEC30" s="9"/>
      <c r="HED30" s="9"/>
      <c r="HEE30" s="9"/>
      <c r="HEF30" s="10"/>
      <c r="HEG30" s="11"/>
      <c r="HEH30" s="12"/>
      <c r="HEI30" s="12"/>
      <c r="HEJ30" s="12"/>
      <c r="HEK30" s="13"/>
      <c r="HEL30" s="9"/>
      <c r="HEM30" s="9"/>
      <c r="HEN30" s="9"/>
      <c r="HEO30" s="9"/>
      <c r="HEP30" s="10"/>
      <c r="HEQ30" s="11"/>
      <c r="HER30" s="12"/>
      <c r="HES30" s="12"/>
      <c r="HET30" s="12"/>
      <c r="HEU30" s="13"/>
      <c r="HEV30" s="9"/>
      <c r="HEW30" s="9"/>
      <c r="HEX30" s="9"/>
      <c r="HEY30" s="9"/>
      <c r="HEZ30" s="10"/>
      <c r="HFA30" s="11"/>
      <c r="HFB30" s="12"/>
      <c r="HFC30" s="12"/>
      <c r="HFD30" s="12"/>
      <c r="HFE30" s="13"/>
      <c r="HFF30" s="9"/>
      <c r="HFG30" s="9"/>
      <c r="HFH30" s="9"/>
      <c r="HFI30" s="9"/>
      <c r="HFJ30" s="10"/>
      <c r="HFK30" s="11"/>
      <c r="HFL30" s="12"/>
      <c r="HFM30" s="12"/>
      <c r="HFN30" s="12"/>
      <c r="HFO30" s="13"/>
      <c r="HFP30" s="9"/>
      <c r="HFQ30" s="9"/>
      <c r="HFR30" s="9"/>
      <c r="HFS30" s="9"/>
      <c r="HFT30" s="10"/>
      <c r="HFU30" s="11"/>
      <c r="HFV30" s="12"/>
      <c r="HFW30" s="12"/>
      <c r="HFX30" s="12"/>
      <c r="HFY30" s="13"/>
      <c r="HFZ30" s="9"/>
      <c r="HGA30" s="9"/>
      <c r="HGB30" s="9"/>
      <c r="HGC30" s="9"/>
      <c r="HGD30" s="10"/>
      <c r="HGE30" s="11"/>
      <c r="HGF30" s="12"/>
      <c r="HGG30" s="12"/>
      <c r="HGH30" s="12"/>
      <c r="HGI30" s="13"/>
      <c r="HGJ30" s="9"/>
      <c r="HGK30" s="9"/>
      <c r="HGL30" s="9"/>
      <c r="HGM30" s="9"/>
      <c r="HGN30" s="10"/>
      <c r="HGO30" s="11"/>
      <c r="HGP30" s="12"/>
      <c r="HGQ30" s="12"/>
      <c r="HGR30" s="12"/>
      <c r="HGS30" s="13"/>
      <c r="HGT30" s="9"/>
      <c r="HGU30" s="9"/>
      <c r="HGV30" s="9"/>
      <c r="HGW30" s="9"/>
      <c r="HGX30" s="10"/>
      <c r="HGY30" s="11"/>
      <c r="HGZ30" s="12"/>
      <c r="HHA30" s="12"/>
      <c r="HHB30" s="12"/>
      <c r="HHC30" s="13"/>
      <c r="HHD30" s="9"/>
      <c r="HHE30" s="9"/>
      <c r="HHF30" s="9"/>
      <c r="HHG30" s="9"/>
      <c r="HHH30" s="10"/>
      <c r="HHI30" s="11"/>
      <c r="HHJ30" s="12"/>
      <c r="HHK30" s="12"/>
      <c r="HHL30" s="12"/>
      <c r="HHM30" s="13"/>
      <c r="HHN30" s="9"/>
      <c r="HHO30" s="9"/>
      <c r="HHP30" s="9"/>
      <c r="HHQ30" s="9"/>
      <c r="HHR30" s="10"/>
      <c r="HHS30" s="11"/>
      <c r="HHT30" s="12"/>
      <c r="HHU30" s="12"/>
      <c r="HHV30" s="12"/>
      <c r="HHW30" s="13"/>
      <c r="HHX30" s="9"/>
      <c r="HHY30" s="9"/>
      <c r="HHZ30" s="9"/>
      <c r="HIA30" s="9"/>
      <c r="HIB30" s="10"/>
      <c r="HIC30" s="11"/>
      <c r="HID30" s="12"/>
      <c r="HIE30" s="12"/>
      <c r="HIF30" s="12"/>
      <c r="HIG30" s="13"/>
      <c r="HIH30" s="9"/>
      <c r="HII30" s="9"/>
      <c r="HIJ30" s="9"/>
      <c r="HIK30" s="9"/>
      <c r="HIL30" s="10"/>
      <c r="HIM30" s="11"/>
      <c r="HIN30" s="12"/>
      <c r="HIO30" s="12"/>
      <c r="HIP30" s="12"/>
      <c r="HIQ30" s="13"/>
      <c r="HIR30" s="9"/>
      <c r="HIS30" s="9"/>
      <c r="HIT30" s="9"/>
      <c r="HIU30" s="9"/>
      <c r="HIV30" s="10"/>
      <c r="HIW30" s="11"/>
      <c r="HIX30" s="12"/>
      <c r="HIY30" s="12"/>
      <c r="HIZ30" s="12"/>
      <c r="HJA30" s="13"/>
      <c r="HJB30" s="9"/>
      <c r="HJC30" s="9"/>
      <c r="HJD30" s="9"/>
      <c r="HJE30" s="9"/>
      <c r="HJF30" s="10"/>
      <c r="HJG30" s="11"/>
      <c r="HJH30" s="12"/>
      <c r="HJI30" s="12"/>
      <c r="HJJ30" s="12"/>
      <c r="HJK30" s="13"/>
      <c r="HJL30" s="9"/>
      <c r="HJM30" s="9"/>
      <c r="HJN30" s="9"/>
      <c r="HJO30" s="9"/>
      <c r="HJP30" s="10"/>
      <c r="HJQ30" s="11"/>
      <c r="HJR30" s="12"/>
      <c r="HJS30" s="12"/>
      <c r="HJT30" s="12"/>
      <c r="HJU30" s="13"/>
      <c r="HJV30" s="9"/>
      <c r="HJW30" s="9"/>
      <c r="HJX30" s="9"/>
      <c r="HJY30" s="9"/>
      <c r="HJZ30" s="10"/>
      <c r="HKA30" s="11"/>
      <c r="HKB30" s="12"/>
      <c r="HKC30" s="12"/>
      <c r="HKD30" s="12"/>
      <c r="HKE30" s="13"/>
      <c r="HKF30" s="9"/>
      <c r="HKG30" s="9"/>
      <c r="HKH30" s="9"/>
      <c r="HKI30" s="9"/>
      <c r="HKJ30" s="10"/>
      <c r="HKK30" s="11"/>
      <c r="HKL30" s="12"/>
      <c r="HKM30" s="12"/>
      <c r="HKN30" s="12"/>
      <c r="HKO30" s="13"/>
      <c r="HKP30" s="9"/>
      <c r="HKQ30" s="9"/>
      <c r="HKR30" s="9"/>
      <c r="HKS30" s="9"/>
      <c r="HKT30" s="10"/>
      <c r="HKU30" s="11"/>
      <c r="HKV30" s="12"/>
      <c r="HKW30" s="12"/>
      <c r="HKX30" s="12"/>
      <c r="HKY30" s="13"/>
      <c r="HKZ30" s="9"/>
      <c r="HLA30" s="9"/>
      <c r="HLB30" s="9"/>
      <c r="HLC30" s="9"/>
      <c r="HLD30" s="10"/>
      <c r="HLE30" s="11"/>
      <c r="HLF30" s="12"/>
      <c r="HLG30" s="12"/>
      <c r="HLH30" s="12"/>
      <c r="HLI30" s="13"/>
      <c r="HLJ30" s="9"/>
      <c r="HLK30" s="9"/>
      <c r="HLL30" s="9"/>
      <c r="HLM30" s="9"/>
      <c r="HLN30" s="10"/>
      <c r="HLO30" s="11"/>
      <c r="HLP30" s="12"/>
      <c r="HLQ30" s="12"/>
      <c r="HLR30" s="12"/>
      <c r="HLS30" s="13"/>
      <c r="HLT30" s="9"/>
      <c r="HLU30" s="9"/>
      <c r="HLV30" s="9"/>
      <c r="HLW30" s="9"/>
      <c r="HLX30" s="10"/>
      <c r="HLY30" s="11"/>
      <c r="HLZ30" s="12"/>
      <c r="HMA30" s="12"/>
      <c r="HMB30" s="12"/>
      <c r="HMC30" s="13"/>
      <c r="HMD30" s="9"/>
      <c r="HME30" s="9"/>
      <c r="HMF30" s="9"/>
      <c r="HMG30" s="9"/>
      <c r="HMH30" s="10"/>
      <c r="HMI30" s="11"/>
      <c r="HMJ30" s="12"/>
      <c r="HMK30" s="12"/>
      <c r="HML30" s="12"/>
      <c r="HMM30" s="13"/>
      <c r="HMN30" s="9"/>
      <c r="HMO30" s="9"/>
      <c r="HMP30" s="9"/>
      <c r="HMQ30" s="9"/>
      <c r="HMR30" s="10"/>
      <c r="HMS30" s="11"/>
      <c r="HMT30" s="12"/>
      <c r="HMU30" s="12"/>
      <c r="HMV30" s="12"/>
      <c r="HMW30" s="13"/>
      <c r="HMX30" s="9"/>
      <c r="HMY30" s="9"/>
      <c r="HMZ30" s="9"/>
      <c r="HNA30" s="9"/>
      <c r="HNB30" s="10"/>
      <c r="HNC30" s="11"/>
      <c r="HND30" s="12"/>
      <c r="HNE30" s="12"/>
      <c r="HNF30" s="12"/>
      <c r="HNG30" s="13"/>
      <c r="HNH30" s="9"/>
      <c r="HNI30" s="9"/>
      <c r="HNJ30" s="9"/>
      <c r="HNK30" s="9"/>
      <c r="HNL30" s="10"/>
      <c r="HNM30" s="11"/>
      <c r="HNN30" s="12"/>
      <c r="HNO30" s="12"/>
      <c r="HNP30" s="12"/>
      <c r="HNQ30" s="13"/>
      <c r="HNR30" s="9"/>
      <c r="HNS30" s="9"/>
      <c r="HNT30" s="9"/>
      <c r="HNU30" s="9"/>
      <c r="HNV30" s="10"/>
      <c r="HNW30" s="11"/>
      <c r="HNX30" s="12"/>
      <c r="HNY30" s="12"/>
      <c r="HNZ30" s="12"/>
      <c r="HOA30" s="13"/>
      <c r="HOB30" s="9"/>
      <c r="HOC30" s="9"/>
      <c r="HOD30" s="9"/>
      <c r="HOE30" s="9"/>
      <c r="HOF30" s="10"/>
      <c r="HOG30" s="11"/>
      <c r="HOH30" s="12"/>
      <c r="HOI30" s="12"/>
      <c r="HOJ30" s="12"/>
      <c r="HOK30" s="13"/>
      <c r="HOL30" s="9"/>
      <c r="HOM30" s="9"/>
      <c r="HON30" s="9"/>
      <c r="HOO30" s="9"/>
      <c r="HOP30" s="10"/>
      <c r="HOQ30" s="11"/>
      <c r="HOR30" s="12"/>
      <c r="HOS30" s="12"/>
      <c r="HOT30" s="12"/>
      <c r="HOU30" s="13"/>
      <c r="HOV30" s="9"/>
      <c r="HOW30" s="9"/>
      <c r="HOX30" s="9"/>
      <c r="HOY30" s="9"/>
      <c r="HOZ30" s="10"/>
      <c r="HPA30" s="11"/>
      <c r="HPB30" s="12"/>
      <c r="HPC30" s="12"/>
      <c r="HPD30" s="12"/>
      <c r="HPE30" s="13"/>
      <c r="HPF30" s="9"/>
      <c r="HPG30" s="9"/>
      <c r="HPH30" s="9"/>
      <c r="HPI30" s="9"/>
      <c r="HPJ30" s="10"/>
      <c r="HPK30" s="11"/>
      <c r="HPL30" s="12"/>
      <c r="HPM30" s="12"/>
      <c r="HPN30" s="12"/>
      <c r="HPO30" s="13"/>
      <c r="HPP30" s="9"/>
      <c r="HPQ30" s="9"/>
      <c r="HPR30" s="9"/>
      <c r="HPS30" s="9"/>
      <c r="HPT30" s="10"/>
      <c r="HPU30" s="11"/>
      <c r="HPV30" s="12"/>
      <c r="HPW30" s="12"/>
      <c r="HPX30" s="12"/>
      <c r="HPY30" s="13"/>
      <c r="HPZ30" s="9"/>
      <c r="HQA30" s="9"/>
      <c r="HQB30" s="9"/>
      <c r="HQC30" s="9"/>
      <c r="HQD30" s="10"/>
      <c r="HQE30" s="11"/>
      <c r="HQF30" s="12"/>
      <c r="HQG30" s="12"/>
      <c r="HQH30" s="12"/>
      <c r="HQI30" s="13"/>
      <c r="HQJ30" s="9"/>
      <c r="HQK30" s="9"/>
      <c r="HQL30" s="9"/>
      <c r="HQM30" s="9"/>
      <c r="HQN30" s="10"/>
      <c r="HQO30" s="11"/>
      <c r="HQP30" s="12"/>
      <c r="HQQ30" s="12"/>
      <c r="HQR30" s="12"/>
      <c r="HQS30" s="13"/>
      <c r="HQT30" s="9"/>
      <c r="HQU30" s="9"/>
      <c r="HQV30" s="9"/>
      <c r="HQW30" s="9"/>
      <c r="HQX30" s="10"/>
      <c r="HQY30" s="11"/>
      <c r="HQZ30" s="12"/>
      <c r="HRA30" s="12"/>
      <c r="HRB30" s="12"/>
      <c r="HRC30" s="13"/>
      <c r="HRD30" s="9"/>
      <c r="HRE30" s="9"/>
      <c r="HRF30" s="9"/>
      <c r="HRG30" s="9"/>
      <c r="HRH30" s="10"/>
      <c r="HRI30" s="11"/>
      <c r="HRJ30" s="12"/>
      <c r="HRK30" s="12"/>
      <c r="HRL30" s="12"/>
      <c r="HRM30" s="13"/>
      <c r="HRN30" s="9"/>
      <c r="HRO30" s="9"/>
      <c r="HRP30" s="9"/>
      <c r="HRQ30" s="9"/>
      <c r="HRR30" s="10"/>
      <c r="HRS30" s="11"/>
      <c r="HRT30" s="12"/>
      <c r="HRU30" s="12"/>
      <c r="HRV30" s="12"/>
      <c r="HRW30" s="13"/>
      <c r="HRX30" s="9"/>
      <c r="HRY30" s="9"/>
      <c r="HRZ30" s="9"/>
      <c r="HSA30" s="9"/>
      <c r="HSB30" s="10"/>
      <c r="HSC30" s="11"/>
      <c r="HSD30" s="12"/>
      <c r="HSE30" s="12"/>
      <c r="HSF30" s="12"/>
      <c r="HSG30" s="13"/>
      <c r="HSH30" s="9"/>
      <c r="HSI30" s="9"/>
      <c r="HSJ30" s="9"/>
      <c r="HSK30" s="9"/>
      <c r="HSL30" s="10"/>
      <c r="HSM30" s="11"/>
      <c r="HSN30" s="12"/>
      <c r="HSO30" s="12"/>
      <c r="HSP30" s="12"/>
      <c r="HSQ30" s="13"/>
      <c r="HSR30" s="9"/>
      <c r="HSS30" s="9"/>
      <c r="HST30" s="9"/>
      <c r="HSU30" s="9"/>
      <c r="HSV30" s="10"/>
      <c r="HSW30" s="11"/>
      <c r="HSX30" s="12"/>
      <c r="HSY30" s="12"/>
      <c r="HSZ30" s="12"/>
      <c r="HTA30" s="13"/>
      <c r="HTB30" s="9"/>
      <c r="HTC30" s="9"/>
      <c r="HTD30" s="9"/>
      <c r="HTE30" s="9"/>
      <c r="HTF30" s="10"/>
      <c r="HTG30" s="11"/>
      <c r="HTH30" s="12"/>
      <c r="HTI30" s="12"/>
      <c r="HTJ30" s="12"/>
      <c r="HTK30" s="13"/>
      <c r="HTL30" s="9"/>
      <c r="HTM30" s="9"/>
      <c r="HTN30" s="9"/>
      <c r="HTO30" s="9"/>
      <c r="HTP30" s="10"/>
      <c r="HTQ30" s="11"/>
      <c r="HTR30" s="12"/>
      <c r="HTS30" s="12"/>
      <c r="HTT30" s="12"/>
      <c r="HTU30" s="13"/>
      <c r="HTV30" s="9"/>
      <c r="HTW30" s="9"/>
      <c r="HTX30" s="9"/>
      <c r="HTY30" s="9"/>
      <c r="HTZ30" s="10"/>
      <c r="HUA30" s="11"/>
      <c r="HUB30" s="12"/>
      <c r="HUC30" s="12"/>
      <c r="HUD30" s="12"/>
      <c r="HUE30" s="13"/>
      <c r="HUF30" s="9"/>
      <c r="HUG30" s="9"/>
      <c r="HUH30" s="9"/>
      <c r="HUI30" s="9"/>
      <c r="HUJ30" s="10"/>
      <c r="HUK30" s="11"/>
      <c r="HUL30" s="12"/>
      <c r="HUM30" s="12"/>
      <c r="HUN30" s="12"/>
      <c r="HUO30" s="13"/>
      <c r="HUP30" s="9"/>
      <c r="HUQ30" s="9"/>
      <c r="HUR30" s="9"/>
      <c r="HUS30" s="9"/>
      <c r="HUT30" s="10"/>
      <c r="HUU30" s="11"/>
      <c r="HUV30" s="12"/>
      <c r="HUW30" s="12"/>
      <c r="HUX30" s="12"/>
      <c r="HUY30" s="13"/>
      <c r="HUZ30" s="9"/>
      <c r="HVA30" s="9"/>
      <c r="HVB30" s="9"/>
      <c r="HVC30" s="9"/>
      <c r="HVD30" s="10"/>
      <c r="HVE30" s="11"/>
      <c r="HVF30" s="12"/>
      <c r="HVG30" s="12"/>
      <c r="HVH30" s="12"/>
      <c r="HVI30" s="13"/>
      <c r="HVJ30" s="9"/>
      <c r="HVK30" s="9"/>
      <c r="HVL30" s="9"/>
      <c r="HVM30" s="9"/>
      <c r="HVN30" s="10"/>
      <c r="HVO30" s="11"/>
      <c r="HVP30" s="12"/>
      <c r="HVQ30" s="12"/>
      <c r="HVR30" s="12"/>
      <c r="HVS30" s="13"/>
      <c r="HVT30" s="9"/>
      <c r="HVU30" s="9"/>
      <c r="HVV30" s="9"/>
      <c r="HVW30" s="9"/>
      <c r="HVX30" s="10"/>
      <c r="HVY30" s="11"/>
      <c r="HVZ30" s="12"/>
      <c r="HWA30" s="12"/>
      <c r="HWB30" s="12"/>
      <c r="HWC30" s="13"/>
      <c r="HWD30" s="9"/>
      <c r="HWE30" s="9"/>
      <c r="HWF30" s="9"/>
      <c r="HWG30" s="9"/>
      <c r="HWH30" s="10"/>
      <c r="HWI30" s="11"/>
      <c r="HWJ30" s="12"/>
      <c r="HWK30" s="12"/>
      <c r="HWL30" s="12"/>
      <c r="HWM30" s="13"/>
      <c r="HWN30" s="9"/>
      <c r="HWO30" s="9"/>
      <c r="HWP30" s="9"/>
      <c r="HWQ30" s="9"/>
      <c r="HWR30" s="10"/>
      <c r="HWS30" s="11"/>
      <c r="HWT30" s="12"/>
      <c r="HWU30" s="12"/>
      <c r="HWV30" s="12"/>
      <c r="HWW30" s="13"/>
      <c r="HWX30" s="9"/>
      <c r="HWY30" s="9"/>
      <c r="HWZ30" s="9"/>
      <c r="HXA30" s="9"/>
      <c r="HXB30" s="10"/>
      <c r="HXC30" s="11"/>
      <c r="HXD30" s="12"/>
      <c r="HXE30" s="12"/>
      <c r="HXF30" s="12"/>
      <c r="HXG30" s="13"/>
      <c r="HXH30" s="9"/>
      <c r="HXI30" s="9"/>
      <c r="HXJ30" s="9"/>
      <c r="HXK30" s="9"/>
      <c r="HXL30" s="10"/>
      <c r="HXM30" s="11"/>
      <c r="HXN30" s="12"/>
      <c r="HXO30" s="12"/>
      <c r="HXP30" s="12"/>
      <c r="HXQ30" s="13"/>
      <c r="HXR30" s="9"/>
      <c r="HXS30" s="9"/>
      <c r="HXT30" s="9"/>
      <c r="HXU30" s="9"/>
      <c r="HXV30" s="10"/>
      <c r="HXW30" s="11"/>
      <c r="HXX30" s="12"/>
      <c r="HXY30" s="12"/>
      <c r="HXZ30" s="12"/>
      <c r="HYA30" s="13"/>
      <c r="HYB30" s="9"/>
      <c r="HYC30" s="9"/>
      <c r="HYD30" s="9"/>
      <c r="HYE30" s="9"/>
      <c r="HYF30" s="10"/>
      <c r="HYG30" s="11"/>
      <c r="HYH30" s="12"/>
      <c r="HYI30" s="12"/>
      <c r="HYJ30" s="12"/>
      <c r="HYK30" s="13"/>
      <c r="HYL30" s="9"/>
      <c r="HYM30" s="9"/>
      <c r="HYN30" s="9"/>
      <c r="HYO30" s="9"/>
      <c r="HYP30" s="10"/>
      <c r="HYQ30" s="11"/>
      <c r="HYR30" s="12"/>
      <c r="HYS30" s="12"/>
      <c r="HYT30" s="12"/>
      <c r="HYU30" s="13"/>
      <c r="HYV30" s="9"/>
      <c r="HYW30" s="9"/>
      <c r="HYX30" s="9"/>
      <c r="HYY30" s="9"/>
      <c r="HYZ30" s="10"/>
      <c r="HZA30" s="11"/>
      <c r="HZB30" s="12"/>
      <c r="HZC30" s="12"/>
      <c r="HZD30" s="12"/>
      <c r="HZE30" s="13"/>
      <c r="HZF30" s="9"/>
      <c r="HZG30" s="9"/>
      <c r="HZH30" s="9"/>
      <c r="HZI30" s="9"/>
      <c r="HZJ30" s="10"/>
      <c r="HZK30" s="11"/>
      <c r="HZL30" s="12"/>
      <c r="HZM30" s="12"/>
      <c r="HZN30" s="12"/>
      <c r="HZO30" s="13"/>
      <c r="HZP30" s="9"/>
      <c r="HZQ30" s="9"/>
      <c r="HZR30" s="9"/>
      <c r="HZS30" s="9"/>
      <c r="HZT30" s="10"/>
      <c r="HZU30" s="11"/>
      <c r="HZV30" s="12"/>
      <c r="HZW30" s="12"/>
      <c r="HZX30" s="12"/>
      <c r="HZY30" s="13"/>
      <c r="HZZ30" s="9"/>
      <c r="IAA30" s="9"/>
      <c r="IAB30" s="9"/>
      <c r="IAC30" s="9"/>
      <c r="IAD30" s="10"/>
      <c r="IAE30" s="11"/>
      <c r="IAF30" s="12"/>
      <c r="IAG30" s="12"/>
      <c r="IAH30" s="12"/>
      <c r="IAI30" s="13"/>
      <c r="IAJ30" s="9"/>
      <c r="IAK30" s="9"/>
      <c r="IAL30" s="9"/>
      <c r="IAM30" s="9"/>
      <c r="IAN30" s="10"/>
      <c r="IAO30" s="11"/>
      <c r="IAP30" s="12"/>
      <c r="IAQ30" s="12"/>
      <c r="IAR30" s="12"/>
      <c r="IAS30" s="13"/>
      <c r="IAT30" s="9"/>
      <c r="IAU30" s="9"/>
      <c r="IAV30" s="9"/>
      <c r="IAW30" s="9"/>
      <c r="IAX30" s="10"/>
      <c r="IAY30" s="11"/>
      <c r="IAZ30" s="12"/>
      <c r="IBA30" s="12"/>
      <c r="IBB30" s="12"/>
      <c r="IBC30" s="13"/>
      <c r="IBD30" s="9"/>
      <c r="IBE30" s="9"/>
      <c r="IBF30" s="9"/>
      <c r="IBG30" s="9"/>
      <c r="IBH30" s="10"/>
      <c r="IBI30" s="11"/>
      <c r="IBJ30" s="12"/>
      <c r="IBK30" s="12"/>
      <c r="IBL30" s="12"/>
      <c r="IBM30" s="13"/>
      <c r="IBN30" s="9"/>
      <c r="IBO30" s="9"/>
      <c r="IBP30" s="9"/>
      <c r="IBQ30" s="9"/>
      <c r="IBR30" s="10"/>
      <c r="IBS30" s="11"/>
      <c r="IBT30" s="12"/>
      <c r="IBU30" s="12"/>
      <c r="IBV30" s="12"/>
      <c r="IBW30" s="13"/>
      <c r="IBX30" s="9"/>
      <c r="IBY30" s="9"/>
      <c r="IBZ30" s="9"/>
      <c r="ICA30" s="9"/>
      <c r="ICB30" s="10"/>
      <c r="ICC30" s="11"/>
      <c r="ICD30" s="12"/>
      <c r="ICE30" s="12"/>
      <c r="ICF30" s="12"/>
      <c r="ICG30" s="13"/>
      <c r="ICH30" s="9"/>
      <c r="ICI30" s="9"/>
      <c r="ICJ30" s="9"/>
      <c r="ICK30" s="9"/>
      <c r="ICL30" s="10"/>
      <c r="ICM30" s="11"/>
      <c r="ICN30" s="12"/>
      <c r="ICO30" s="12"/>
      <c r="ICP30" s="12"/>
      <c r="ICQ30" s="13"/>
      <c r="ICR30" s="9"/>
      <c r="ICS30" s="9"/>
      <c r="ICT30" s="9"/>
      <c r="ICU30" s="9"/>
      <c r="ICV30" s="10"/>
      <c r="ICW30" s="11"/>
      <c r="ICX30" s="12"/>
      <c r="ICY30" s="12"/>
      <c r="ICZ30" s="12"/>
      <c r="IDA30" s="13"/>
      <c r="IDB30" s="9"/>
      <c r="IDC30" s="9"/>
      <c r="IDD30" s="9"/>
      <c r="IDE30" s="9"/>
      <c r="IDF30" s="10"/>
      <c r="IDG30" s="11"/>
      <c r="IDH30" s="12"/>
      <c r="IDI30" s="12"/>
      <c r="IDJ30" s="12"/>
      <c r="IDK30" s="13"/>
      <c r="IDL30" s="9"/>
      <c r="IDM30" s="9"/>
      <c r="IDN30" s="9"/>
      <c r="IDO30" s="9"/>
      <c r="IDP30" s="10"/>
      <c r="IDQ30" s="11"/>
      <c r="IDR30" s="12"/>
      <c r="IDS30" s="12"/>
      <c r="IDT30" s="12"/>
      <c r="IDU30" s="13"/>
      <c r="IDV30" s="9"/>
      <c r="IDW30" s="9"/>
      <c r="IDX30" s="9"/>
      <c r="IDY30" s="9"/>
      <c r="IDZ30" s="10"/>
      <c r="IEA30" s="11"/>
      <c r="IEB30" s="12"/>
      <c r="IEC30" s="12"/>
      <c r="IED30" s="12"/>
      <c r="IEE30" s="13"/>
      <c r="IEF30" s="9"/>
      <c r="IEG30" s="9"/>
      <c r="IEH30" s="9"/>
      <c r="IEI30" s="9"/>
      <c r="IEJ30" s="10"/>
      <c r="IEK30" s="11"/>
      <c r="IEL30" s="12"/>
      <c r="IEM30" s="12"/>
      <c r="IEN30" s="12"/>
      <c r="IEO30" s="13"/>
      <c r="IEP30" s="9"/>
      <c r="IEQ30" s="9"/>
      <c r="IER30" s="9"/>
      <c r="IES30" s="9"/>
      <c r="IET30" s="10"/>
      <c r="IEU30" s="11"/>
      <c r="IEV30" s="12"/>
      <c r="IEW30" s="12"/>
      <c r="IEX30" s="12"/>
      <c r="IEY30" s="13"/>
      <c r="IEZ30" s="9"/>
      <c r="IFA30" s="9"/>
      <c r="IFB30" s="9"/>
      <c r="IFC30" s="9"/>
      <c r="IFD30" s="10"/>
      <c r="IFE30" s="11"/>
      <c r="IFF30" s="12"/>
      <c r="IFG30" s="12"/>
      <c r="IFH30" s="12"/>
      <c r="IFI30" s="13"/>
      <c r="IFJ30" s="9"/>
      <c r="IFK30" s="9"/>
      <c r="IFL30" s="9"/>
      <c r="IFM30" s="9"/>
      <c r="IFN30" s="10"/>
      <c r="IFO30" s="11"/>
      <c r="IFP30" s="12"/>
      <c r="IFQ30" s="12"/>
      <c r="IFR30" s="12"/>
      <c r="IFS30" s="13"/>
      <c r="IFT30" s="9"/>
      <c r="IFU30" s="9"/>
      <c r="IFV30" s="9"/>
      <c r="IFW30" s="9"/>
      <c r="IFX30" s="10"/>
      <c r="IFY30" s="11"/>
      <c r="IFZ30" s="12"/>
      <c r="IGA30" s="12"/>
      <c r="IGB30" s="12"/>
      <c r="IGC30" s="13"/>
      <c r="IGD30" s="9"/>
      <c r="IGE30" s="9"/>
      <c r="IGF30" s="9"/>
      <c r="IGG30" s="9"/>
      <c r="IGH30" s="10"/>
      <c r="IGI30" s="11"/>
      <c r="IGJ30" s="12"/>
      <c r="IGK30" s="12"/>
      <c r="IGL30" s="12"/>
      <c r="IGM30" s="13"/>
      <c r="IGN30" s="9"/>
      <c r="IGO30" s="9"/>
      <c r="IGP30" s="9"/>
      <c r="IGQ30" s="9"/>
      <c r="IGR30" s="10"/>
      <c r="IGS30" s="11"/>
      <c r="IGT30" s="12"/>
      <c r="IGU30" s="12"/>
      <c r="IGV30" s="12"/>
      <c r="IGW30" s="13"/>
      <c r="IGX30" s="9"/>
      <c r="IGY30" s="9"/>
      <c r="IGZ30" s="9"/>
      <c r="IHA30" s="9"/>
      <c r="IHB30" s="10"/>
      <c r="IHC30" s="11"/>
      <c r="IHD30" s="12"/>
      <c r="IHE30" s="12"/>
      <c r="IHF30" s="12"/>
      <c r="IHG30" s="13"/>
      <c r="IHH30" s="9"/>
      <c r="IHI30" s="9"/>
      <c r="IHJ30" s="9"/>
      <c r="IHK30" s="9"/>
      <c r="IHL30" s="10"/>
      <c r="IHM30" s="11"/>
      <c r="IHN30" s="12"/>
      <c r="IHO30" s="12"/>
      <c r="IHP30" s="12"/>
      <c r="IHQ30" s="13"/>
      <c r="IHR30" s="9"/>
      <c r="IHS30" s="9"/>
      <c r="IHT30" s="9"/>
      <c r="IHU30" s="9"/>
      <c r="IHV30" s="10"/>
      <c r="IHW30" s="11"/>
      <c r="IHX30" s="12"/>
      <c r="IHY30" s="12"/>
      <c r="IHZ30" s="12"/>
      <c r="IIA30" s="13"/>
      <c r="IIB30" s="9"/>
      <c r="IIC30" s="9"/>
      <c r="IID30" s="9"/>
      <c r="IIE30" s="9"/>
      <c r="IIF30" s="10"/>
      <c r="IIG30" s="11"/>
      <c r="IIH30" s="12"/>
      <c r="III30" s="12"/>
      <c r="IIJ30" s="12"/>
      <c r="IIK30" s="13"/>
      <c r="IIL30" s="9"/>
      <c r="IIM30" s="9"/>
      <c r="IIN30" s="9"/>
      <c r="IIO30" s="9"/>
      <c r="IIP30" s="10"/>
      <c r="IIQ30" s="11"/>
      <c r="IIR30" s="12"/>
      <c r="IIS30" s="12"/>
      <c r="IIT30" s="12"/>
      <c r="IIU30" s="13"/>
      <c r="IIV30" s="9"/>
      <c r="IIW30" s="9"/>
      <c r="IIX30" s="9"/>
      <c r="IIY30" s="9"/>
      <c r="IIZ30" s="10"/>
      <c r="IJA30" s="11"/>
      <c r="IJB30" s="12"/>
      <c r="IJC30" s="12"/>
      <c r="IJD30" s="12"/>
      <c r="IJE30" s="13"/>
      <c r="IJF30" s="9"/>
      <c r="IJG30" s="9"/>
      <c r="IJH30" s="9"/>
      <c r="IJI30" s="9"/>
      <c r="IJJ30" s="10"/>
      <c r="IJK30" s="11"/>
      <c r="IJL30" s="12"/>
      <c r="IJM30" s="12"/>
      <c r="IJN30" s="12"/>
      <c r="IJO30" s="13"/>
      <c r="IJP30" s="9"/>
      <c r="IJQ30" s="9"/>
      <c r="IJR30" s="9"/>
      <c r="IJS30" s="9"/>
      <c r="IJT30" s="10"/>
      <c r="IJU30" s="11"/>
      <c r="IJV30" s="12"/>
      <c r="IJW30" s="12"/>
      <c r="IJX30" s="12"/>
      <c r="IJY30" s="13"/>
      <c r="IJZ30" s="9"/>
      <c r="IKA30" s="9"/>
      <c r="IKB30" s="9"/>
      <c r="IKC30" s="9"/>
      <c r="IKD30" s="10"/>
      <c r="IKE30" s="11"/>
      <c r="IKF30" s="12"/>
      <c r="IKG30" s="12"/>
      <c r="IKH30" s="12"/>
      <c r="IKI30" s="13"/>
      <c r="IKJ30" s="9"/>
      <c r="IKK30" s="9"/>
      <c r="IKL30" s="9"/>
      <c r="IKM30" s="9"/>
      <c r="IKN30" s="10"/>
      <c r="IKO30" s="11"/>
      <c r="IKP30" s="12"/>
      <c r="IKQ30" s="12"/>
      <c r="IKR30" s="12"/>
      <c r="IKS30" s="13"/>
      <c r="IKT30" s="9"/>
      <c r="IKU30" s="9"/>
      <c r="IKV30" s="9"/>
      <c r="IKW30" s="9"/>
      <c r="IKX30" s="10"/>
      <c r="IKY30" s="11"/>
      <c r="IKZ30" s="12"/>
      <c r="ILA30" s="12"/>
      <c r="ILB30" s="12"/>
      <c r="ILC30" s="13"/>
      <c r="ILD30" s="9"/>
      <c r="ILE30" s="9"/>
      <c r="ILF30" s="9"/>
      <c r="ILG30" s="9"/>
      <c r="ILH30" s="10"/>
      <c r="ILI30" s="11"/>
      <c r="ILJ30" s="12"/>
      <c r="ILK30" s="12"/>
      <c r="ILL30" s="12"/>
      <c r="ILM30" s="13"/>
      <c r="ILN30" s="9"/>
      <c r="ILO30" s="9"/>
      <c r="ILP30" s="9"/>
      <c r="ILQ30" s="9"/>
      <c r="ILR30" s="10"/>
      <c r="ILS30" s="11"/>
      <c r="ILT30" s="12"/>
      <c r="ILU30" s="12"/>
      <c r="ILV30" s="12"/>
      <c r="ILW30" s="13"/>
      <c r="ILX30" s="9"/>
      <c r="ILY30" s="9"/>
      <c r="ILZ30" s="9"/>
      <c r="IMA30" s="9"/>
      <c r="IMB30" s="10"/>
      <c r="IMC30" s="11"/>
      <c r="IMD30" s="12"/>
      <c r="IME30" s="12"/>
      <c r="IMF30" s="12"/>
      <c r="IMG30" s="13"/>
      <c r="IMH30" s="9"/>
      <c r="IMI30" s="9"/>
      <c r="IMJ30" s="9"/>
      <c r="IMK30" s="9"/>
      <c r="IML30" s="10"/>
      <c r="IMM30" s="11"/>
      <c r="IMN30" s="12"/>
      <c r="IMO30" s="12"/>
      <c r="IMP30" s="12"/>
      <c r="IMQ30" s="13"/>
      <c r="IMR30" s="9"/>
      <c r="IMS30" s="9"/>
      <c r="IMT30" s="9"/>
      <c r="IMU30" s="9"/>
      <c r="IMV30" s="10"/>
      <c r="IMW30" s="11"/>
      <c r="IMX30" s="12"/>
      <c r="IMY30" s="12"/>
      <c r="IMZ30" s="12"/>
      <c r="INA30" s="13"/>
      <c r="INB30" s="9"/>
      <c r="INC30" s="9"/>
      <c r="IND30" s="9"/>
      <c r="INE30" s="9"/>
      <c r="INF30" s="10"/>
      <c r="ING30" s="11"/>
      <c r="INH30" s="12"/>
      <c r="INI30" s="12"/>
      <c r="INJ30" s="12"/>
      <c r="INK30" s="13"/>
      <c r="INL30" s="9"/>
      <c r="INM30" s="9"/>
      <c r="INN30" s="9"/>
      <c r="INO30" s="9"/>
      <c r="INP30" s="10"/>
      <c r="INQ30" s="11"/>
      <c r="INR30" s="12"/>
      <c r="INS30" s="12"/>
      <c r="INT30" s="12"/>
      <c r="INU30" s="13"/>
      <c r="INV30" s="9"/>
      <c r="INW30" s="9"/>
      <c r="INX30" s="9"/>
      <c r="INY30" s="9"/>
      <c r="INZ30" s="10"/>
      <c r="IOA30" s="11"/>
      <c r="IOB30" s="12"/>
      <c r="IOC30" s="12"/>
      <c r="IOD30" s="12"/>
      <c r="IOE30" s="13"/>
      <c r="IOF30" s="9"/>
      <c r="IOG30" s="9"/>
      <c r="IOH30" s="9"/>
      <c r="IOI30" s="9"/>
      <c r="IOJ30" s="10"/>
      <c r="IOK30" s="11"/>
      <c r="IOL30" s="12"/>
      <c r="IOM30" s="12"/>
      <c r="ION30" s="12"/>
      <c r="IOO30" s="13"/>
      <c r="IOP30" s="9"/>
      <c r="IOQ30" s="9"/>
      <c r="IOR30" s="9"/>
      <c r="IOS30" s="9"/>
      <c r="IOT30" s="10"/>
      <c r="IOU30" s="11"/>
      <c r="IOV30" s="12"/>
      <c r="IOW30" s="12"/>
      <c r="IOX30" s="12"/>
      <c r="IOY30" s="13"/>
      <c r="IOZ30" s="9"/>
      <c r="IPA30" s="9"/>
      <c r="IPB30" s="9"/>
      <c r="IPC30" s="9"/>
      <c r="IPD30" s="10"/>
      <c r="IPE30" s="11"/>
      <c r="IPF30" s="12"/>
      <c r="IPG30" s="12"/>
      <c r="IPH30" s="12"/>
      <c r="IPI30" s="13"/>
      <c r="IPJ30" s="9"/>
      <c r="IPK30" s="9"/>
      <c r="IPL30" s="9"/>
      <c r="IPM30" s="9"/>
      <c r="IPN30" s="10"/>
      <c r="IPO30" s="11"/>
      <c r="IPP30" s="12"/>
      <c r="IPQ30" s="12"/>
      <c r="IPR30" s="12"/>
      <c r="IPS30" s="13"/>
      <c r="IPT30" s="9"/>
      <c r="IPU30" s="9"/>
      <c r="IPV30" s="9"/>
      <c r="IPW30" s="9"/>
      <c r="IPX30" s="10"/>
      <c r="IPY30" s="11"/>
      <c r="IPZ30" s="12"/>
      <c r="IQA30" s="12"/>
      <c r="IQB30" s="12"/>
      <c r="IQC30" s="13"/>
      <c r="IQD30" s="9"/>
      <c r="IQE30" s="9"/>
      <c r="IQF30" s="9"/>
      <c r="IQG30" s="9"/>
      <c r="IQH30" s="10"/>
      <c r="IQI30" s="11"/>
      <c r="IQJ30" s="12"/>
      <c r="IQK30" s="12"/>
      <c r="IQL30" s="12"/>
      <c r="IQM30" s="13"/>
      <c r="IQN30" s="9"/>
      <c r="IQO30" s="9"/>
      <c r="IQP30" s="9"/>
      <c r="IQQ30" s="9"/>
      <c r="IQR30" s="10"/>
      <c r="IQS30" s="11"/>
      <c r="IQT30" s="12"/>
      <c r="IQU30" s="12"/>
      <c r="IQV30" s="12"/>
      <c r="IQW30" s="13"/>
      <c r="IQX30" s="9"/>
      <c r="IQY30" s="9"/>
      <c r="IQZ30" s="9"/>
      <c r="IRA30" s="9"/>
      <c r="IRB30" s="10"/>
      <c r="IRC30" s="11"/>
      <c r="IRD30" s="12"/>
      <c r="IRE30" s="12"/>
      <c r="IRF30" s="12"/>
      <c r="IRG30" s="13"/>
      <c r="IRH30" s="9"/>
      <c r="IRI30" s="9"/>
      <c r="IRJ30" s="9"/>
      <c r="IRK30" s="9"/>
      <c r="IRL30" s="10"/>
      <c r="IRM30" s="11"/>
      <c r="IRN30" s="12"/>
      <c r="IRO30" s="12"/>
      <c r="IRP30" s="12"/>
      <c r="IRQ30" s="13"/>
      <c r="IRR30" s="9"/>
      <c r="IRS30" s="9"/>
      <c r="IRT30" s="9"/>
      <c r="IRU30" s="9"/>
      <c r="IRV30" s="10"/>
      <c r="IRW30" s="11"/>
      <c r="IRX30" s="12"/>
      <c r="IRY30" s="12"/>
      <c r="IRZ30" s="12"/>
      <c r="ISA30" s="13"/>
      <c r="ISB30" s="9"/>
      <c r="ISC30" s="9"/>
      <c r="ISD30" s="9"/>
      <c r="ISE30" s="9"/>
      <c r="ISF30" s="10"/>
      <c r="ISG30" s="11"/>
      <c r="ISH30" s="12"/>
      <c r="ISI30" s="12"/>
      <c r="ISJ30" s="12"/>
      <c r="ISK30" s="13"/>
      <c r="ISL30" s="9"/>
      <c r="ISM30" s="9"/>
      <c r="ISN30" s="9"/>
      <c r="ISO30" s="9"/>
      <c r="ISP30" s="10"/>
      <c r="ISQ30" s="11"/>
      <c r="ISR30" s="12"/>
      <c r="ISS30" s="12"/>
      <c r="IST30" s="12"/>
      <c r="ISU30" s="13"/>
      <c r="ISV30" s="9"/>
      <c r="ISW30" s="9"/>
      <c r="ISX30" s="9"/>
      <c r="ISY30" s="9"/>
      <c r="ISZ30" s="10"/>
      <c r="ITA30" s="11"/>
      <c r="ITB30" s="12"/>
      <c r="ITC30" s="12"/>
      <c r="ITD30" s="12"/>
      <c r="ITE30" s="13"/>
      <c r="ITF30" s="9"/>
      <c r="ITG30" s="9"/>
      <c r="ITH30" s="9"/>
      <c r="ITI30" s="9"/>
      <c r="ITJ30" s="10"/>
      <c r="ITK30" s="11"/>
      <c r="ITL30" s="12"/>
      <c r="ITM30" s="12"/>
      <c r="ITN30" s="12"/>
      <c r="ITO30" s="13"/>
      <c r="ITP30" s="9"/>
      <c r="ITQ30" s="9"/>
      <c r="ITR30" s="9"/>
      <c r="ITS30" s="9"/>
      <c r="ITT30" s="10"/>
      <c r="ITU30" s="11"/>
      <c r="ITV30" s="12"/>
      <c r="ITW30" s="12"/>
      <c r="ITX30" s="12"/>
      <c r="ITY30" s="13"/>
      <c r="ITZ30" s="9"/>
      <c r="IUA30" s="9"/>
      <c r="IUB30" s="9"/>
      <c r="IUC30" s="9"/>
      <c r="IUD30" s="10"/>
      <c r="IUE30" s="11"/>
      <c r="IUF30" s="12"/>
      <c r="IUG30" s="12"/>
      <c r="IUH30" s="12"/>
      <c r="IUI30" s="13"/>
      <c r="IUJ30" s="9"/>
      <c r="IUK30" s="9"/>
      <c r="IUL30" s="9"/>
      <c r="IUM30" s="9"/>
      <c r="IUN30" s="10"/>
      <c r="IUO30" s="11"/>
      <c r="IUP30" s="12"/>
      <c r="IUQ30" s="12"/>
      <c r="IUR30" s="12"/>
      <c r="IUS30" s="13"/>
      <c r="IUT30" s="9"/>
      <c r="IUU30" s="9"/>
      <c r="IUV30" s="9"/>
      <c r="IUW30" s="9"/>
      <c r="IUX30" s="10"/>
      <c r="IUY30" s="11"/>
      <c r="IUZ30" s="12"/>
      <c r="IVA30" s="12"/>
      <c r="IVB30" s="12"/>
      <c r="IVC30" s="13"/>
      <c r="IVD30" s="9"/>
      <c r="IVE30" s="9"/>
      <c r="IVF30" s="9"/>
      <c r="IVG30" s="9"/>
      <c r="IVH30" s="10"/>
      <c r="IVI30" s="11"/>
      <c r="IVJ30" s="12"/>
      <c r="IVK30" s="12"/>
      <c r="IVL30" s="12"/>
      <c r="IVM30" s="13"/>
      <c r="IVN30" s="9"/>
      <c r="IVO30" s="9"/>
      <c r="IVP30" s="9"/>
      <c r="IVQ30" s="9"/>
      <c r="IVR30" s="10"/>
      <c r="IVS30" s="11"/>
      <c r="IVT30" s="12"/>
      <c r="IVU30" s="12"/>
      <c r="IVV30" s="12"/>
      <c r="IVW30" s="13"/>
      <c r="IVX30" s="9"/>
      <c r="IVY30" s="9"/>
      <c r="IVZ30" s="9"/>
      <c r="IWA30" s="9"/>
      <c r="IWB30" s="10"/>
      <c r="IWC30" s="11"/>
      <c r="IWD30" s="12"/>
      <c r="IWE30" s="12"/>
      <c r="IWF30" s="12"/>
      <c r="IWG30" s="13"/>
      <c r="IWH30" s="9"/>
      <c r="IWI30" s="9"/>
      <c r="IWJ30" s="9"/>
      <c r="IWK30" s="9"/>
      <c r="IWL30" s="10"/>
      <c r="IWM30" s="11"/>
      <c r="IWN30" s="12"/>
      <c r="IWO30" s="12"/>
      <c r="IWP30" s="12"/>
      <c r="IWQ30" s="13"/>
      <c r="IWR30" s="9"/>
      <c r="IWS30" s="9"/>
      <c r="IWT30" s="9"/>
      <c r="IWU30" s="9"/>
      <c r="IWV30" s="10"/>
      <c r="IWW30" s="11"/>
      <c r="IWX30" s="12"/>
      <c r="IWY30" s="12"/>
      <c r="IWZ30" s="12"/>
      <c r="IXA30" s="13"/>
      <c r="IXB30" s="9"/>
      <c r="IXC30" s="9"/>
      <c r="IXD30" s="9"/>
      <c r="IXE30" s="9"/>
      <c r="IXF30" s="10"/>
      <c r="IXG30" s="11"/>
      <c r="IXH30" s="12"/>
      <c r="IXI30" s="12"/>
      <c r="IXJ30" s="12"/>
      <c r="IXK30" s="13"/>
      <c r="IXL30" s="9"/>
      <c r="IXM30" s="9"/>
      <c r="IXN30" s="9"/>
      <c r="IXO30" s="9"/>
      <c r="IXP30" s="10"/>
      <c r="IXQ30" s="11"/>
      <c r="IXR30" s="12"/>
      <c r="IXS30" s="12"/>
      <c r="IXT30" s="12"/>
      <c r="IXU30" s="13"/>
      <c r="IXV30" s="9"/>
      <c r="IXW30" s="9"/>
      <c r="IXX30" s="9"/>
      <c r="IXY30" s="9"/>
      <c r="IXZ30" s="10"/>
      <c r="IYA30" s="11"/>
      <c r="IYB30" s="12"/>
      <c r="IYC30" s="12"/>
      <c r="IYD30" s="12"/>
      <c r="IYE30" s="13"/>
      <c r="IYF30" s="9"/>
      <c r="IYG30" s="9"/>
      <c r="IYH30" s="9"/>
      <c r="IYI30" s="9"/>
      <c r="IYJ30" s="10"/>
      <c r="IYK30" s="11"/>
      <c r="IYL30" s="12"/>
      <c r="IYM30" s="12"/>
      <c r="IYN30" s="12"/>
      <c r="IYO30" s="13"/>
      <c r="IYP30" s="9"/>
      <c r="IYQ30" s="9"/>
      <c r="IYR30" s="9"/>
      <c r="IYS30" s="9"/>
      <c r="IYT30" s="10"/>
      <c r="IYU30" s="11"/>
      <c r="IYV30" s="12"/>
      <c r="IYW30" s="12"/>
      <c r="IYX30" s="12"/>
      <c r="IYY30" s="13"/>
      <c r="IYZ30" s="9"/>
      <c r="IZA30" s="9"/>
      <c r="IZB30" s="9"/>
      <c r="IZC30" s="9"/>
      <c r="IZD30" s="10"/>
      <c r="IZE30" s="11"/>
      <c r="IZF30" s="12"/>
      <c r="IZG30" s="12"/>
      <c r="IZH30" s="12"/>
      <c r="IZI30" s="13"/>
      <c r="IZJ30" s="9"/>
      <c r="IZK30" s="9"/>
      <c r="IZL30" s="9"/>
      <c r="IZM30" s="9"/>
      <c r="IZN30" s="10"/>
      <c r="IZO30" s="11"/>
      <c r="IZP30" s="12"/>
      <c r="IZQ30" s="12"/>
      <c r="IZR30" s="12"/>
      <c r="IZS30" s="13"/>
      <c r="IZT30" s="9"/>
      <c r="IZU30" s="9"/>
      <c r="IZV30" s="9"/>
      <c r="IZW30" s="9"/>
      <c r="IZX30" s="10"/>
      <c r="IZY30" s="11"/>
      <c r="IZZ30" s="12"/>
      <c r="JAA30" s="12"/>
      <c r="JAB30" s="12"/>
      <c r="JAC30" s="13"/>
      <c r="JAD30" s="9"/>
      <c r="JAE30" s="9"/>
      <c r="JAF30" s="9"/>
      <c r="JAG30" s="9"/>
      <c r="JAH30" s="10"/>
      <c r="JAI30" s="11"/>
      <c r="JAJ30" s="12"/>
      <c r="JAK30" s="12"/>
      <c r="JAL30" s="12"/>
      <c r="JAM30" s="13"/>
      <c r="JAN30" s="9"/>
      <c r="JAO30" s="9"/>
      <c r="JAP30" s="9"/>
      <c r="JAQ30" s="9"/>
      <c r="JAR30" s="10"/>
      <c r="JAS30" s="11"/>
      <c r="JAT30" s="12"/>
      <c r="JAU30" s="12"/>
      <c r="JAV30" s="12"/>
      <c r="JAW30" s="13"/>
      <c r="JAX30" s="9"/>
      <c r="JAY30" s="9"/>
      <c r="JAZ30" s="9"/>
      <c r="JBA30" s="9"/>
      <c r="JBB30" s="10"/>
      <c r="JBC30" s="11"/>
      <c r="JBD30" s="12"/>
      <c r="JBE30" s="12"/>
      <c r="JBF30" s="12"/>
      <c r="JBG30" s="13"/>
      <c r="JBH30" s="9"/>
      <c r="JBI30" s="9"/>
      <c r="JBJ30" s="9"/>
      <c r="JBK30" s="9"/>
      <c r="JBL30" s="10"/>
      <c r="JBM30" s="11"/>
      <c r="JBN30" s="12"/>
      <c r="JBO30" s="12"/>
      <c r="JBP30" s="12"/>
      <c r="JBQ30" s="13"/>
      <c r="JBR30" s="9"/>
      <c r="JBS30" s="9"/>
      <c r="JBT30" s="9"/>
      <c r="JBU30" s="9"/>
      <c r="JBV30" s="10"/>
      <c r="JBW30" s="11"/>
      <c r="JBX30" s="12"/>
      <c r="JBY30" s="12"/>
      <c r="JBZ30" s="12"/>
      <c r="JCA30" s="13"/>
      <c r="JCB30" s="9"/>
      <c r="JCC30" s="9"/>
      <c r="JCD30" s="9"/>
      <c r="JCE30" s="9"/>
      <c r="JCF30" s="10"/>
      <c r="JCG30" s="11"/>
      <c r="JCH30" s="12"/>
      <c r="JCI30" s="12"/>
      <c r="JCJ30" s="12"/>
      <c r="JCK30" s="13"/>
      <c r="JCL30" s="9"/>
      <c r="JCM30" s="9"/>
      <c r="JCN30" s="9"/>
      <c r="JCO30" s="9"/>
      <c r="JCP30" s="10"/>
      <c r="JCQ30" s="11"/>
      <c r="JCR30" s="12"/>
      <c r="JCS30" s="12"/>
      <c r="JCT30" s="12"/>
      <c r="JCU30" s="13"/>
      <c r="JCV30" s="9"/>
      <c r="JCW30" s="9"/>
      <c r="JCX30" s="9"/>
      <c r="JCY30" s="9"/>
      <c r="JCZ30" s="10"/>
      <c r="JDA30" s="11"/>
      <c r="JDB30" s="12"/>
      <c r="JDC30" s="12"/>
      <c r="JDD30" s="12"/>
      <c r="JDE30" s="13"/>
      <c r="JDF30" s="9"/>
      <c r="JDG30" s="9"/>
      <c r="JDH30" s="9"/>
      <c r="JDI30" s="9"/>
      <c r="JDJ30" s="10"/>
      <c r="JDK30" s="11"/>
      <c r="JDL30" s="12"/>
      <c r="JDM30" s="12"/>
      <c r="JDN30" s="12"/>
      <c r="JDO30" s="13"/>
      <c r="JDP30" s="9"/>
      <c r="JDQ30" s="9"/>
      <c r="JDR30" s="9"/>
      <c r="JDS30" s="9"/>
      <c r="JDT30" s="10"/>
      <c r="JDU30" s="11"/>
      <c r="JDV30" s="12"/>
      <c r="JDW30" s="12"/>
      <c r="JDX30" s="12"/>
      <c r="JDY30" s="13"/>
      <c r="JDZ30" s="9"/>
      <c r="JEA30" s="9"/>
      <c r="JEB30" s="9"/>
      <c r="JEC30" s="9"/>
      <c r="JED30" s="10"/>
      <c r="JEE30" s="11"/>
      <c r="JEF30" s="12"/>
      <c r="JEG30" s="12"/>
      <c r="JEH30" s="12"/>
      <c r="JEI30" s="13"/>
      <c r="JEJ30" s="9"/>
      <c r="JEK30" s="9"/>
      <c r="JEL30" s="9"/>
      <c r="JEM30" s="9"/>
      <c r="JEN30" s="10"/>
      <c r="JEO30" s="11"/>
      <c r="JEP30" s="12"/>
      <c r="JEQ30" s="12"/>
      <c r="JER30" s="12"/>
      <c r="JES30" s="13"/>
      <c r="JET30" s="9"/>
      <c r="JEU30" s="9"/>
      <c r="JEV30" s="9"/>
      <c r="JEW30" s="9"/>
      <c r="JEX30" s="10"/>
      <c r="JEY30" s="11"/>
      <c r="JEZ30" s="12"/>
      <c r="JFA30" s="12"/>
      <c r="JFB30" s="12"/>
      <c r="JFC30" s="13"/>
      <c r="JFD30" s="9"/>
      <c r="JFE30" s="9"/>
      <c r="JFF30" s="9"/>
      <c r="JFG30" s="9"/>
      <c r="JFH30" s="10"/>
      <c r="JFI30" s="11"/>
      <c r="JFJ30" s="12"/>
      <c r="JFK30" s="12"/>
      <c r="JFL30" s="12"/>
      <c r="JFM30" s="13"/>
      <c r="JFN30" s="9"/>
      <c r="JFO30" s="9"/>
      <c r="JFP30" s="9"/>
      <c r="JFQ30" s="9"/>
      <c r="JFR30" s="10"/>
      <c r="JFS30" s="11"/>
      <c r="JFT30" s="12"/>
      <c r="JFU30" s="12"/>
      <c r="JFV30" s="12"/>
      <c r="JFW30" s="13"/>
      <c r="JFX30" s="9"/>
      <c r="JFY30" s="9"/>
      <c r="JFZ30" s="9"/>
      <c r="JGA30" s="9"/>
      <c r="JGB30" s="10"/>
      <c r="JGC30" s="11"/>
      <c r="JGD30" s="12"/>
      <c r="JGE30" s="12"/>
      <c r="JGF30" s="12"/>
      <c r="JGG30" s="13"/>
      <c r="JGH30" s="9"/>
      <c r="JGI30" s="9"/>
      <c r="JGJ30" s="9"/>
      <c r="JGK30" s="9"/>
      <c r="JGL30" s="10"/>
      <c r="JGM30" s="11"/>
      <c r="JGN30" s="12"/>
      <c r="JGO30" s="12"/>
      <c r="JGP30" s="12"/>
      <c r="JGQ30" s="13"/>
      <c r="JGR30" s="9"/>
      <c r="JGS30" s="9"/>
      <c r="JGT30" s="9"/>
      <c r="JGU30" s="9"/>
      <c r="JGV30" s="10"/>
      <c r="JGW30" s="11"/>
      <c r="JGX30" s="12"/>
      <c r="JGY30" s="12"/>
      <c r="JGZ30" s="12"/>
      <c r="JHA30" s="13"/>
      <c r="JHB30" s="9"/>
      <c r="JHC30" s="9"/>
      <c r="JHD30" s="9"/>
      <c r="JHE30" s="9"/>
      <c r="JHF30" s="10"/>
      <c r="JHG30" s="11"/>
      <c r="JHH30" s="12"/>
      <c r="JHI30" s="12"/>
      <c r="JHJ30" s="12"/>
      <c r="JHK30" s="13"/>
      <c r="JHL30" s="9"/>
      <c r="JHM30" s="9"/>
      <c r="JHN30" s="9"/>
      <c r="JHO30" s="9"/>
      <c r="JHP30" s="10"/>
      <c r="JHQ30" s="11"/>
      <c r="JHR30" s="12"/>
      <c r="JHS30" s="12"/>
      <c r="JHT30" s="12"/>
      <c r="JHU30" s="13"/>
      <c r="JHV30" s="9"/>
      <c r="JHW30" s="9"/>
      <c r="JHX30" s="9"/>
      <c r="JHY30" s="9"/>
      <c r="JHZ30" s="10"/>
      <c r="JIA30" s="11"/>
      <c r="JIB30" s="12"/>
      <c r="JIC30" s="12"/>
      <c r="JID30" s="12"/>
      <c r="JIE30" s="13"/>
      <c r="JIF30" s="9"/>
      <c r="JIG30" s="9"/>
      <c r="JIH30" s="9"/>
      <c r="JII30" s="9"/>
      <c r="JIJ30" s="10"/>
      <c r="JIK30" s="11"/>
      <c r="JIL30" s="12"/>
      <c r="JIM30" s="12"/>
      <c r="JIN30" s="12"/>
      <c r="JIO30" s="13"/>
      <c r="JIP30" s="9"/>
      <c r="JIQ30" s="9"/>
      <c r="JIR30" s="9"/>
      <c r="JIS30" s="9"/>
      <c r="JIT30" s="10"/>
      <c r="JIU30" s="11"/>
      <c r="JIV30" s="12"/>
      <c r="JIW30" s="12"/>
      <c r="JIX30" s="12"/>
      <c r="JIY30" s="13"/>
      <c r="JIZ30" s="9"/>
      <c r="JJA30" s="9"/>
      <c r="JJB30" s="9"/>
      <c r="JJC30" s="9"/>
      <c r="JJD30" s="10"/>
      <c r="JJE30" s="11"/>
      <c r="JJF30" s="12"/>
      <c r="JJG30" s="12"/>
      <c r="JJH30" s="12"/>
      <c r="JJI30" s="13"/>
      <c r="JJJ30" s="9"/>
      <c r="JJK30" s="9"/>
      <c r="JJL30" s="9"/>
      <c r="JJM30" s="9"/>
      <c r="JJN30" s="10"/>
      <c r="JJO30" s="11"/>
      <c r="JJP30" s="12"/>
      <c r="JJQ30" s="12"/>
      <c r="JJR30" s="12"/>
      <c r="JJS30" s="13"/>
      <c r="JJT30" s="9"/>
      <c r="JJU30" s="9"/>
      <c r="JJV30" s="9"/>
      <c r="JJW30" s="9"/>
      <c r="JJX30" s="10"/>
      <c r="JJY30" s="11"/>
      <c r="JJZ30" s="12"/>
      <c r="JKA30" s="12"/>
      <c r="JKB30" s="12"/>
      <c r="JKC30" s="13"/>
      <c r="JKD30" s="9"/>
      <c r="JKE30" s="9"/>
      <c r="JKF30" s="9"/>
      <c r="JKG30" s="9"/>
      <c r="JKH30" s="10"/>
      <c r="JKI30" s="11"/>
      <c r="JKJ30" s="12"/>
      <c r="JKK30" s="12"/>
      <c r="JKL30" s="12"/>
      <c r="JKM30" s="13"/>
      <c r="JKN30" s="9"/>
      <c r="JKO30" s="9"/>
      <c r="JKP30" s="9"/>
      <c r="JKQ30" s="9"/>
      <c r="JKR30" s="10"/>
      <c r="JKS30" s="11"/>
      <c r="JKT30" s="12"/>
      <c r="JKU30" s="12"/>
      <c r="JKV30" s="12"/>
      <c r="JKW30" s="13"/>
      <c r="JKX30" s="9"/>
      <c r="JKY30" s="9"/>
      <c r="JKZ30" s="9"/>
      <c r="JLA30" s="9"/>
      <c r="JLB30" s="10"/>
      <c r="JLC30" s="11"/>
      <c r="JLD30" s="12"/>
      <c r="JLE30" s="12"/>
      <c r="JLF30" s="12"/>
      <c r="JLG30" s="13"/>
      <c r="JLH30" s="9"/>
      <c r="JLI30" s="9"/>
      <c r="JLJ30" s="9"/>
      <c r="JLK30" s="9"/>
      <c r="JLL30" s="10"/>
      <c r="JLM30" s="11"/>
      <c r="JLN30" s="12"/>
      <c r="JLO30" s="12"/>
      <c r="JLP30" s="12"/>
      <c r="JLQ30" s="13"/>
      <c r="JLR30" s="9"/>
      <c r="JLS30" s="9"/>
      <c r="JLT30" s="9"/>
      <c r="JLU30" s="9"/>
      <c r="JLV30" s="10"/>
      <c r="JLW30" s="11"/>
      <c r="JLX30" s="12"/>
      <c r="JLY30" s="12"/>
      <c r="JLZ30" s="12"/>
      <c r="JMA30" s="13"/>
      <c r="JMB30" s="9"/>
      <c r="JMC30" s="9"/>
      <c r="JMD30" s="9"/>
      <c r="JME30" s="9"/>
      <c r="JMF30" s="10"/>
      <c r="JMG30" s="11"/>
      <c r="JMH30" s="12"/>
      <c r="JMI30" s="12"/>
      <c r="JMJ30" s="12"/>
      <c r="JMK30" s="13"/>
      <c r="JML30" s="9"/>
      <c r="JMM30" s="9"/>
      <c r="JMN30" s="9"/>
      <c r="JMO30" s="9"/>
      <c r="JMP30" s="10"/>
      <c r="JMQ30" s="11"/>
      <c r="JMR30" s="12"/>
      <c r="JMS30" s="12"/>
      <c r="JMT30" s="12"/>
      <c r="JMU30" s="13"/>
      <c r="JMV30" s="9"/>
      <c r="JMW30" s="9"/>
      <c r="JMX30" s="9"/>
      <c r="JMY30" s="9"/>
      <c r="JMZ30" s="10"/>
      <c r="JNA30" s="11"/>
      <c r="JNB30" s="12"/>
      <c r="JNC30" s="12"/>
      <c r="JND30" s="12"/>
      <c r="JNE30" s="13"/>
      <c r="JNF30" s="9"/>
      <c r="JNG30" s="9"/>
      <c r="JNH30" s="9"/>
      <c r="JNI30" s="9"/>
      <c r="JNJ30" s="10"/>
      <c r="JNK30" s="11"/>
      <c r="JNL30" s="12"/>
      <c r="JNM30" s="12"/>
      <c r="JNN30" s="12"/>
      <c r="JNO30" s="13"/>
      <c r="JNP30" s="9"/>
      <c r="JNQ30" s="9"/>
      <c r="JNR30" s="9"/>
      <c r="JNS30" s="9"/>
      <c r="JNT30" s="10"/>
      <c r="JNU30" s="11"/>
      <c r="JNV30" s="12"/>
      <c r="JNW30" s="12"/>
      <c r="JNX30" s="12"/>
      <c r="JNY30" s="13"/>
      <c r="JNZ30" s="9"/>
      <c r="JOA30" s="9"/>
      <c r="JOB30" s="9"/>
      <c r="JOC30" s="9"/>
      <c r="JOD30" s="10"/>
      <c r="JOE30" s="11"/>
      <c r="JOF30" s="12"/>
      <c r="JOG30" s="12"/>
      <c r="JOH30" s="12"/>
      <c r="JOI30" s="13"/>
      <c r="JOJ30" s="9"/>
      <c r="JOK30" s="9"/>
      <c r="JOL30" s="9"/>
      <c r="JOM30" s="9"/>
      <c r="JON30" s="10"/>
      <c r="JOO30" s="11"/>
      <c r="JOP30" s="12"/>
      <c r="JOQ30" s="12"/>
      <c r="JOR30" s="12"/>
      <c r="JOS30" s="13"/>
      <c r="JOT30" s="9"/>
      <c r="JOU30" s="9"/>
      <c r="JOV30" s="9"/>
      <c r="JOW30" s="9"/>
      <c r="JOX30" s="10"/>
      <c r="JOY30" s="11"/>
      <c r="JOZ30" s="12"/>
      <c r="JPA30" s="12"/>
      <c r="JPB30" s="12"/>
      <c r="JPC30" s="13"/>
      <c r="JPD30" s="9"/>
      <c r="JPE30" s="9"/>
      <c r="JPF30" s="9"/>
      <c r="JPG30" s="9"/>
      <c r="JPH30" s="10"/>
      <c r="JPI30" s="11"/>
      <c r="JPJ30" s="12"/>
      <c r="JPK30" s="12"/>
      <c r="JPL30" s="12"/>
      <c r="JPM30" s="13"/>
      <c r="JPN30" s="9"/>
      <c r="JPO30" s="9"/>
      <c r="JPP30" s="9"/>
      <c r="JPQ30" s="9"/>
      <c r="JPR30" s="10"/>
      <c r="JPS30" s="11"/>
      <c r="JPT30" s="12"/>
      <c r="JPU30" s="12"/>
      <c r="JPV30" s="12"/>
      <c r="JPW30" s="13"/>
      <c r="JPX30" s="9"/>
      <c r="JPY30" s="9"/>
      <c r="JPZ30" s="9"/>
      <c r="JQA30" s="9"/>
      <c r="JQB30" s="10"/>
      <c r="JQC30" s="11"/>
      <c r="JQD30" s="12"/>
      <c r="JQE30" s="12"/>
      <c r="JQF30" s="12"/>
      <c r="JQG30" s="13"/>
      <c r="JQH30" s="9"/>
      <c r="JQI30" s="9"/>
      <c r="JQJ30" s="9"/>
      <c r="JQK30" s="9"/>
      <c r="JQL30" s="10"/>
      <c r="JQM30" s="11"/>
      <c r="JQN30" s="12"/>
      <c r="JQO30" s="12"/>
      <c r="JQP30" s="12"/>
      <c r="JQQ30" s="13"/>
      <c r="JQR30" s="9"/>
      <c r="JQS30" s="9"/>
      <c r="JQT30" s="9"/>
      <c r="JQU30" s="9"/>
      <c r="JQV30" s="10"/>
      <c r="JQW30" s="11"/>
      <c r="JQX30" s="12"/>
      <c r="JQY30" s="12"/>
      <c r="JQZ30" s="12"/>
      <c r="JRA30" s="13"/>
      <c r="JRB30" s="9"/>
      <c r="JRC30" s="9"/>
      <c r="JRD30" s="9"/>
      <c r="JRE30" s="9"/>
      <c r="JRF30" s="10"/>
      <c r="JRG30" s="11"/>
      <c r="JRH30" s="12"/>
      <c r="JRI30" s="12"/>
      <c r="JRJ30" s="12"/>
      <c r="JRK30" s="13"/>
      <c r="JRL30" s="9"/>
      <c r="JRM30" s="9"/>
      <c r="JRN30" s="9"/>
      <c r="JRO30" s="9"/>
      <c r="JRP30" s="10"/>
      <c r="JRQ30" s="11"/>
      <c r="JRR30" s="12"/>
      <c r="JRS30" s="12"/>
      <c r="JRT30" s="12"/>
      <c r="JRU30" s="13"/>
      <c r="JRV30" s="9"/>
      <c r="JRW30" s="9"/>
      <c r="JRX30" s="9"/>
      <c r="JRY30" s="9"/>
      <c r="JRZ30" s="10"/>
      <c r="JSA30" s="11"/>
      <c r="JSB30" s="12"/>
      <c r="JSC30" s="12"/>
      <c r="JSD30" s="12"/>
      <c r="JSE30" s="13"/>
      <c r="JSF30" s="9"/>
      <c r="JSG30" s="9"/>
      <c r="JSH30" s="9"/>
      <c r="JSI30" s="9"/>
      <c r="JSJ30" s="10"/>
      <c r="JSK30" s="11"/>
      <c r="JSL30" s="12"/>
      <c r="JSM30" s="12"/>
      <c r="JSN30" s="12"/>
      <c r="JSO30" s="13"/>
      <c r="JSP30" s="9"/>
      <c r="JSQ30" s="9"/>
      <c r="JSR30" s="9"/>
      <c r="JSS30" s="9"/>
      <c r="JST30" s="10"/>
      <c r="JSU30" s="11"/>
      <c r="JSV30" s="12"/>
      <c r="JSW30" s="12"/>
      <c r="JSX30" s="12"/>
      <c r="JSY30" s="13"/>
      <c r="JSZ30" s="9"/>
      <c r="JTA30" s="9"/>
      <c r="JTB30" s="9"/>
      <c r="JTC30" s="9"/>
      <c r="JTD30" s="10"/>
      <c r="JTE30" s="11"/>
      <c r="JTF30" s="12"/>
      <c r="JTG30" s="12"/>
      <c r="JTH30" s="12"/>
      <c r="JTI30" s="13"/>
      <c r="JTJ30" s="9"/>
      <c r="JTK30" s="9"/>
      <c r="JTL30" s="9"/>
      <c r="JTM30" s="9"/>
      <c r="JTN30" s="10"/>
      <c r="JTO30" s="11"/>
      <c r="JTP30" s="12"/>
      <c r="JTQ30" s="12"/>
      <c r="JTR30" s="12"/>
      <c r="JTS30" s="13"/>
      <c r="JTT30" s="9"/>
      <c r="JTU30" s="9"/>
      <c r="JTV30" s="9"/>
      <c r="JTW30" s="9"/>
      <c r="JTX30" s="10"/>
      <c r="JTY30" s="11"/>
      <c r="JTZ30" s="12"/>
      <c r="JUA30" s="12"/>
      <c r="JUB30" s="12"/>
      <c r="JUC30" s="13"/>
      <c r="JUD30" s="9"/>
      <c r="JUE30" s="9"/>
      <c r="JUF30" s="9"/>
      <c r="JUG30" s="9"/>
      <c r="JUH30" s="10"/>
      <c r="JUI30" s="11"/>
      <c r="JUJ30" s="12"/>
      <c r="JUK30" s="12"/>
      <c r="JUL30" s="12"/>
      <c r="JUM30" s="13"/>
      <c r="JUN30" s="9"/>
      <c r="JUO30" s="9"/>
      <c r="JUP30" s="9"/>
      <c r="JUQ30" s="9"/>
      <c r="JUR30" s="10"/>
      <c r="JUS30" s="11"/>
      <c r="JUT30" s="12"/>
      <c r="JUU30" s="12"/>
      <c r="JUV30" s="12"/>
      <c r="JUW30" s="13"/>
      <c r="JUX30" s="9"/>
      <c r="JUY30" s="9"/>
      <c r="JUZ30" s="9"/>
      <c r="JVA30" s="9"/>
      <c r="JVB30" s="10"/>
      <c r="JVC30" s="11"/>
      <c r="JVD30" s="12"/>
      <c r="JVE30" s="12"/>
      <c r="JVF30" s="12"/>
      <c r="JVG30" s="13"/>
      <c r="JVH30" s="9"/>
      <c r="JVI30" s="9"/>
      <c r="JVJ30" s="9"/>
      <c r="JVK30" s="9"/>
      <c r="JVL30" s="10"/>
      <c r="JVM30" s="11"/>
      <c r="JVN30" s="12"/>
      <c r="JVO30" s="12"/>
      <c r="JVP30" s="12"/>
      <c r="JVQ30" s="13"/>
      <c r="JVR30" s="9"/>
      <c r="JVS30" s="9"/>
      <c r="JVT30" s="9"/>
      <c r="JVU30" s="9"/>
      <c r="JVV30" s="10"/>
      <c r="JVW30" s="11"/>
      <c r="JVX30" s="12"/>
      <c r="JVY30" s="12"/>
      <c r="JVZ30" s="12"/>
      <c r="JWA30" s="13"/>
      <c r="JWB30" s="9"/>
      <c r="JWC30" s="9"/>
      <c r="JWD30" s="9"/>
      <c r="JWE30" s="9"/>
      <c r="JWF30" s="10"/>
      <c r="JWG30" s="11"/>
      <c r="JWH30" s="12"/>
      <c r="JWI30" s="12"/>
      <c r="JWJ30" s="12"/>
      <c r="JWK30" s="13"/>
      <c r="JWL30" s="9"/>
      <c r="JWM30" s="9"/>
      <c r="JWN30" s="9"/>
      <c r="JWO30" s="9"/>
      <c r="JWP30" s="10"/>
      <c r="JWQ30" s="11"/>
      <c r="JWR30" s="12"/>
      <c r="JWS30" s="12"/>
      <c r="JWT30" s="12"/>
      <c r="JWU30" s="13"/>
      <c r="JWV30" s="9"/>
      <c r="JWW30" s="9"/>
      <c r="JWX30" s="9"/>
      <c r="JWY30" s="9"/>
      <c r="JWZ30" s="10"/>
      <c r="JXA30" s="11"/>
      <c r="JXB30" s="12"/>
      <c r="JXC30" s="12"/>
      <c r="JXD30" s="12"/>
      <c r="JXE30" s="13"/>
      <c r="JXF30" s="9"/>
      <c r="JXG30" s="9"/>
      <c r="JXH30" s="9"/>
      <c r="JXI30" s="9"/>
      <c r="JXJ30" s="10"/>
      <c r="JXK30" s="11"/>
      <c r="JXL30" s="12"/>
      <c r="JXM30" s="12"/>
      <c r="JXN30" s="12"/>
      <c r="JXO30" s="13"/>
      <c r="JXP30" s="9"/>
      <c r="JXQ30" s="9"/>
      <c r="JXR30" s="9"/>
      <c r="JXS30" s="9"/>
      <c r="JXT30" s="10"/>
      <c r="JXU30" s="11"/>
      <c r="JXV30" s="12"/>
      <c r="JXW30" s="12"/>
      <c r="JXX30" s="12"/>
      <c r="JXY30" s="13"/>
      <c r="JXZ30" s="9"/>
      <c r="JYA30" s="9"/>
      <c r="JYB30" s="9"/>
      <c r="JYC30" s="9"/>
      <c r="JYD30" s="10"/>
      <c r="JYE30" s="11"/>
      <c r="JYF30" s="12"/>
      <c r="JYG30" s="12"/>
      <c r="JYH30" s="12"/>
      <c r="JYI30" s="13"/>
      <c r="JYJ30" s="9"/>
      <c r="JYK30" s="9"/>
      <c r="JYL30" s="9"/>
      <c r="JYM30" s="9"/>
      <c r="JYN30" s="10"/>
      <c r="JYO30" s="11"/>
      <c r="JYP30" s="12"/>
      <c r="JYQ30" s="12"/>
      <c r="JYR30" s="12"/>
      <c r="JYS30" s="13"/>
      <c r="JYT30" s="9"/>
      <c r="JYU30" s="9"/>
      <c r="JYV30" s="9"/>
      <c r="JYW30" s="9"/>
      <c r="JYX30" s="10"/>
      <c r="JYY30" s="11"/>
      <c r="JYZ30" s="12"/>
      <c r="JZA30" s="12"/>
      <c r="JZB30" s="12"/>
      <c r="JZC30" s="13"/>
      <c r="JZD30" s="9"/>
      <c r="JZE30" s="9"/>
      <c r="JZF30" s="9"/>
      <c r="JZG30" s="9"/>
      <c r="JZH30" s="10"/>
      <c r="JZI30" s="11"/>
      <c r="JZJ30" s="12"/>
      <c r="JZK30" s="12"/>
      <c r="JZL30" s="12"/>
      <c r="JZM30" s="13"/>
      <c r="JZN30" s="9"/>
      <c r="JZO30" s="9"/>
      <c r="JZP30" s="9"/>
      <c r="JZQ30" s="9"/>
      <c r="JZR30" s="10"/>
      <c r="JZS30" s="11"/>
      <c r="JZT30" s="12"/>
      <c r="JZU30" s="12"/>
      <c r="JZV30" s="12"/>
      <c r="JZW30" s="13"/>
      <c r="JZX30" s="9"/>
      <c r="JZY30" s="9"/>
      <c r="JZZ30" s="9"/>
      <c r="KAA30" s="9"/>
      <c r="KAB30" s="10"/>
      <c r="KAC30" s="11"/>
      <c r="KAD30" s="12"/>
      <c r="KAE30" s="12"/>
      <c r="KAF30" s="12"/>
      <c r="KAG30" s="13"/>
      <c r="KAH30" s="9"/>
      <c r="KAI30" s="9"/>
      <c r="KAJ30" s="9"/>
      <c r="KAK30" s="9"/>
      <c r="KAL30" s="10"/>
      <c r="KAM30" s="11"/>
      <c r="KAN30" s="12"/>
      <c r="KAO30" s="12"/>
      <c r="KAP30" s="12"/>
      <c r="KAQ30" s="13"/>
      <c r="KAR30" s="9"/>
      <c r="KAS30" s="9"/>
      <c r="KAT30" s="9"/>
      <c r="KAU30" s="9"/>
      <c r="KAV30" s="10"/>
      <c r="KAW30" s="11"/>
      <c r="KAX30" s="12"/>
      <c r="KAY30" s="12"/>
      <c r="KAZ30" s="12"/>
      <c r="KBA30" s="13"/>
      <c r="KBB30" s="9"/>
      <c r="KBC30" s="9"/>
      <c r="KBD30" s="9"/>
      <c r="KBE30" s="9"/>
      <c r="KBF30" s="10"/>
      <c r="KBG30" s="11"/>
      <c r="KBH30" s="12"/>
      <c r="KBI30" s="12"/>
      <c r="KBJ30" s="12"/>
      <c r="KBK30" s="13"/>
      <c r="KBL30" s="9"/>
      <c r="KBM30" s="9"/>
      <c r="KBN30" s="9"/>
      <c r="KBO30" s="9"/>
      <c r="KBP30" s="10"/>
      <c r="KBQ30" s="11"/>
      <c r="KBR30" s="12"/>
      <c r="KBS30" s="12"/>
      <c r="KBT30" s="12"/>
      <c r="KBU30" s="13"/>
      <c r="KBV30" s="9"/>
      <c r="KBW30" s="9"/>
      <c r="KBX30" s="9"/>
      <c r="KBY30" s="9"/>
      <c r="KBZ30" s="10"/>
      <c r="KCA30" s="11"/>
      <c r="KCB30" s="12"/>
      <c r="KCC30" s="12"/>
      <c r="KCD30" s="12"/>
      <c r="KCE30" s="13"/>
      <c r="KCF30" s="9"/>
      <c r="KCG30" s="9"/>
      <c r="KCH30" s="9"/>
      <c r="KCI30" s="9"/>
      <c r="KCJ30" s="10"/>
      <c r="KCK30" s="11"/>
      <c r="KCL30" s="12"/>
      <c r="KCM30" s="12"/>
      <c r="KCN30" s="12"/>
      <c r="KCO30" s="13"/>
      <c r="KCP30" s="9"/>
      <c r="KCQ30" s="9"/>
      <c r="KCR30" s="9"/>
      <c r="KCS30" s="9"/>
      <c r="KCT30" s="10"/>
      <c r="KCU30" s="11"/>
      <c r="KCV30" s="12"/>
      <c r="KCW30" s="12"/>
      <c r="KCX30" s="12"/>
      <c r="KCY30" s="13"/>
      <c r="KCZ30" s="9"/>
      <c r="KDA30" s="9"/>
      <c r="KDB30" s="9"/>
      <c r="KDC30" s="9"/>
      <c r="KDD30" s="10"/>
      <c r="KDE30" s="11"/>
      <c r="KDF30" s="12"/>
      <c r="KDG30" s="12"/>
      <c r="KDH30" s="12"/>
      <c r="KDI30" s="13"/>
      <c r="KDJ30" s="9"/>
      <c r="KDK30" s="9"/>
      <c r="KDL30" s="9"/>
      <c r="KDM30" s="9"/>
      <c r="KDN30" s="10"/>
      <c r="KDO30" s="11"/>
      <c r="KDP30" s="12"/>
      <c r="KDQ30" s="12"/>
      <c r="KDR30" s="12"/>
      <c r="KDS30" s="13"/>
      <c r="KDT30" s="9"/>
      <c r="KDU30" s="9"/>
      <c r="KDV30" s="9"/>
      <c r="KDW30" s="9"/>
      <c r="KDX30" s="10"/>
      <c r="KDY30" s="11"/>
      <c r="KDZ30" s="12"/>
      <c r="KEA30" s="12"/>
      <c r="KEB30" s="12"/>
      <c r="KEC30" s="13"/>
      <c r="KED30" s="9"/>
      <c r="KEE30" s="9"/>
      <c r="KEF30" s="9"/>
      <c r="KEG30" s="9"/>
      <c r="KEH30" s="10"/>
      <c r="KEI30" s="11"/>
      <c r="KEJ30" s="12"/>
      <c r="KEK30" s="12"/>
      <c r="KEL30" s="12"/>
      <c r="KEM30" s="13"/>
      <c r="KEN30" s="9"/>
      <c r="KEO30" s="9"/>
      <c r="KEP30" s="9"/>
      <c r="KEQ30" s="9"/>
      <c r="KER30" s="10"/>
      <c r="KES30" s="11"/>
      <c r="KET30" s="12"/>
      <c r="KEU30" s="12"/>
      <c r="KEV30" s="12"/>
      <c r="KEW30" s="13"/>
      <c r="KEX30" s="9"/>
      <c r="KEY30" s="9"/>
      <c r="KEZ30" s="9"/>
      <c r="KFA30" s="9"/>
      <c r="KFB30" s="10"/>
      <c r="KFC30" s="11"/>
      <c r="KFD30" s="12"/>
      <c r="KFE30" s="12"/>
      <c r="KFF30" s="12"/>
      <c r="KFG30" s="13"/>
      <c r="KFH30" s="9"/>
      <c r="KFI30" s="9"/>
      <c r="KFJ30" s="9"/>
      <c r="KFK30" s="9"/>
      <c r="KFL30" s="10"/>
      <c r="KFM30" s="11"/>
      <c r="KFN30" s="12"/>
      <c r="KFO30" s="12"/>
      <c r="KFP30" s="12"/>
      <c r="KFQ30" s="13"/>
      <c r="KFR30" s="9"/>
      <c r="KFS30" s="9"/>
      <c r="KFT30" s="9"/>
      <c r="KFU30" s="9"/>
      <c r="KFV30" s="10"/>
      <c r="KFW30" s="11"/>
      <c r="KFX30" s="12"/>
      <c r="KFY30" s="12"/>
      <c r="KFZ30" s="12"/>
      <c r="KGA30" s="13"/>
      <c r="KGB30" s="9"/>
      <c r="KGC30" s="9"/>
      <c r="KGD30" s="9"/>
      <c r="KGE30" s="9"/>
      <c r="KGF30" s="10"/>
      <c r="KGG30" s="11"/>
      <c r="KGH30" s="12"/>
      <c r="KGI30" s="12"/>
      <c r="KGJ30" s="12"/>
      <c r="KGK30" s="13"/>
      <c r="KGL30" s="9"/>
      <c r="KGM30" s="9"/>
      <c r="KGN30" s="9"/>
      <c r="KGO30" s="9"/>
      <c r="KGP30" s="10"/>
      <c r="KGQ30" s="11"/>
      <c r="KGR30" s="12"/>
      <c r="KGS30" s="12"/>
      <c r="KGT30" s="12"/>
      <c r="KGU30" s="13"/>
      <c r="KGV30" s="9"/>
      <c r="KGW30" s="9"/>
      <c r="KGX30" s="9"/>
      <c r="KGY30" s="9"/>
      <c r="KGZ30" s="10"/>
      <c r="KHA30" s="11"/>
      <c r="KHB30" s="12"/>
      <c r="KHC30" s="12"/>
      <c r="KHD30" s="12"/>
      <c r="KHE30" s="13"/>
      <c r="KHF30" s="9"/>
      <c r="KHG30" s="9"/>
      <c r="KHH30" s="9"/>
      <c r="KHI30" s="9"/>
      <c r="KHJ30" s="10"/>
      <c r="KHK30" s="11"/>
      <c r="KHL30" s="12"/>
      <c r="KHM30" s="12"/>
      <c r="KHN30" s="12"/>
      <c r="KHO30" s="13"/>
      <c r="KHP30" s="9"/>
      <c r="KHQ30" s="9"/>
      <c r="KHR30" s="9"/>
      <c r="KHS30" s="9"/>
      <c r="KHT30" s="10"/>
      <c r="KHU30" s="11"/>
      <c r="KHV30" s="12"/>
      <c r="KHW30" s="12"/>
      <c r="KHX30" s="12"/>
      <c r="KHY30" s="13"/>
      <c r="KHZ30" s="9"/>
      <c r="KIA30" s="9"/>
      <c r="KIB30" s="9"/>
      <c r="KIC30" s="9"/>
      <c r="KID30" s="10"/>
      <c r="KIE30" s="11"/>
      <c r="KIF30" s="12"/>
      <c r="KIG30" s="12"/>
      <c r="KIH30" s="12"/>
      <c r="KII30" s="13"/>
      <c r="KIJ30" s="9"/>
      <c r="KIK30" s="9"/>
      <c r="KIL30" s="9"/>
      <c r="KIM30" s="9"/>
      <c r="KIN30" s="10"/>
      <c r="KIO30" s="11"/>
      <c r="KIP30" s="12"/>
      <c r="KIQ30" s="12"/>
      <c r="KIR30" s="12"/>
      <c r="KIS30" s="13"/>
      <c r="KIT30" s="9"/>
      <c r="KIU30" s="9"/>
      <c r="KIV30" s="9"/>
      <c r="KIW30" s="9"/>
      <c r="KIX30" s="10"/>
      <c r="KIY30" s="11"/>
      <c r="KIZ30" s="12"/>
      <c r="KJA30" s="12"/>
      <c r="KJB30" s="12"/>
      <c r="KJC30" s="13"/>
      <c r="KJD30" s="9"/>
      <c r="KJE30" s="9"/>
      <c r="KJF30" s="9"/>
      <c r="KJG30" s="9"/>
      <c r="KJH30" s="10"/>
      <c r="KJI30" s="11"/>
      <c r="KJJ30" s="12"/>
      <c r="KJK30" s="12"/>
      <c r="KJL30" s="12"/>
      <c r="KJM30" s="13"/>
      <c r="KJN30" s="9"/>
      <c r="KJO30" s="9"/>
      <c r="KJP30" s="9"/>
      <c r="KJQ30" s="9"/>
      <c r="KJR30" s="10"/>
      <c r="KJS30" s="11"/>
      <c r="KJT30" s="12"/>
      <c r="KJU30" s="12"/>
      <c r="KJV30" s="12"/>
      <c r="KJW30" s="13"/>
      <c r="KJX30" s="9"/>
      <c r="KJY30" s="9"/>
      <c r="KJZ30" s="9"/>
      <c r="KKA30" s="9"/>
      <c r="KKB30" s="10"/>
      <c r="KKC30" s="11"/>
      <c r="KKD30" s="12"/>
      <c r="KKE30" s="12"/>
      <c r="KKF30" s="12"/>
      <c r="KKG30" s="13"/>
      <c r="KKH30" s="9"/>
      <c r="KKI30" s="9"/>
      <c r="KKJ30" s="9"/>
      <c r="KKK30" s="9"/>
      <c r="KKL30" s="10"/>
      <c r="KKM30" s="11"/>
      <c r="KKN30" s="12"/>
      <c r="KKO30" s="12"/>
      <c r="KKP30" s="12"/>
      <c r="KKQ30" s="13"/>
      <c r="KKR30" s="9"/>
      <c r="KKS30" s="9"/>
      <c r="KKT30" s="9"/>
      <c r="KKU30" s="9"/>
      <c r="KKV30" s="10"/>
      <c r="KKW30" s="11"/>
      <c r="KKX30" s="12"/>
      <c r="KKY30" s="12"/>
      <c r="KKZ30" s="12"/>
      <c r="KLA30" s="13"/>
      <c r="KLB30" s="9"/>
      <c r="KLC30" s="9"/>
      <c r="KLD30" s="9"/>
      <c r="KLE30" s="9"/>
      <c r="KLF30" s="10"/>
      <c r="KLG30" s="11"/>
      <c r="KLH30" s="12"/>
      <c r="KLI30" s="12"/>
      <c r="KLJ30" s="12"/>
      <c r="KLK30" s="13"/>
      <c r="KLL30" s="9"/>
      <c r="KLM30" s="9"/>
      <c r="KLN30" s="9"/>
      <c r="KLO30" s="9"/>
      <c r="KLP30" s="10"/>
      <c r="KLQ30" s="11"/>
      <c r="KLR30" s="12"/>
      <c r="KLS30" s="12"/>
      <c r="KLT30" s="12"/>
      <c r="KLU30" s="13"/>
      <c r="KLV30" s="9"/>
      <c r="KLW30" s="9"/>
      <c r="KLX30" s="9"/>
      <c r="KLY30" s="9"/>
      <c r="KLZ30" s="10"/>
      <c r="KMA30" s="11"/>
      <c r="KMB30" s="12"/>
      <c r="KMC30" s="12"/>
      <c r="KMD30" s="12"/>
      <c r="KME30" s="13"/>
      <c r="KMF30" s="9"/>
      <c r="KMG30" s="9"/>
      <c r="KMH30" s="9"/>
      <c r="KMI30" s="9"/>
      <c r="KMJ30" s="10"/>
      <c r="KMK30" s="11"/>
      <c r="KML30" s="12"/>
      <c r="KMM30" s="12"/>
      <c r="KMN30" s="12"/>
      <c r="KMO30" s="13"/>
      <c r="KMP30" s="9"/>
      <c r="KMQ30" s="9"/>
      <c r="KMR30" s="9"/>
      <c r="KMS30" s="9"/>
      <c r="KMT30" s="10"/>
      <c r="KMU30" s="11"/>
      <c r="KMV30" s="12"/>
      <c r="KMW30" s="12"/>
      <c r="KMX30" s="12"/>
      <c r="KMY30" s="13"/>
      <c r="KMZ30" s="9"/>
      <c r="KNA30" s="9"/>
      <c r="KNB30" s="9"/>
      <c r="KNC30" s="9"/>
      <c r="KND30" s="10"/>
      <c r="KNE30" s="11"/>
      <c r="KNF30" s="12"/>
      <c r="KNG30" s="12"/>
      <c r="KNH30" s="12"/>
      <c r="KNI30" s="13"/>
      <c r="KNJ30" s="9"/>
      <c r="KNK30" s="9"/>
      <c r="KNL30" s="9"/>
      <c r="KNM30" s="9"/>
      <c r="KNN30" s="10"/>
      <c r="KNO30" s="11"/>
      <c r="KNP30" s="12"/>
      <c r="KNQ30" s="12"/>
      <c r="KNR30" s="12"/>
      <c r="KNS30" s="13"/>
      <c r="KNT30" s="9"/>
      <c r="KNU30" s="9"/>
      <c r="KNV30" s="9"/>
      <c r="KNW30" s="9"/>
      <c r="KNX30" s="10"/>
      <c r="KNY30" s="11"/>
      <c r="KNZ30" s="12"/>
      <c r="KOA30" s="12"/>
      <c r="KOB30" s="12"/>
      <c r="KOC30" s="13"/>
      <c r="KOD30" s="9"/>
      <c r="KOE30" s="9"/>
      <c r="KOF30" s="9"/>
      <c r="KOG30" s="9"/>
      <c r="KOH30" s="10"/>
      <c r="KOI30" s="11"/>
      <c r="KOJ30" s="12"/>
      <c r="KOK30" s="12"/>
      <c r="KOL30" s="12"/>
      <c r="KOM30" s="13"/>
      <c r="KON30" s="9"/>
      <c r="KOO30" s="9"/>
      <c r="KOP30" s="9"/>
      <c r="KOQ30" s="9"/>
      <c r="KOR30" s="10"/>
      <c r="KOS30" s="11"/>
      <c r="KOT30" s="12"/>
      <c r="KOU30" s="12"/>
      <c r="KOV30" s="12"/>
      <c r="KOW30" s="13"/>
      <c r="KOX30" s="9"/>
      <c r="KOY30" s="9"/>
      <c r="KOZ30" s="9"/>
      <c r="KPA30" s="9"/>
      <c r="KPB30" s="10"/>
      <c r="KPC30" s="11"/>
      <c r="KPD30" s="12"/>
      <c r="KPE30" s="12"/>
      <c r="KPF30" s="12"/>
      <c r="KPG30" s="13"/>
      <c r="KPH30" s="9"/>
      <c r="KPI30" s="9"/>
      <c r="KPJ30" s="9"/>
      <c r="KPK30" s="9"/>
      <c r="KPL30" s="10"/>
      <c r="KPM30" s="11"/>
      <c r="KPN30" s="12"/>
      <c r="KPO30" s="12"/>
      <c r="KPP30" s="12"/>
      <c r="KPQ30" s="13"/>
      <c r="KPR30" s="9"/>
      <c r="KPS30" s="9"/>
      <c r="KPT30" s="9"/>
      <c r="KPU30" s="9"/>
      <c r="KPV30" s="10"/>
      <c r="KPW30" s="11"/>
      <c r="KPX30" s="12"/>
      <c r="KPY30" s="12"/>
      <c r="KPZ30" s="12"/>
      <c r="KQA30" s="13"/>
      <c r="KQB30" s="9"/>
      <c r="KQC30" s="9"/>
      <c r="KQD30" s="9"/>
      <c r="KQE30" s="9"/>
      <c r="KQF30" s="10"/>
      <c r="KQG30" s="11"/>
      <c r="KQH30" s="12"/>
      <c r="KQI30" s="12"/>
      <c r="KQJ30" s="12"/>
      <c r="KQK30" s="13"/>
      <c r="KQL30" s="9"/>
      <c r="KQM30" s="9"/>
      <c r="KQN30" s="9"/>
      <c r="KQO30" s="9"/>
      <c r="KQP30" s="10"/>
      <c r="KQQ30" s="11"/>
      <c r="KQR30" s="12"/>
      <c r="KQS30" s="12"/>
      <c r="KQT30" s="12"/>
      <c r="KQU30" s="13"/>
      <c r="KQV30" s="9"/>
      <c r="KQW30" s="9"/>
      <c r="KQX30" s="9"/>
      <c r="KQY30" s="9"/>
      <c r="KQZ30" s="10"/>
      <c r="KRA30" s="11"/>
      <c r="KRB30" s="12"/>
      <c r="KRC30" s="12"/>
      <c r="KRD30" s="12"/>
      <c r="KRE30" s="13"/>
      <c r="KRF30" s="9"/>
      <c r="KRG30" s="9"/>
      <c r="KRH30" s="9"/>
      <c r="KRI30" s="9"/>
      <c r="KRJ30" s="10"/>
      <c r="KRK30" s="11"/>
      <c r="KRL30" s="12"/>
      <c r="KRM30" s="12"/>
      <c r="KRN30" s="12"/>
      <c r="KRO30" s="13"/>
      <c r="KRP30" s="9"/>
      <c r="KRQ30" s="9"/>
      <c r="KRR30" s="9"/>
      <c r="KRS30" s="9"/>
      <c r="KRT30" s="10"/>
      <c r="KRU30" s="11"/>
      <c r="KRV30" s="12"/>
      <c r="KRW30" s="12"/>
      <c r="KRX30" s="12"/>
      <c r="KRY30" s="13"/>
      <c r="KRZ30" s="9"/>
      <c r="KSA30" s="9"/>
      <c r="KSB30" s="9"/>
      <c r="KSC30" s="9"/>
      <c r="KSD30" s="10"/>
      <c r="KSE30" s="11"/>
      <c r="KSF30" s="12"/>
      <c r="KSG30" s="12"/>
      <c r="KSH30" s="12"/>
      <c r="KSI30" s="13"/>
      <c r="KSJ30" s="9"/>
      <c r="KSK30" s="9"/>
      <c r="KSL30" s="9"/>
      <c r="KSM30" s="9"/>
      <c r="KSN30" s="10"/>
      <c r="KSO30" s="11"/>
      <c r="KSP30" s="12"/>
      <c r="KSQ30" s="12"/>
      <c r="KSR30" s="12"/>
      <c r="KSS30" s="13"/>
      <c r="KST30" s="9"/>
      <c r="KSU30" s="9"/>
      <c r="KSV30" s="9"/>
      <c r="KSW30" s="9"/>
      <c r="KSX30" s="10"/>
      <c r="KSY30" s="11"/>
      <c r="KSZ30" s="12"/>
      <c r="KTA30" s="12"/>
      <c r="KTB30" s="12"/>
      <c r="KTC30" s="13"/>
      <c r="KTD30" s="9"/>
      <c r="KTE30" s="9"/>
      <c r="KTF30" s="9"/>
      <c r="KTG30" s="9"/>
      <c r="KTH30" s="10"/>
      <c r="KTI30" s="11"/>
      <c r="KTJ30" s="12"/>
      <c r="KTK30" s="12"/>
      <c r="KTL30" s="12"/>
      <c r="KTM30" s="13"/>
      <c r="KTN30" s="9"/>
      <c r="KTO30" s="9"/>
      <c r="KTP30" s="9"/>
      <c r="KTQ30" s="9"/>
      <c r="KTR30" s="10"/>
      <c r="KTS30" s="11"/>
      <c r="KTT30" s="12"/>
      <c r="KTU30" s="12"/>
      <c r="KTV30" s="12"/>
      <c r="KTW30" s="13"/>
      <c r="KTX30" s="9"/>
      <c r="KTY30" s="9"/>
      <c r="KTZ30" s="9"/>
      <c r="KUA30" s="9"/>
      <c r="KUB30" s="10"/>
      <c r="KUC30" s="11"/>
      <c r="KUD30" s="12"/>
      <c r="KUE30" s="12"/>
      <c r="KUF30" s="12"/>
      <c r="KUG30" s="13"/>
      <c r="KUH30" s="9"/>
      <c r="KUI30" s="9"/>
      <c r="KUJ30" s="9"/>
      <c r="KUK30" s="9"/>
      <c r="KUL30" s="10"/>
      <c r="KUM30" s="11"/>
      <c r="KUN30" s="12"/>
      <c r="KUO30" s="12"/>
      <c r="KUP30" s="12"/>
      <c r="KUQ30" s="13"/>
      <c r="KUR30" s="9"/>
      <c r="KUS30" s="9"/>
      <c r="KUT30" s="9"/>
      <c r="KUU30" s="9"/>
      <c r="KUV30" s="10"/>
      <c r="KUW30" s="11"/>
      <c r="KUX30" s="12"/>
      <c r="KUY30" s="12"/>
      <c r="KUZ30" s="12"/>
      <c r="KVA30" s="13"/>
      <c r="KVB30" s="9"/>
      <c r="KVC30" s="9"/>
      <c r="KVD30" s="9"/>
      <c r="KVE30" s="9"/>
      <c r="KVF30" s="10"/>
      <c r="KVG30" s="11"/>
      <c r="KVH30" s="12"/>
      <c r="KVI30" s="12"/>
      <c r="KVJ30" s="12"/>
      <c r="KVK30" s="13"/>
      <c r="KVL30" s="9"/>
      <c r="KVM30" s="9"/>
      <c r="KVN30" s="9"/>
      <c r="KVO30" s="9"/>
      <c r="KVP30" s="10"/>
      <c r="KVQ30" s="11"/>
      <c r="KVR30" s="12"/>
      <c r="KVS30" s="12"/>
      <c r="KVT30" s="12"/>
      <c r="KVU30" s="13"/>
      <c r="KVV30" s="9"/>
      <c r="KVW30" s="9"/>
      <c r="KVX30" s="9"/>
      <c r="KVY30" s="9"/>
      <c r="KVZ30" s="10"/>
      <c r="KWA30" s="11"/>
      <c r="KWB30" s="12"/>
      <c r="KWC30" s="12"/>
      <c r="KWD30" s="12"/>
      <c r="KWE30" s="13"/>
      <c r="KWF30" s="9"/>
      <c r="KWG30" s="9"/>
      <c r="KWH30" s="9"/>
      <c r="KWI30" s="9"/>
      <c r="KWJ30" s="10"/>
      <c r="KWK30" s="11"/>
      <c r="KWL30" s="12"/>
      <c r="KWM30" s="12"/>
      <c r="KWN30" s="12"/>
      <c r="KWO30" s="13"/>
      <c r="KWP30" s="9"/>
      <c r="KWQ30" s="9"/>
      <c r="KWR30" s="9"/>
      <c r="KWS30" s="9"/>
      <c r="KWT30" s="10"/>
      <c r="KWU30" s="11"/>
      <c r="KWV30" s="12"/>
      <c r="KWW30" s="12"/>
      <c r="KWX30" s="12"/>
      <c r="KWY30" s="13"/>
      <c r="KWZ30" s="9"/>
      <c r="KXA30" s="9"/>
      <c r="KXB30" s="9"/>
      <c r="KXC30" s="9"/>
      <c r="KXD30" s="10"/>
      <c r="KXE30" s="11"/>
      <c r="KXF30" s="12"/>
      <c r="KXG30" s="12"/>
      <c r="KXH30" s="12"/>
      <c r="KXI30" s="13"/>
      <c r="KXJ30" s="9"/>
      <c r="KXK30" s="9"/>
      <c r="KXL30" s="9"/>
      <c r="KXM30" s="9"/>
      <c r="KXN30" s="10"/>
      <c r="KXO30" s="11"/>
      <c r="KXP30" s="12"/>
      <c r="KXQ30" s="12"/>
      <c r="KXR30" s="12"/>
      <c r="KXS30" s="13"/>
      <c r="KXT30" s="9"/>
      <c r="KXU30" s="9"/>
      <c r="KXV30" s="9"/>
      <c r="KXW30" s="9"/>
      <c r="KXX30" s="10"/>
      <c r="KXY30" s="11"/>
      <c r="KXZ30" s="12"/>
      <c r="KYA30" s="12"/>
      <c r="KYB30" s="12"/>
      <c r="KYC30" s="13"/>
      <c r="KYD30" s="9"/>
      <c r="KYE30" s="9"/>
      <c r="KYF30" s="9"/>
      <c r="KYG30" s="9"/>
      <c r="KYH30" s="10"/>
      <c r="KYI30" s="11"/>
      <c r="KYJ30" s="12"/>
      <c r="KYK30" s="12"/>
      <c r="KYL30" s="12"/>
      <c r="KYM30" s="13"/>
      <c r="KYN30" s="9"/>
      <c r="KYO30" s="9"/>
      <c r="KYP30" s="9"/>
      <c r="KYQ30" s="9"/>
      <c r="KYR30" s="10"/>
      <c r="KYS30" s="11"/>
      <c r="KYT30" s="12"/>
      <c r="KYU30" s="12"/>
      <c r="KYV30" s="12"/>
      <c r="KYW30" s="13"/>
      <c r="KYX30" s="9"/>
      <c r="KYY30" s="9"/>
      <c r="KYZ30" s="9"/>
      <c r="KZA30" s="9"/>
      <c r="KZB30" s="10"/>
      <c r="KZC30" s="11"/>
      <c r="KZD30" s="12"/>
      <c r="KZE30" s="12"/>
      <c r="KZF30" s="12"/>
      <c r="KZG30" s="13"/>
      <c r="KZH30" s="9"/>
      <c r="KZI30" s="9"/>
      <c r="KZJ30" s="9"/>
      <c r="KZK30" s="9"/>
      <c r="KZL30" s="10"/>
      <c r="KZM30" s="11"/>
      <c r="KZN30" s="12"/>
      <c r="KZO30" s="12"/>
      <c r="KZP30" s="12"/>
      <c r="KZQ30" s="13"/>
      <c r="KZR30" s="9"/>
      <c r="KZS30" s="9"/>
      <c r="KZT30" s="9"/>
      <c r="KZU30" s="9"/>
      <c r="KZV30" s="10"/>
      <c r="KZW30" s="11"/>
      <c r="KZX30" s="12"/>
      <c r="KZY30" s="12"/>
      <c r="KZZ30" s="12"/>
      <c r="LAA30" s="13"/>
      <c r="LAB30" s="9"/>
      <c r="LAC30" s="9"/>
      <c r="LAD30" s="9"/>
      <c r="LAE30" s="9"/>
      <c r="LAF30" s="10"/>
      <c r="LAG30" s="11"/>
      <c r="LAH30" s="12"/>
      <c r="LAI30" s="12"/>
      <c r="LAJ30" s="12"/>
      <c r="LAK30" s="13"/>
      <c r="LAL30" s="9"/>
      <c r="LAM30" s="9"/>
      <c r="LAN30" s="9"/>
      <c r="LAO30" s="9"/>
      <c r="LAP30" s="10"/>
      <c r="LAQ30" s="11"/>
      <c r="LAR30" s="12"/>
      <c r="LAS30" s="12"/>
      <c r="LAT30" s="12"/>
      <c r="LAU30" s="13"/>
      <c r="LAV30" s="9"/>
      <c r="LAW30" s="9"/>
      <c r="LAX30" s="9"/>
      <c r="LAY30" s="9"/>
      <c r="LAZ30" s="10"/>
      <c r="LBA30" s="11"/>
      <c r="LBB30" s="12"/>
      <c r="LBC30" s="12"/>
      <c r="LBD30" s="12"/>
      <c r="LBE30" s="13"/>
      <c r="LBF30" s="9"/>
      <c r="LBG30" s="9"/>
      <c r="LBH30" s="9"/>
      <c r="LBI30" s="9"/>
      <c r="LBJ30" s="10"/>
      <c r="LBK30" s="11"/>
      <c r="LBL30" s="12"/>
      <c r="LBM30" s="12"/>
      <c r="LBN30" s="12"/>
      <c r="LBO30" s="13"/>
      <c r="LBP30" s="9"/>
      <c r="LBQ30" s="9"/>
      <c r="LBR30" s="9"/>
      <c r="LBS30" s="9"/>
      <c r="LBT30" s="10"/>
      <c r="LBU30" s="11"/>
      <c r="LBV30" s="12"/>
      <c r="LBW30" s="12"/>
      <c r="LBX30" s="12"/>
      <c r="LBY30" s="13"/>
      <c r="LBZ30" s="9"/>
      <c r="LCA30" s="9"/>
      <c r="LCB30" s="9"/>
      <c r="LCC30" s="9"/>
      <c r="LCD30" s="10"/>
      <c r="LCE30" s="11"/>
      <c r="LCF30" s="12"/>
      <c r="LCG30" s="12"/>
      <c r="LCH30" s="12"/>
      <c r="LCI30" s="13"/>
      <c r="LCJ30" s="9"/>
      <c r="LCK30" s="9"/>
      <c r="LCL30" s="9"/>
      <c r="LCM30" s="9"/>
      <c r="LCN30" s="10"/>
      <c r="LCO30" s="11"/>
      <c r="LCP30" s="12"/>
      <c r="LCQ30" s="12"/>
      <c r="LCR30" s="12"/>
      <c r="LCS30" s="13"/>
      <c r="LCT30" s="9"/>
      <c r="LCU30" s="9"/>
      <c r="LCV30" s="9"/>
      <c r="LCW30" s="9"/>
      <c r="LCX30" s="10"/>
      <c r="LCY30" s="11"/>
      <c r="LCZ30" s="12"/>
      <c r="LDA30" s="12"/>
      <c r="LDB30" s="12"/>
      <c r="LDC30" s="13"/>
      <c r="LDD30" s="9"/>
      <c r="LDE30" s="9"/>
      <c r="LDF30" s="9"/>
      <c r="LDG30" s="9"/>
      <c r="LDH30" s="10"/>
      <c r="LDI30" s="11"/>
      <c r="LDJ30" s="12"/>
      <c r="LDK30" s="12"/>
      <c r="LDL30" s="12"/>
      <c r="LDM30" s="13"/>
      <c r="LDN30" s="9"/>
      <c r="LDO30" s="9"/>
      <c r="LDP30" s="9"/>
      <c r="LDQ30" s="9"/>
      <c r="LDR30" s="10"/>
      <c r="LDS30" s="11"/>
      <c r="LDT30" s="12"/>
      <c r="LDU30" s="12"/>
      <c r="LDV30" s="12"/>
      <c r="LDW30" s="13"/>
      <c r="LDX30" s="9"/>
      <c r="LDY30" s="9"/>
      <c r="LDZ30" s="9"/>
      <c r="LEA30" s="9"/>
      <c r="LEB30" s="10"/>
      <c r="LEC30" s="11"/>
      <c r="LED30" s="12"/>
      <c r="LEE30" s="12"/>
      <c r="LEF30" s="12"/>
      <c r="LEG30" s="13"/>
      <c r="LEH30" s="9"/>
      <c r="LEI30" s="9"/>
      <c r="LEJ30" s="9"/>
      <c r="LEK30" s="9"/>
      <c r="LEL30" s="10"/>
      <c r="LEM30" s="11"/>
      <c r="LEN30" s="12"/>
      <c r="LEO30" s="12"/>
      <c r="LEP30" s="12"/>
      <c r="LEQ30" s="13"/>
      <c r="LER30" s="9"/>
      <c r="LES30" s="9"/>
      <c r="LET30" s="9"/>
      <c r="LEU30" s="9"/>
      <c r="LEV30" s="10"/>
      <c r="LEW30" s="11"/>
      <c r="LEX30" s="12"/>
      <c r="LEY30" s="12"/>
      <c r="LEZ30" s="12"/>
      <c r="LFA30" s="13"/>
      <c r="LFB30" s="9"/>
      <c r="LFC30" s="9"/>
      <c r="LFD30" s="9"/>
      <c r="LFE30" s="9"/>
      <c r="LFF30" s="10"/>
      <c r="LFG30" s="11"/>
      <c r="LFH30" s="12"/>
      <c r="LFI30" s="12"/>
      <c r="LFJ30" s="12"/>
      <c r="LFK30" s="13"/>
      <c r="LFL30" s="9"/>
      <c r="LFM30" s="9"/>
      <c r="LFN30" s="9"/>
      <c r="LFO30" s="9"/>
      <c r="LFP30" s="10"/>
      <c r="LFQ30" s="11"/>
      <c r="LFR30" s="12"/>
      <c r="LFS30" s="12"/>
      <c r="LFT30" s="12"/>
      <c r="LFU30" s="13"/>
      <c r="LFV30" s="9"/>
      <c r="LFW30" s="9"/>
      <c r="LFX30" s="9"/>
      <c r="LFY30" s="9"/>
      <c r="LFZ30" s="10"/>
      <c r="LGA30" s="11"/>
      <c r="LGB30" s="12"/>
      <c r="LGC30" s="12"/>
      <c r="LGD30" s="12"/>
      <c r="LGE30" s="13"/>
      <c r="LGF30" s="9"/>
      <c r="LGG30" s="9"/>
      <c r="LGH30" s="9"/>
      <c r="LGI30" s="9"/>
      <c r="LGJ30" s="10"/>
      <c r="LGK30" s="11"/>
      <c r="LGL30" s="12"/>
      <c r="LGM30" s="12"/>
      <c r="LGN30" s="12"/>
      <c r="LGO30" s="13"/>
      <c r="LGP30" s="9"/>
      <c r="LGQ30" s="9"/>
      <c r="LGR30" s="9"/>
      <c r="LGS30" s="9"/>
      <c r="LGT30" s="10"/>
      <c r="LGU30" s="11"/>
      <c r="LGV30" s="12"/>
      <c r="LGW30" s="12"/>
      <c r="LGX30" s="12"/>
      <c r="LGY30" s="13"/>
      <c r="LGZ30" s="9"/>
      <c r="LHA30" s="9"/>
      <c r="LHB30" s="9"/>
      <c r="LHC30" s="9"/>
      <c r="LHD30" s="10"/>
      <c r="LHE30" s="11"/>
      <c r="LHF30" s="12"/>
      <c r="LHG30" s="12"/>
      <c r="LHH30" s="12"/>
      <c r="LHI30" s="13"/>
      <c r="LHJ30" s="9"/>
      <c r="LHK30" s="9"/>
      <c r="LHL30" s="9"/>
      <c r="LHM30" s="9"/>
      <c r="LHN30" s="10"/>
      <c r="LHO30" s="11"/>
      <c r="LHP30" s="12"/>
      <c r="LHQ30" s="12"/>
      <c r="LHR30" s="12"/>
      <c r="LHS30" s="13"/>
      <c r="LHT30" s="9"/>
      <c r="LHU30" s="9"/>
      <c r="LHV30" s="9"/>
      <c r="LHW30" s="9"/>
      <c r="LHX30" s="10"/>
      <c r="LHY30" s="11"/>
      <c r="LHZ30" s="12"/>
      <c r="LIA30" s="12"/>
      <c r="LIB30" s="12"/>
      <c r="LIC30" s="13"/>
      <c r="LID30" s="9"/>
      <c r="LIE30" s="9"/>
      <c r="LIF30" s="9"/>
      <c r="LIG30" s="9"/>
      <c r="LIH30" s="10"/>
      <c r="LII30" s="11"/>
      <c r="LIJ30" s="12"/>
      <c r="LIK30" s="12"/>
      <c r="LIL30" s="12"/>
      <c r="LIM30" s="13"/>
      <c r="LIN30" s="9"/>
      <c r="LIO30" s="9"/>
      <c r="LIP30" s="9"/>
      <c r="LIQ30" s="9"/>
      <c r="LIR30" s="10"/>
      <c r="LIS30" s="11"/>
      <c r="LIT30" s="12"/>
      <c r="LIU30" s="12"/>
      <c r="LIV30" s="12"/>
      <c r="LIW30" s="13"/>
      <c r="LIX30" s="9"/>
      <c r="LIY30" s="9"/>
      <c r="LIZ30" s="9"/>
      <c r="LJA30" s="9"/>
      <c r="LJB30" s="10"/>
      <c r="LJC30" s="11"/>
      <c r="LJD30" s="12"/>
      <c r="LJE30" s="12"/>
      <c r="LJF30" s="12"/>
      <c r="LJG30" s="13"/>
      <c r="LJH30" s="9"/>
      <c r="LJI30" s="9"/>
      <c r="LJJ30" s="9"/>
      <c r="LJK30" s="9"/>
      <c r="LJL30" s="10"/>
      <c r="LJM30" s="11"/>
      <c r="LJN30" s="12"/>
      <c r="LJO30" s="12"/>
      <c r="LJP30" s="12"/>
      <c r="LJQ30" s="13"/>
      <c r="LJR30" s="9"/>
      <c r="LJS30" s="9"/>
      <c r="LJT30" s="9"/>
      <c r="LJU30" s="9"/>
      <c r="LJV30" s="10"/>
      <c r="LJW30" s="11"/>
      <c r="LJX30" s="12"/>
      <c r="LJY30" s="12"/>
      <c r="LJZ30" s="12"/>
      <c r="LKA30" s="13"/>
      <c r="LKB30" s="9"/>
      <c r="LKC30" s="9"/>
      <c r="LKD30" s="9"/>
      <c r="LKE30" s="9"/>
      <c r="LKF30" s="10"/>
      <c r="LKG30" s="11"/>
      <c r="LKH30" s="12"/>
      <c r="LKI30" s="12"/>
      <c r="LKJ30" s="12"/>
      <c r="LKK30" s="13"/>
      <c r="LKL30" s="9"/>
      <c r="LKM30" s="9"/>
      <c r="LKN30" s="9"/>
      <c r="LKO30" s="9"/>
      <c r="LKP30" s="10"/>
      <c r="LKQ30" s="11"/>
      <c r="LKR30" s="12"/>
      <c r="LKS30" s="12"/>
      <c r="LKT30" s="12"/>
      <c r="LKU30" s="13"/>
      <c r="LKV30" s="9"/>
      <c r="LKW30" s="9"/>
      <c r="LKX30" s="9"/>
      <c r="LKY30" s="9"/>
      <c r="LKZ30" s="10"/>
      <c r="LLA30" s="11"/>
      <c r="LLB30" s="12"/>
      <c r="LLC30" s="12"/>
      <c r="LLD30" s="12"/>
      <c r="LLE30" s="13"/>
      <c r="LLF30" s="9"/>
      <c r="LLG30" s="9"/>
      <c r="LLH30" s="9"/>
      <c r="LLI30" s="9"/>
      <c r="LLJ30" s="10"/>
      <c r="LLK30" s="11"/>
      <c r="LLL30" s="12"/>
      <c r="LLM30" s="12"/>
      <c r="LLN30" s="12"/>
      <c r="LLO30" s="13"/>
      <c r="LLP30" s="9"/>
      <c r="LLQ30" s="9"/>
      <c r="LLR30" s="9"/>
      <c r="LLS30" s="9"/>
      <c r="LLT30" s="10"/>
      <c r="LLU30" s="11"/>
      <c r="LLV30" s="12"/>
      <c r="LLW30" s="12"/>
      <c r="LLX30" s="12"/>
      <c r="LLY30" s="13"/>
      <c r="LLZ30" s="9"/>
      <c r="LMA30" s="9"/>
      <c r="LMB30" s="9"/>
      <c r="LMC30" s="9"/>
      <c r="LMD30" s="10"/>
      <c r="LME30" s="11"/>
      <c r="LMF30" s="12"/>
      <c r="LMG30" s="12"/>
      <c r="LMH30" s="12"/>
      <c r="LMI30" s="13"/>
      <c r="LMJ30" s="9"/>
      <c r="LMK30" s="9"/>
      <c r="LML30" s="9"/>
      <c r="LMM30" s="9"/>
      <c r="LMN30" s="10"/>
      <c r="LMO30" s="11"/>
      <c r="LMP30" s="12"/>
      <c r="LMQ30" s="12"/>
      <c r="LMR30" s="12"/>
      <c r="LMS30" s="13"/>
      <c r="LMT30" s="9"/>
      <c r="LMU30" s="9"/>
      <c r="LMV30" s="9"/>
      <c r="LMW30" s="9"/>
      <c r="LMX30" s="10"/>
      <c r="LMY30" s="11"/>
      <c r="LMZ30" s="12"/>
      <c r="LNA30" s="12"/>
      <c r="LNB30" s="12"/>
      <c r="LNC30" s="13"/>
      <c r="LND30" s="9"/>
      <c r="LNE30" s="9"/>
      <c r="LNF30" s="9"/>
      <c r="LNG30" s="9"/>
      <c r="LNH30" s="10"/>
      <c r="LNI30" s="11"/>
      <c r="LNJ30" s="12"/>
      <c r="LNK30" s="12"/>
      <c r="LNL30" s="12"/>
      <c r="LNM30" s="13"/>
      <c r="LNN30" s="9"/>
      <c r="LNO30" s="9"/>
      <c r="LNP30" s="9"/>
      <c r="LNQ30" s="9"/>
      <c r="LNR30" s="10"/>
      <c r="LNS30" s="11"/>
      <c r="LNT30" s="12"/>
      <c r="LNU30" s="12"/>
      <c r="LNV30" s="12"/>
      <c r="LNW30" s="13"/>
      <c r="LNX30" s="9"/>
      <c r="LNY30" s="9"/>
      <c r="LNZ30" s="9"/>
      <c r="LOA30" s="9"/>
      <c r="LOB30" s="10"/>
      <c r="LOC30" s="11"/>
      <c r="LOD30" s="12"/>
      <c r="LOE30" s="12"/>
      <c r="LOF30" s="12"/>
      <c r="LOG30" s="13"/>
      <c r="LOH30" s="9"/>
      <c r="LOI30" s="9"/>
      <c r="LOJ30" s="9"/>
      <c r="LOK30" s="9"/>
      <c r="LOL30" s="10"/>
      <c r="LOM30" s="11"/>
      <c r="LON30" s="12"/>
      <c r="LOO30" s="12"/>
      <c r="LOP30" s="12"/>
      <c r="LOQ30" s="13"/>
      <c r="LOR30" s="9"/>
      <c r="LOS30" s="9"/>
      <c r="LOT30" s="9"/>
      <c r="LOU30" s="9"/>
      <c r="LOV30" s="10"/>
      <c r="LOW30" s="11"/>
      <c r="LOX30" s="12"/>
      <c r="LOY30" s="12"/>
      <c r="LOZ30" s="12"/>
      <c r="LPA30" s="13"/>
      <c r="LPB30" s="9"/>
      <c r="LPC30" s="9"/>
      <c r="LPD30" s="9"/>
      <c r="LPE30" s="9"/>
      <c r="LPF30" s="10"/>
      <c r="LPG30" s="11"/>
      <c r="LPH30" s="12"/>
      <c r="LPI30" s="12"/>
      <c r="LPJ30" s="12"/>
      <c r="LPK30" s="13"/>
      <c r="LPL30" s="9"/>
      <c r="LPM30" s="9"/>
      <c r="LPN30" s="9"/>
      <c r="LPO30" s="9"/>
      <c r="LPP30" s="10"/>
      <c r="LPQ30" s="11"/>
      <c r="LPR30" s="12"/>
      <c r="LPS30" s="12"/>
      <c r="LPT30" s="12"/>
      <c r="LPU30" s="13"/>
      <c r="LPV30" s="9"/>
      <c r="LPW30" s="9"/>
      <c r="LPX30" s="9"/>
      <c r="LPY30" s="9"/>
      <c r="LPZ30" s="10"/>
      <c r="LQA30" s="11"/>
      <c r="LQB30" s="12"/>
      <c r="LQC30" s="12"/>
      <c r="LQD30" s="12"/>
      <c r="LQE30" s="13"/>
      <c r="LQF30" s="9"/>
      <c r="LQG30" s="9"/>
      <c r="LQH30" s="9"/>
      <c r="LQI30" s="9"/>
      <c r="LQJ30" s="10"/>
      <c r="LQK30" s="11"/>
      <c r="LQL30" s="12"/>
      <c r="LQM30" s="12"/>
      <c r="LQN30" s="12"/>
      <c r="LQO30" s="13"/>
      <c r="LQP30" s="9"/>
      <c r="LQQ30" s="9"/>
      <c r="LQR30" s="9"/>
      <c r="LQS30" s="9"/>
      <c r="LQT30" s="10"/>
      <c r="LQU30" s="11"/>
      <c r="LQV30" s="12"/>
      <c r="LQW30" s="12"/>
      <c r="LQX30" s="12"/>
      <c r="LQY30" s="13"/>
      <c r="LQZ30" s="9"/>
      <c r="LRA30" s="9"/>
      <c r="LRB30" s="9"/>
      <c r="LRC30" s="9"/>
      <c r="LRD30" s="10"/>
      <c r="LRE30" s="11"/>
      <c r="LRF30" s="12"/>
      <c r="LRG30" s="12"/>
      <c r="LRH30" s="12"/>
      <c r="LRI30" s="13"/>
      <c r="LRJ30" s="9"/>
      <c r="LRK30" s="9"/>
      <c r="LRL30" s="9"/>
      <c r="LRM30" s="9"/>
      <c r="LRN30" s="10"/>
      <c r="LRO30" s="11"/>
      <c r="LRP30" s="12"/>
      <c r="LRQ30" s="12"/>
      <c r="LRR30" s="12"/>
      <c r="LRS30" s="13"/>
      <c r="LRT30" s="9"/>
      <c r="LRU30" s="9"/>
      <c r="LRV30" s="9"/>
      <c r="LRW30" s="9"/>
      <c r="LRX30" s="10"/>
      <c r="LRY30" s="11"/>
      <c r="LRZ30" s="12"/>
      <c r="LSA30" s="12"/>
      <c r="LSB30" s="12"/>
      <c r="LSC30" s="13"/>
      <c r="LSD30" s="9"/>
      <c r="LSE30" s="9"/>
      <c r="LSF30" s="9"/>
      <c r="LSG30" s="9"/>
      <c r="LSH30" s="10"/>
      <c r="LSI30" s="11"/>
      <c r="LSJ30" s="12"/>
      <c r="LSK30" s="12"/>
      <c r="LSL30" s="12"/>
      <c r="LSM30" s="13"/>
      <c r="LSN30" s="9"/>
      <c r="LSO30" s="9"/>
      <c r="LSP30" s="9"/>
      <c r="LSQ30" s="9"/>
      <c r="LSR30" s="10"/>
      <c r="LSS30" s="11"/>
      <c r="LST30" s="12"/>
      <c r="LSU30" s="12"/>
      <c r="LSV30" s="12"/>
      <c r="LSW30" s="13"/>
      <c r="LSX30" s="9"/>
      <c r="LSY30" s="9"/>
      <c r="LSZ30" s="9"/>
      <c r="LTA30" s="9"/>
      <c r="LTB30" s="10"/>
      <c r="LTC30" s="11"/>
      <c r="LTD30" s="12"/>
      <c r="LTE30" s="12"/>
      <c r="LTF30" s="12"/>
      <c r="LTG30" s="13"/>
      <c r="LTH30" s="9"/>
      <c r="LTI30" s="9"/>
      <c r="LTJ30" s="9"/>
      <c r="LTK30" s="9"/>
      <c r="LTL30" s="10"/>
      <c r="LTM30" s="11"/>
      <c r="LTN30" s="12"/>
      <c r="LTO30" s="12"/>
      <c r="LTP30" s="12"/>
      <c r="LTQ30" s="13"/>
      <c r="LTR30" s="9"/>
      <c r="LTS30" s="9"/>
      <c r="LTT30" s="9"/>
      <c r="LTU30" s="9"/>
      <c r="LTV30" s="10"/>
      <c r="LTW30" s="11"/>
      <c r="LTX30" s="12"/>
      <c r="LTY30" s="12"/>
      <c r="LTZ30" s="12"/>
      <c r="LUA30" s="13"/>
      <c r="LUB30" s="9"/>
      <c r="LUC30" s="9"/>
      <c r="LUD30" s="9"/>
      <c r="LUE30" s="9"/>
      <c r="LUF30" s="10"/>
      <c r="LUG30" s="11"/>
      <c r="LUH30" s="12"/>
      <c r="LUI30" s="12"/>
      <c r="LUJ30" s="12"/>
      <c r="LUK30" s="13"/>
      <c r="LUL30" s="9"/>
      <c r="LUM30" s="9"/>
      <c r="LUN30" s="9"/>
      <c r="LUO30" s="9"/>
      <c r="LUP30" s="10"/>
      <c r="LUQ30" s="11"/>
      <c r="LUR30" s="12"/>
      <c r="LUS30" s="12"/>
      <c r="LUT30" s="12"/>
      <c r="LUU30" s="13"/>
      <c r="LUV30" s="9"/>
      <c r="LUW30" s="9"/>
      <c r="LUX30" s="9"/>
      <c r="LUY30" s="9"/>
      <c r="LUZ30" s="10"/>
      <c r="LVA30" s="11"/>
      <c r="LVB30" s="12"/>
      <c r="LVC30" s="12"/>
      <c r="LVD30" s="12"/>
      <c r="LVE30" s="13"/>
      <c r="LVF30" s="9"/>
      <c r="LVG30" s="9"/>
      <c r="LVH30" s="9"/>
      <c r="LVI30" s="9"/>
      <c r="LVJ30" s="10"/>
      <c r="LVK30" s="11"/>
      <c r="LVL30" s="12"/>
      <c r="LVM30" s="12"/>
      <c r="LVN30" s="12"/>
      <c r="LVO30" s="13"/>
      <c r="LVP30" s="9"/>
      <c r="LVQ30" s="9"/>
      <c r="LVR30" s="9"/>
      <c r="LVS30" s="9"/>
      <c r="LVT30" s="10"/>
      <c r="LVU30" s="11"/>
      <c r="LVV30" s="12"/>
      <c r="LVW30" s="12"/>
      <c r="LVX30" s="12"/>
      <c r="LVY30" s="13"/>
      <c r="LVZ30" s="9"/>
      <c r="LWA30" s="9"/>
      <c r="LWB30" s="9"/>
      <c r="LWC30" s="9"/>
      <c r="LWD30" s="10"/>
      <c r="LWE30" s="11"/>
      <c r="LWF30" s="12"/>
      <c r="LWG30" s="12"/>
      <c r="LWH30" s="12"/>
      <c r="LWI30" s="13"/>
      <c r="LWJ30" s="9"/>
      <c r="LWK30" s="9"/>
      <c r="LWL30" s="9"/>
      <c r="LWM30" s="9"/>
      <c r="LWN30" s="10"/>
      <c r="LWO30" s="11"/>
      <c r="LWP30" s="12"/>
      <c r="LWQ30" s="12"/>
      <c r="LWR30" s="12"/>
      <c r="LWS30" s="13"/>
      <c r="LWT30" s="9"/>
      <c r="LWU30" s="9"/>
      <c r="LWV30" s="9"/>
      <c r="LWW30" s="9"/>
      <c r="LWX30" s="10"/>
      <c r="LWY30" s="11"/>
      <c r="LWZ30" s="12"/>
      <c r="LXA30" s="12"/>
      <c r="LXB30" s="12"/>
      <c r="LXC30" s="13"/>
      <c r="LXD30" s="9"/>
      <c r="LXE30" s="9"/>
      <c r="LXF30" s="9"/>
      <c r="LXG30" s="9"/>
      <c r="LXH30" s="10"/>
      <c r="LXI30" s="11"/>
      <c r="LXJ30" s="12"/>
      <c r="LXK30" s="12"/>
      <c r="LXL30" s="12"/>
      <c r="LXM30" s="13"/>
      <c r="LXN30" s="9"/>
      <c r="LXO30" s="9"/>
      <c r="LXP30" s="9"/>
      <c r="LXQ30" s="9"/>
      <c r="LXR30" s="10"/>
      <c r="LXS30" s="11"/>
      <c r="LXT30" s="12"/>
      <c r="LXU30" s="12"/>
      <c r="LXV30" s="12"/>
      <c r="LXW30" s="13"/>
      <c r="LXX30" s="9"/>
      <c r="LXY30" s="9"/>
      <c r="LXZ30" s="9"/>
      <c r="LYA30" s="9"/>
      <c r="LYB30" s="10"/>
      <c r="LYC30" s="11"/>
      <c r="LYD30" s="12"/>
      <c r="LYE30" s="12"/>
      <c r="LYF30" s="12"/>
      <c r="LYG30" s="13"/>
      <c r="LYH30" s="9"/>
      <c r="LYI30" s="9"/>
      <c r="LYJ30" s="9"/>
      <c r="LYK30" s="9"/>
      <c r="LYL30" s="10"/>
      <c r="LYM30" s="11"/>
      <c r="LYN30" s="12"/>
      <c r="LYO30" s="12"/>
      <c r="LYP30" s="12"/>
      <c r="LYQ30" s="13"/>
      <c r="LYR30" s="9"/>
      <c r="LYS30" s="9"/>
      <c r="LYT30" s="9"/>
      <c r="LYU30" s="9"/>
      <c r="LYV30" s="10"/>
      <c r="LYW30" s="11"/>
      <c r="LYX30" s="12"/>
      <c r="LYY30" s="12"/>
      <c r="LYZ30" s="12"/>
      <c r="LZA30" s="13"/>
      <c r="LZB30" s="9"/>
      <c r="LZC30" s="9"/>
      <c r="LZD30" s="9"/>
      <c r="LZE30" s="9"/>
      <c r="LZF30" s="10"/>
      <c r="LZG30" s="11"/>
      <c r="LZH30" s="12"/>
      <c r="LZI30" s="12"/>
      <c r="LZJ30" s="12"/>
      <c r="LZK30" s="13"/>
      <c r="LZL30" s="9"/>
      <c r="LZM30" s="9"/>
      <c r="LZN30" s="9"/>
      <c r="LZO30" s="9"/>
      <c r="LZP30" s="10"/>
      <c r="LZQ30" s="11"/>
      <c r="LZR30" s="12"/>
      <c r="LZS30" s="12"/>
      <c r="LZT30" s="12"/>
      <c r="LZU30" s="13"/>
      <c r="LZV30" s="9"/>
      <c r="LZW30" s="9"/>
      <c r="LZX30" s="9"/>
      <c r="LZY30" s="9"/>
      <c r="LZZ30" s="10"/>
      <c r="MAA30" s="11"/>
      <c r="MAB30" s="12"/>
      <c r="MAC30" s="12"/>
      <c r="MAD30" s="12"/>
      <c r="MAE30" s="13"/>
      <c r="MAF30" s="9"/>
      <c r="MAG30" s="9"/>
      <c r="MAH30" s="9"/>
      <c r="MAI30" s="9"/>
      <c r="MAJ30" s="10"/>
      <c r="MAK30" s="11"/>
      <c r="MAL30" s="12"/>
      <c r="MAM30" s="12"/>
      <c r="MAN30" s="12"/>
      <c r="MAO30" s="13"/>
      <c r="MAP30" s="9"/>
      <c r="MAQ30" s="9"/>
      <c r="MAR30" s="9"/>
      <c r="MAS30" s="9"/>
      <c r="MAT30" s="10"/>
      <c r="MAU30" s="11"/>
      <c r="MAV30" s="12"/>
      <c r="MAW30" s="12"/>
      <c r="MAX30" s="12"/>
      <c r="MAY30" s="13"/>
      <c r="MAZ30" s="9"/>
      <c r="MBA30" s="9"/>
      <c r="MBB30" s="9"/>
      <c r="MBC30" s="9"/>
      <c r="MBD30" s="10"/>
      <c r="MBE30" s="11"/>
      <c r="MBF30" s="12"/>
      <c r="MBG30" s="12"/>
      <c r="MBH30" s="12"/>
      <c r="MBI30" s="13"/>
      <c r="MBJ30" s="9"/>
      <c r="MBK30" s="9"/>
      <c r="MBL30" s="9"/>
      <c r="MBM30" s="9"/>
      <c r="MBN30" s="10"/>
      <c r="MBO30" s="11"/>
      <c r="MBP30" s="12"/>
      <c r="MBQ30" s="12"/>
      <c r="MBR30" s="12"/>
      <c r="MBS30" s="13"/>
      <c r="MBT30" s="9"/>
      <c r="MBU30" s="9"/>
      <c r="MBV30" s="9"/>
      <c r="MBW30" s="9"/>
      <c r="MBX30" s="10"/>
      <c r="MBY30" s="11"/>
      <c r="MBZ30" s="12"/>
      <c r="MCA30" s="12"/>
      <c r="MCB30" s="12"/>
      <c r="MCC30" s="13"/>
      <c r="MCD30" s="9"/>
      <c r="MCE30" s="9"/>
      <c r="MCF30" s="9"/>
      <c r="MCG30" s="9"/>
      <c r="MCH30" s="10"/>
      <c r="MCI30" s="11"/>
      <c r="MCJ30" s="12"/>
      <c r="MCK30" s="12"/>
      <c r="MCL30" s="12"/>
      <c r="MCM30" s="13"/>
      <c r="MCN30" s="9"/>
      <c r="MCO30" s="9"/>
      <c r="MCP30" s="9"/>
      <c r="MCQ30" s="9"/>
      <c r="MCR30" s="10"/>
      <c r="MCS30" s="11"/>
      <c r="MCT30" s="12"/>
      <c r="MCU30" s="12"/>
      <c r="MCV30" s="12"/>
      <c r="MCW30" s="13"/>
      <c r="MCX30" s="9"/>
      <c r="MCY30" s="9"/>
      <c r="MCZ30" s="9"/>
      <c r="MDA30" s="9"/>
      <c r="MDB30" s="10"/>
      <c r="MDC30" s="11"/>
      <c r="MDD30" s="12"/>
      <c r="MDE30" s="12"/>
      <c r="MDF30" s="12"/>
      <c r="MDG30" s="13"/>
      <c r="MDH30" s="9"/>
      <c r="MDI30" s="9"/>
      <c r="MDJ30" s="9"/>
      <c r="MDK30" s="9"/>
      <c r="MDL30" s="10"/>
      <c r="MDM30" s="11"/>
      <c r="MDN30" s="12"/>
      <c r="MDO30" s="12"/>
      <c r="MDP30" s="12"/>
      <c r="MDQ30" s="13"/>
      <c r="MDR30" s="9"/>
      <c r="MDS30" s="9"/>
      <c r="MDT30" s="9"/>
      <c r="MDU30" s="9"/>
      <c r="MDV30" s="10"/>
      <c r="MDW30" s="11"/>
      <c r="MDX30" s="12"/>
      <c r="MDY30" s="12"/>
      <c r="MDZ30" s="12"/>
      <c r="MEA30" s="13"/>
      <c r="MEB30" s="9"/>
      <c r="MEC30" s="9"/>
      <c r="MED30" s="9"/>
      <c r="MEE30" s="9"/>
      <c r="MEF30" s="10"/>
      <c r="MEG30" s="11"/>
      <c r="MEH30" s="12"/>
      <c r="MEI30" s="12"/>
      <c r="MEJ30" s="12"/>
      <c r="MEK30" s="13"/>
      <c r="MEL30" s="9"/>
      <c r="MEM30" s="9"/>
      <c r="MEN30" s="9"/>
      <c r="MEO30" s="9"/>
      <c r="MEP30" s="10"/>
      <c r="MEQ30" s="11"/>
      <c r="MER30" s="12"/>
      <c r="MES30" s="12"/>
      <c r="MET30" s="12"/>
      <c r="MEU30" s="13"/>
      <c r="MEV30" s="9"/>
      <c r="MEW30" s="9"/>
      <c r="MEX30" s="9"/>
      <c r="MEY30" s="9"/>
      <c r="MEZ30" s="10"/>
      <c r="MFA30" s="11"/>
      <c r="MFB30" s="12"/>
      <c r="MFC30" s="12"/>
      <c r="MFD30" s="12"/>
      <c r="MFE30" s="13"/>
      <c r="MFF30" s="9"/>
      <c r="MFG30" s="9"/>
      <c r="MFH30" s="9"/>
      <c r="MFI30" s="9"/>
      <c r="MFJ30" s="10"/>
      <c r="MFK30" s="11"/>
      <c r="MFL30" s="12"/>
      <c r="MFM30" s="12"/>
      <c r="MFN30" s="12"/>
      <c r="MFO30" s="13"/>
      <c r="MFP30" s="9"/>
      <c r="MFQ30" s="9"/>
      <c r="MFR30" s="9"/>
      <c r="MFS30" s="9"/>
      <c r="MFT30" s="10"/>
      <c r="MFU30" s="11"/>
      <c r="MFV30" s="12"/>
      <c r="MFW30" s="12"/>
      <c r="MFX30" s="12"/>
      <c r="MFY30" s="13"/>
      <c r="MFZ30" s="9"/>
      <c r="MGA30" s="9"/>
      <c r="MGB30" s="9"/>
      <c r="MGC30" s="9"/>
      <c r="MGD30" s="10"/>
      <c r="MGE30" s="11"/>
      <c r="MGF30" s="12"/>
      <c r="MGG30" s="12"/>
      <c r="MGH30" s="12"/>
      <c r="MGI30" s="13"/>
      <c r="MGJ30" s="9"/>
      <c r="MGK30" s="9"/>
      <c r="MGL30" s="9"/>
      <c r="MGM30" s="9"/>
      <c r="MGN30" s="10"/>
      <c r="MGO30" s="11"/>
      <c r="MGP30" s="12"/>
      <c r="MGQ30" s="12"/>
      <c r="MGR30" s="12"/>
      <c r="MGS30" s="13"/>
      <c r="MGT30" s="9"/>
      <c r="MGU30" s="9"/>
      <c r="MGV30" s="9"/>
      <c r="MGW30" s="9"/>
      <c r="MGX30" s="10"/>
      <c r="MGY30" s="11"/>
      <c r="MGZ30" s="12"/>
      <c r="MHA30" s="12"/>
      <c r="MHB30" s="12"/>
      <c r="MHC30" s="13"/>
      <c r="MHD30" s="9"/>
      <c r="MHE30" s="9"/>
      <c r="MHF30" s="9"/>
      <c r="MHG30" s="9"/>
      <c r="MHH30" s="10"/>
      <c r="MHI30" s="11"/>
      <c r="MHJ30" s="12"/>
      <c r="MHK30" s="12"/>
      <c r="MHL30" s="12"/>
      <c r="MHM30" s="13"/>
      <c r="MHN30" s="9"/>
      <c r="MHO30" s="9"/>
      <c r="MHP30" s="9"/>
      <c r="MHQ30" s="9"/>
      <c r="MHR30" s="10"/>
      <c r="MHS30" s="11"/>
      <c r="MHT30" s="12"/>
      <c r="MHU30" s="12"/>
      <c r="MHV30" s="12"/>
      <c r="MHW30" s="13"/>
      <c r="MHX30" s="9"/>
      <c r="MHY30" s="9"/>
      <c r="MHZ30" s="9"/>
      <c r="MIA30" s="9"/>
      <c r="MIB30" s="10"/>
      <c r="MIC30" s="11"/>
      <c r="MID30" s="12"/>
      <c r="MIE30" s="12"/>
      <c r="MIF30" s="12"/>
      <c r="MIG30" s="13"/>
      <c r="MIH30" s="9"/>
      <c r="MII30" s="9"/>
      <c r="MIJ30" s="9"/>
      <c r="MIK30" s="9"/>
      <c r="MIL30" s="10"/>
      <c r="MIM30" s="11"/>
      <c r="MIN30" s="12"/>
      <c r="MIO30" s="12"/>
      <c r="MIP30" s="12"/>
      <c r="MIQ30" s="13"/>
      <c r="MIR30" s="9"/>
      <c r="MIS30" s="9"/>
      <c r="MIT30" s="9"/>
      <c r="MIU30" s="9"/>
      <c r="MIV30" s="10"/>
      <c r="MIW30" s="11"/>
      <c r="MIX30" s="12"/>
      <c r="MIY30" s="12"/>
      <c r="MIZ30" s="12"/>
      <c r="MJA30" s="13"/>
      <c r="MJB30" s="9"/>
      <c r="MJC30" s="9"/>
      <c r="MJD30" s="9"/>
      <c r="MJE30" s="9"/>
      <c r="MJF30" s="10"/>
      <c r="MJG30" s="11"/>
      <c r="MJH30" s="12"/>
      <c r="MJI30" s="12"/>
      <c r="MJJ30" s="12"/>
      <c r="MJK30" s="13"/>
      <c r="MJL30" s="9"/>
      <c r="MJM30" s="9"/>
      <c r="MJN30" s="9"/>
      <c r="MJO30" s="9"/>
      <c r="MJP30" s="10"/>
      <c r="MJQ30" s="11"/>
      <c r="MJR30" s="12"/>
      <c r="MJS30" s="12"/>
      <c r="MJT30" s="12"/>
      <c r="MJU30" s="13"/>
      <c r="MJV30" s="9"/>
      <c r="MJW30" s="9"/>
      <c r="MJX30" s="9"/>
      <c r="MJY30" s="9"/>
      <c r="MJZ30" s="10"/>
      <c r="MKA30" s="11"/>
      <c r="MKB30" s="12"/>
      <c r="MKC30" s="12"/>
      <c r="MKD30" s="12"/>
      <c r="MKE30" s="13"/>
      <c r="MKF30" s="9"/>
      <c r="MKG30" s="9"/>
      <c r="MKH30" s="9"/>
      <c r="MKI30" s="9"/>
      <c r="MKJ30" s="10"/>
      <c r="MKK30" s="11"/>
      <c r="MKL30" s="12"/>
      <c r="MKM30" s="12"/>
      <c r="MKN30" s="12"/>
      <c r="MKO30" s="13"/>
      <c r="MKP30" s="9"/>
      <c r="MKQ30" s="9"/>
      <c r="MKR30" s="9"/>
      <c r="MKS30" s="9"/>
      <c r="MKT30" s="10"/>
      <c r="MKU30" s="11"/>
      <c r="MKV30" s="12"/>
      <c r="MKW30" s="12"/>
      <c r="MKX30" s="12"/>
      <c r="MKY30" s="13"/>
      <c r="MKZ30" s="9"/>
      <c r="MLA30" s="9"/>
      <c r="MLB30" s="9"/>
      <c r="MLC30" s="9"/>
      <c r="MLD30" s="10"/>
      <c r="MLE30" s="11"/>
      <c r="MLF30" s="12"/>
      <c r="MLG30" s="12"/>
      <c r="MLH30" s="12"/>
      <c r="MLI30" s="13"/>
      <c r="MLJ30" s="9"/>
      <c r="MLK30" s="9"/>
      <c r="MLL30" s="9"/>
      <c r="MLM30" s="9"/>
      <c r="MLN30" s="10"/>
      <c r="MLO30" s="11"/>
      <c r="MLP30" s="12"/>
      <c r="MLQ30" s="12"/>
      <c r="MLR30" s="12"/>
      <c r="MLS30" s="13"/>
      <c r="MLT30" s="9"/>
      <c r="MLU30" s="9"/>
      <c r="MLV30" s="9"/>
      <c r="MLW30" s="9"/>
      <c r="MLX30" s="10"/>
      <c r="MLY30" s="11"/>
      <c r="MLZ30" s="12"/>
      <c r="MMA30" s="12"/>
      <c r="MMB30" s="12"/>
      <c r="MMC30" s="13"/>
      <c r="MMD30" s="9"/>
      <c r="MME30" s="9"/>
      <c r="MMF30" s="9"/>
      <c r="MMG30" s="9"/>
      <c r="MMH30" s="10"/>
      <c r="MMI30" s="11"/>
      <c r="MMJ30" s="12"/>
      <c r="MMK30" s="12"/>
      <c r="MML30" s="12"/>
      <c r="MMM30" s="13"/>
      <c r="MMN30" s="9"/>
      <c r="MMO30" s="9"/>
      <c r="MMP30" s="9"/>
      <c r="MMQ30" s="9"/>
      <c r="MMR30" s="10"/>
      <c r="MMS30" s="11"/>
      <c r="MMT30" s="12"/>
      <c r="MMU30" s="12"/>
      <c r="MMV30" s="12"/>
      <c r="MMW30" s="13"/>
      <c r="MMX30" s="9"/>
      <c r="MMY30" s="9"/>
      <c r="MMZ30" s="9"/>
      <c r="MNA30" s="9"/>
      <c r="MNB30" s="10"/>
      <c r="MNC30" s="11"/>
      <c r="MND30" s="12"/>
      <c r="MNE30" s="12"/>
      <c r="MNF30" s="12"/>
      <c r="MNG30" s="13"/>
      <c r="MNH30" s="9"/>
      <c r="MNI30" s="9"/>
      <c r="MNJ30" s="9"/>
      <c r="MNK30" s="9"/>
      <c r="MNL30" s="10"/>
      <c r="MNM30" s="11"/>
      <c r="MNN30" s="12"/>
      <c r="MNO30" s="12"/>
      <c r="MNP30" s="12"/>
      <c r="MNQ30" s="13"/>
      <c r="MNR30" s="9"/>
      <c r="MNS30" s="9"/>
      <c r="MNT30" s="9"/>
      <c r="MNU30" s="9"/>
      <c r="MNV30" s="10"/>
      <c r="MNW30" s="11"/>
      <c r="MNX30" s="12"/>
      <c r="MNY30" s="12"/>
      <c r="MNZ30" s="12"/>
      <c r="MOA30" s="13"/>
      <c r="MOB30" s="9"/>
      <c r="MOC30" s="9"/>
      <c r="MOD30" s="9"/>
      <c r="MOE30" s="9"/>
      <c r="MOF30" s="10"/>
      <c r="MOG30" s="11"/>
      <c r="MOH30" s="12"/>
      <c r="MOI30" s="12"/>
      <c r="MOJ30" s="12"/>
      <c r="MOK30" s="13"/>
      <c r="MOL30" s="9"/>
      <c r="MOM30" s="9"/>
      <c r="MON30" s="9"/>
      <c r="MOO30" s="9"/>
      <c r="MOP30" s="10"/>
      <c r="MOQ30" s="11"/>
      <c r="MOR30" s="12"/>
      <c r="MOS30" s="12"/>
      <c r="MOT30" s="12"/>
      <c r="MOU30" s="13"/>
      <c r="MOV30" s="9"/>
      <c r="MOW30" s="9"/>
      <c r="MOX30" s="9"/>
      <c r="MOY30" s="9"/>
      <c r="MOZ30" s="10"/>
      <c r="MPA30" s="11"/>
      <c r="MPB30" s="12"/>
      <c r="MPC30" s="12"/>
      <c r="MPD30" s="12"/>
      <c r="MPE30" s="13"/>
      <c r="MPF30" s="9"/>
      <c r="MPG30" s="9"/>
      <c r="MPH30" s="9"/>
      <c r="MPI30" s="9"/>
      <c r="MPJ30" s="10"/>
      <c r="MPK30" s="11"/>
      <c r="MPL30" s="12"/>
      <c r="MPM30" s="12"/>
      <c r="MPN30" s="12"/>
      <c r="MPO30" s="13"/>
      <c r="MPP30" s="9"/>
      <c r="MPQ30" s="9"/>
      <c r="MPR30" s="9"/>
      <c r="MPS30" s="9"/>
      <c r="MPT30" s="10"/>
      <c r="MPU30" s="11"/>
      <c r="MPV30" s="12"/>
      <c r="MPW30" s="12"/>
      <c r="MPX30" s="12"/>
      <c r="MPY30" s="13"/>
      <c r="MPZ30" s="9"/>
      <c r="MQA30" s="9"/>
      <c r="MQB30" s="9"/>
      <c r="MQC30" s="9"/>
      <c r="MQD30" s="10"/>
      <c r="MQE30" s="11"/>
      <c r="MQF30" s="12"/>
      <c r="MQG30" s="12"/>
      <c r="MQH30" s="12"/>
      <c r="MQI30" s="13"/>
      <c r="MQJ30" s="9"/>
      <c r="MQK30" s="9"/>
      <c r="MQL30" s="9"/>
      <c r="MQM30" s="9"/>
      <c r="MQN30" s="10"/>
      <c r="MQO30" s="11"/>
      <c r="MQP30" s="12"/>
      <c r="MQQ30" s="12"/>
      <c r="MQR30" s="12"/>
      <c r="MQS30" s="13"/>
      <c r="MQT30" s="9"/>
      <c r="MQU30" s="9"/>
      <c r="MQV30" s="9"/>
      <c r="MQW30" s="9"/>
      <c r="MQX30" s="10"/>
      <c r="MQY30" s="11"/>
      <c r="MQZ30" s="12"/>
      <c r="MRA30" s="12"/>
      <c r="MRB30" s="12"/>
      <c r="MRC30" s="13"/>
      <c r="MRD30" s="9"/>
      <c r="MRE30" s="9"/>
      <c r="MRF30" s="9"/>
      <c r="MRG30" s="9"/>
      <c r="MRH30" s="10"/>
      <c r="MRI30" s="11"/>
      <c r="MRJ30" s="12"/>
      <c r="MRK30" s="12"/>
      <c r="MRL30" s="12"/>
      <c r="MRM30" s="13"/>
      <c r="MRN30" s="9"/>
      <c r="MRO30" s="9"/>
      <c r="MRP30" s="9"/>
      <c r="MRQ30" s="9"/>
      <c r="MRR30" s="10"/>
      <c r="MRS30" s="11"/>
      <c r="MRT30" s="12"/>
      <c r="MRU30" s="12"/>
      <c r="MRV30" s="12"/>
      <c r="MRW30" s="13"/>
      <c r="MRX30" s="9"/>
      <c r="MRY30" s="9"/>
      <c r="MRZ30" s="9"/>
      <c r="MSA30" s="9"/>
      <c r="MSB30" s="10"/>
      <c r="MSC30" s="11"/>
      <c r="MSD30" s="12"/>
      <c r="MSE30" s="12"/>
      <c r="MSF30" s="12"/>
      <c r="MSG30" s="13"/>
      <c r="MSH30" s="9"/>
      <c r="MSI30" s="9"/>
      <c r="MSJ30" s="9"/>
      <c r="MSK30" s="9"/>
      <c r="MSL30" s="10"/>
      <c r="MSM30" s="11"/>
      <c r="MSN30" s="12"/>
      <c r="MSO30" s="12"/>
      <c r="MSP30" s="12"/>
      <c r="MSQ30" s="13"/>
      <c r="MSR30" s="9"/>
      <c r="MSS30" s="9"/>
      <c r="MST30" s="9"/>
      <c r="MSU30" s="9"/>
      <c r="MSV30" s="10"/>
      <c r="MSW30" s="11"/>
      <c r="MSX30" s="12"/>
      <c r="MSY30" s="12"/>
      <c r="MSZ30" s="12"/>
      <c r="MTA30" s="13"/>
      <c r="MTB30" s="9"/>
      <c r="MTC30" s="9"/>
      <c r="MTD30" s="9"/>
      <c r="MTE30" s="9"/>
      <c r="MTF30" s="10"/>
      <c r="MTG30" s="11"/>
      <c r="MTH30" s="12"/>
      <c r="MTI30" s="12"/>
      <c r="MTJ30" s="12"/>
      <c r="MTK30" s="13"/>
      <c r="MTL30" s="9"/>
      <c r="MTM30" s="9"/>
      <c r="MTN30" s="9"/>
      <c r="MTO30" s="9"/>
      <c r="MTP30" s="10"/>
      <c r="MTQ30" s="11"/>
      <c r="MTR30" s="12"/>
      <c r="MTS30" s="12"/>
      <c r="MTT30" s="12"/>
      <c r="MTU30" s="13"/>
      <c r="MTV30" s="9"/>
      <c r="MTW30" s="9"/>
      <c r="MTX30" s="9"/>
      <c r="MTY30" s="9"/>
      <c r="MTZ30" s="10"/>
      <c r="MUA30" s="11"/>
      <c r="MUB30" s="12"/>
      <c r="MUC30" s="12"/>
      <c r="MUD30" s="12"/>
      <c r="MUE30" s="13"/>
      <c r="MUF30" s="9"/>
      <c r="MUG30" s="9"/>
      <c r="MUH30" s="9"/>
      <c r="MUI30" s="9"/>
      <c r="MUJ30" s="10"/>
      <c r="MUK30" s="11"/>
      <c r="MUL30" s="12"/>
      <c r="MUM30" s="12"/>
      <c r="MUN30" s="12"/>
      <c r="MUO30" s="13"/>
      <c r="MUP30" s="9"/>
      <c r="MUQ30" s="9"/>
      <c r="MUR30" s="9"/>
      <c r="MUS30" s="9"/>
      <c r="MUT30" s="10"/>
      <c r="MUU30" s="11"/>
      <c r="MUV30" s="12"/>
      <c r="MUW30" s="12"/>
      <c r="MUX30" s="12"/>
      <c r="MUY30" s="13"/>
      <c r="MUZ30" s="9"/>
      <c r="MVA30" s="9"/>
      <c r="MVB30" s="9"/>
      <c r="MVC30" s="9"/>
      <c r="MVD30" s="10"/>
      <c r="MVE30" s="11"/>
      <c r="MVF30" s="12"/>
      <c r="MVG30" s="12"/>
      <c r="MVH30" s="12"/>
      <c r="MVI30" s="13"/>
      <c r="MVJ30" s="9"/>
      <c r="MVK30" s="9"/>
      <c r="MVL30" s="9"/>
      <c r="MVM30" s="9"/>
      <c r="MVN30" s="10"/>
      <c r="MVO30" s="11"/>
      <c r="MVP30" s="12"/>
      <c r="MVQ30" s="12"/>
      <c r="MVR30" s="12"/>
      <c r="MVS30" s="13"/>
      <c r="MVT30" s="9"/>
      <c r="MVU30" s="9"/>
      <c r="MVV30" s="9"/>
      <c r="MVW30" s="9"/>
      <c r="MVX30" s="10"/>
      <c r="MVY30" s="11"/>
      <c r="MVZ30" s="12"/>
      <c r="MWA30" s="12"/>
      <c r="MWB30" s="12"/>
      <c r="MWC30" s="13"/>
      <c r="MWD30" s="9"/>
      <c r="MWE30" s="9"/>
      <c r="MWF30" s="9"/>
      <c r="MWG30" s="9"/>
      <c r="MWH30" s="10"/>
      <c r="MWI30" s="11"/>
      <c r="MWJ30" s="12"/>
      <c r="MWK30" s="12"/>
      <c r="MWL30" s="12"/>
      <c r="MWM30" s="13"/>
      <c r="MWN30" s="9"/>
      <c r="MWO30" s="9"/>
      <c r="MWP30" s="9"/>
      <c r="MWQ30" s="9"/>
      <c r="MWR30" s="10"/>
      <c r="MWS30" s="11"/>
      <c r="MWT30" s="12"/>
      <c r="MWU30" s="12"/>
      <c r="MWV30" s="12"/>
      <c r="MWW30" s="13"/>
      <c r="MWX30" s="9"/>
      <c r="MWY30" s="9"/>
      <c r="MWZ30" s="9"/>
      <c r="MXA30" s="9"/>
      <c r="MXB30" s="10"/>
      <c r="MXC30" s="11"/>
      <c r="MXD30" s="12"/>
      <c r="MXE30" s="12"/>
      <c r="MXF30" s="12"/>
      <c r="MXG30" s="13"/>
      <c r="MXH30" s="9"/>
      <c r="MXI30" s="9"/>
      <c r="MXJ30" s="9"/>
      <c r="MXK30" s="9"/>
      <c r="MXL30" s="10"/>
      <c r="MXM30" s="11"/>
      <c r="MXN30" s="12"/>
      <c r="MXO30" s="12"/>
      <c r="MXP30" s="12"/>
      <c r="MXQ30" s="13"/>
      <c r="MXR30" s="9"/>
      <c r="MXS30" s="9"/>
      <c r="MXT30" s="9"/>
      <c r="MXU30" s="9"/>
      <c r="MXV30" s="10"/>
      <c r="MXW30" s="11"/>
      <c r="MXX30" s="12"/>
      <c r="MXY30" s="12"/>
      <c r="MXZ30" s="12"/>
      <c r="MYA30" s="13"/>
      <c r="MYB30" s="9"/>
      <c r="MYC30" s="9"/>
      <c r="MYD30" s="9"/>
      <c r="MYE30" s="9"/>
      <c r="MYF30" s="10"/>
      <c r="MYG30" s="11"/>
      <c r="MYH30" s="12"/>
      <c r="MYI30" s="12"/>
      <c r="MYJ30" s="12"/>
      <c r="MYK30" s="13"/>
      <c r="MYL30" s="9"/>
      <c r="MYM30" s="9"/>
      <c r="MYN30" s="9"/>
      <c r="MYO30" s="9"/>
      <c r="MYP30" s="10"/>
      <c r="MYQ30" s="11"/>
      <c r="MYR30" s="12"/>
      <c r="MYS30" s="12"/>
      <c r="MYT30" s="12"/>
      <c r="MYU30" s="13"/>
      <c r="MYV30" s="9"/>
      <c r="MYW30" s="9"/>
      <c r="MYX30" s="9"/>
      <c r="MYY30" s="9"/>
      <c r="MYZ30" s="10"/>
      <c r="MZA30" s="11"/>
      <c r="MZB30" s="12"/>
      <c r="MZC30" s="12"/>
      <c r="MZD30" s="12"/>
      <c r="MZE30" s="13"/>
      <c r="MZF30" s="9"/>
      <c r="MZG30" s="9"/>
      <c r="MZH30" s="9"/>
      <c r="MZI30" s="9"/>
      <c r="MZJ30" s="10"/>
      <c r="MZK30" s="11"/>
      <c r="MZL30" s="12"/>
      <c r="MZM30" s="12"/>
      <c r="MZN30" s="12"/>
      <c r="MZO30" s="13"/>
      <c r="MZP30" s="9"/>
      <c r="MZQ30" s="9"/>
      <c r="MZR30" s="9"/>
      <c r="MZS30" s="9"/>
      <c r="MZT30" s="10"/>
      <c r="MZU30" s="11"/>
      <c r="MZV30" s="12"/>
      <c r="MZW30" s="12"/>
      <c r="MZX30" s="12"/>
      <c r="MZY30" s="13"/>
      <c r="MZZ30" s="9"/>
      <c r="NAA30" s="9"/>
      <c r="NAB30" s="9"/>
      <c r="NAC30" s="9"/>
      <c r="NAD30" s="10"/>
      <c r="NAE30" s="11"/>
      <c r="NAF30" s="12"/>
      <c r="NAG30" s="12"/>
      <c r="NAH30" s="12"/>
      <c r="NAI30" s="13"/>
      <c r="NAJ30" s="9"/>
      <c r="NAK30" s="9"/>
      <c r="NAL30" s="9"/>
      <c r="NAM30" s="9"/>
      <c r="NAN30" s="10"/>
      <c r="NAO30" s="11"/>
      <c r="NAP30" s="12"/>
      <c r="NAQ30" s="12"/>
      <c r="NAR30" s="12"/>
      <c r="NAS30" s="13"/>
      <c r="NAT30" s="9"/>
      <c r="NAU30" s="9"/>
      <c r="NAV30" s="9"/>
      <c r="NAW30" s="9"/>
      <c r="NAX30" s="10"/>
      <c r="NAY30" s="11"/>
      <c r="NAZ30" s="12"/>
      <c r="NBA30" s="12"/>
      <c r="NBB30" s="12"/>
      <c r="NBC30" s="13"/>
      <c r="NBD30" s="9"/>
      <c r="NBE30" s="9"/>
      <c r="NBF30" s="9"/>
      <c r="NBG30" s="9"/>
      <c r="NBH30" s="10"/>
      <c r="NBI30" s="11"/>
      <c r="NBJ30" s="12"/>
      <c r="NBK30" s="12"/>
      <c r="NBL30" s="12"/>
      <c r="NBM30" s="13"/>
      <c r="NBN30" s="9"/>
      <c r="NBO30" s="9"/>
      <c r="NBP30" s="9"/>
      <c r="NBQ30" s="9"/>
      <c r="NBR30" s="10"/>
      <c r="NBS30" s="11"/>
      <c r="NBT30" s="12"/>
      <c r="NBU30" s="12"/>
      <c r="NBV30" s="12"/>
      <c r="NBW30" s="13"/>
      <c r="NBX30" s="9"/>
      <c r="NBY30" s="9"/>
      <c r="NBZ30" s="9"/>
      <c r="NCA30" s="9"/>
      <c r="NCB30" s="10"/>
      <c r="NCC30" s="11"/>
      <c r="NCD30" s="12"/>
      <c r="NCE30" s="12"/>
      <c r="NCF30" s="12"/>
      <c r="NCG30" s="13"/>
      <c r="NCH30" s="9"/>
      <c r="NCI30" s="9"/>
      <c r="NCJ30" s="9"/>
      <c r="NCK30" s="9"/>
      <c r="NCL30" s="10"/>
      <c r="NCM30" s="11"/>
      <c r="NCN30" s="12"/>
      <c r="NCO30" s="12"/>
      <c r="NCP30" s="12"/>
      <c r="NCQ30" s="13"/>
      <c r="NCR30" s="9"/>
      <c r="NCS30" s="9"/>
      <c r="NCT30" s="9"/>
      <c r="NCU30" s="9"/>
      <c r="NCV30" s="10"/>
      <c r="NCW30" s="11"/>
      <c r="NCX30" s="12"/>
      <c r="NCY30" s="12"/>
      <c r="NCZ30" s="12"/>
      <c r="NDA30" s="13"/>
      <c r="NDB30" s="9"/>
      <c r="NDC30" s="9"/>
      <c r="NDD30" s="9"/>
      <c r="NDE30" s="9"/>
      <c r="NDF30" s="10"/>
      <c r="NDG30" s="11"/>
      <c r="NDH30" s="12"/>
      <c r="NDI30" s="12"/>
      <c r="NDJ30" s="12"/>
      <c r="NDK30" s="13"/>
      <c r="NDL30" s="9"/>
      <c r="NDM30" s="9"/>
      <c r="NDN30" s="9"/>
      <c r="NDO30" s="9"/>
      <c r="NDP30" s="10"/>
      <c r="NDQ30" s="11"/>
      <c r="NDR30" s="12"/>
      <c r="NDS30" s="12"/>
      <c r="NDT30" s="12"/>
      <c r="NDU30" s="13"/>
      <c r="NDV30" s="9"/>
      <c r="NDW30" s="9"/>
      <c r="NDX30" s="9"/>
      <c r="NDY30" s="9"/>
      <c r="NDZ30" s="10"/>
      <c r="NEA30" s="11"/>
      <c r="NEB30" s="12"/>
      <c r="NEC30" s="12"/>
      <c r="NED30" s="12"/>
      <c r="NEE30" s="13"/>
      <c r="NEF30" s="9"/>
      <c r="NEG30" s="9"/>
      <c r="NEH30" s="9"/>
      <c r="NEI30" s="9"/>
      <c r="NEJ30" s="10"/>
      <c r="NEK30" s="11"/>
      <c r="NEL30" s="12"/>
      <c r="NEM30" s="12"/>
      <c r="NEN30" s="12"/>
      <c r="NEO30" s="13"/>
      <c r="NEP30" s="9"/>
      <c r="NEQ30" s="9"/>
      <c r="NER30" s="9"/>
      <c r="NES30" s="9"/>
      <c r="NET30" s="10"/>
      <c r="NEU30" s="11"/>
      <c r="NEV30" s="12"/>
      <c r="NEW30" s="12"/>
      <c r="NEX30" s="12"/>
      <c r="NEY30" s="13"/>
      <c r="NEZ30" s="9"/>
      <c r="NFA30" s="9"/>
      <c r="NFB30" s="9"/>
      <c r="NFC30" s="9"/>
      <c r="NFD30" s="10"/>
      <c r="NFE30" s="11"/>
      <c r="NFF30" s="12"/>
      <c r="NFG30" s="12"/>
      <c r="NFH30" s="12"/>
      <c r="NFI30" s="13"/>
      <c r="NFJ30" s="9"/>
      <c r="NFK30" s="9"/>
      <c r="NFL30" s="9"/>
      <c r="NFM30" s="9"/>
      <c r="NFN30" s="10"/>
      <c r="NFO30" s="11"/>
      <c r="NFP30" s="12"/>
      <c r="NFQ30" s="12"/>
      <c r="NFR30" s="12"/>
      <c r="NFS30" s="13"/>
      <c r="NFT30" s="9"/>
      <c r="NFU30" s="9"/>
      <c r="NFV30" s="9"/>
      <c r="NFW30" s="9"/>
      <c r="NFX30" s="10"/>
      <c r="NFY30" s="11"/>
      <c r="NFZ30" s="12"/>
      <c r="NGA30" s="12"/>
      <c r="NGB30" s="12"/>
      <c r="NGC30" s="13"/>
      <c r="NGD30" s="9"/>
      <c r="NGE30" s="9"/>
      <c r="NGF30" s="9"/>
      <c r="NGG30" s="9"/>
      <c r="NGH30" s="10"/>
      <c r="NGI30" s="11"/>
      <c r="NGJ30" s="12"/>
      <c r="NGK30" s="12"/>
      <c r="NGL30" s="12"/>
      <c r="NGM30" s="13"/>
      <c r="NGN30" s="9"/>
      <c r="NGO30" s="9"/>
      <c r="NGP30" s="9"/>
      <c r="NGQ30" s="9"/>
      <c r="NGR30" s="10"/>
      <c r="NGS30" s="11"/>
      <c r="NGT30" s="12"/>
      <c r="NGU30" s="12"/>
      <c r="NGV30" s="12"/>
      <c r="NGW30" s="13"/>
      <c r="NGX30" s="9"/>
      <c r="NGY30" s="9"/>
      <c r="NGZ30" s="9"/>
      <c r="NHA30" s="9"/>
      <c r="NHB30" s="10"/>
      <c r="NHC30" s="11"/>
      <c r="NHD30" s="12"/>
      <c r="NHE30" s="12"/>
      <c r="NHF30" s="12"/>
      <c r="NHG30" s="13"/>
      <c r="NHH30" s="9"/>
      <c r="NHI30" s="9"/>
      <c r="NHJ30" s="9"/>
      <c r="NHK30" s="9"/>
      <c r="NHL30" s="10"/>
      <c r="NHM30" s="11"/>
      <c r="NHN30" s="12"/>
      <c r="NHO30" s="12"/>
      <c r="NHP30" s="12"/>
      <c r="NHQ30" s="13"/>
      <c r="NHR30" s="9"/>
      <c r="NHS30" s="9"/>
      <c r="NHT30" s="9"/>
      <c r="NHU30" s="9"/>
      <c r="NHV30" s="10"/>
      <c r="NHW30" s="11"/>
      <c r="NHX30" s="12"/>
      <c r="NHY30" s="12"/>
      <c r="NHZ30" s="12"/>
      <c r="NIA30" s="13"/>
      <c r="NIB30" s="9"/>
      <c r="NIC30" s="9"/>
      <c r="NID30" s="9"/>
      <c r="NIE30" s="9"/>
      <c r="NIF30" s="10"/>
      <c r="NIG30" s="11"/>
      <c r="NIH30" s="12"/>
      <c r="NII30" s="12"/>
      <c r="NIJ30" s="12"/>
      <c r="NIK30" s="13"/>
      <c r="NIL30" s="9"/>
      <c r="NIM30" s="9"/>
      <c r="NIN30" s="9"/>
      <c r="NIO30" s="9"/>
      <c r="NIP30" s="10"/>
      <c r="NIQ30" s="11"/>
      <c r="NIR30" s="12"/>
      <c r="NIS30" s="12"/>
      <c r="NIT30" s="12"/>
      <c r="NIU30" s="13"/>
      <c r="NIV30" s="9"/>
      <c r="NIW30" s="9"/>
      <c r="NIX30" s="9"/>
      <c r="NIY30" s="9"/>
      <c r="NIZ30" s="10"/>
      <c r="NJA30" s="11"/>
      <c r="NJB30" s="12"/>
      <c r="NJC30" s="12"/>
      <c r="NJD30" s="12"/>
      <c r="NJE30" s="13"/>
      <c r="NJF30" s="9"/>
      <c r="NJG30" s="9"/>
      <c r="NJH30" s="9"/>
      <c r="NJI30" s="9"/>
      <c r="NJJ30" s="10"/>
      <c r="NJK30" s="11"/>
      <c r="NJL30" s="12"/>
      <c r="NJM30" s="12"/>
      <c r="NJN30" s="12"/>
      <c r="NJO30" s="13"/>
      <c r="NJP30" s="9"/>
      <c r="NJQ30" s="9"/>
      <c r="NJR30" s="9"/>
      <c r="NJS30" s="9"/>
      <c r="NJT30" s="10"/>
      <c r="NJU30" s="11"/>
      <c r="NJV30" s="12"/>
      <c r="NJW30" s="12"/>
      <c r="NJX30" s="12"/>
      <c r="NJY30" s="13"/>
      <c r="NJZ30" s="9"/>
      <c r="NKA30" s="9"/>
      <c r="NKB30" s="9"/>
      <c r="NKC30" s="9"/>
      <c r="NKD30" s="10"/>
      <c r="NKE30" s="11"/>
      <c r="NKF30" s="12"/>
      <c r="NKG30" s="12"/>
      <c r="NKH30" s="12"/>
      <c r="NKI30" s="13"/>
      <c r="NKJ30" s="9"/>
      <c r="NKK30" s="9"/>
      <c r="NKL30" s="9"/>
      <c r="NKM30" s="9"/>
      <c r="NKN30" s="10"/>
      <c r="NKO30" s="11"/>
      <c r="NKP30" s="12"/>
      <c r="NKQ30" s="12"/>
      <c r="NKR30" s="12"/>
      <c r="NKS30" s="13"/>
      <c r="NKT30" s="9"/>
      <c r="NKU30" s="9"/>
      <c r="NKV30" s="9"/>
      <c r="NKW30" s="9"/>
      <c r="NKX30" s="10"/>
      <c r="NKY30" s="11"/>
      <c r="NKZ30" s="12"/>
      <c r="NLA30" s="12"/>
      <c r="NLB30" s="12"/>
      <c r="NLC30" s="13"/>
      <c r="NLD30" s="9"/>
      <c r="NLE30" s="9"/>
      <c r="NLF30" s="9"/>
      <c r="NLG30" s="9"/>
      <c r="NLH30" s="10"/>
      <c r="NLI30" s="11"/>
      <c r="NLJ30" s="12"/>
      <c r="NLK30" s="12"/>
      <c r="NLL30" s="12"/>
      <c r="NLM30" s="13"/>
      <c r="NLN30" s="9"/>
      <c r="NLO30" s="9"/>
      <c r="NLP30" s="9"/>
      <c r="NLQ30" s="9"/>
      <c r="NLR30" s="10"/>
      <c r="NLS30" s="11"/>
      <c r="NLT30" s="12"/>
      <c r="NLU30" s="12"/>
      <c r="NLV30" s="12"/>
      <c r="NLW30" s="13"/>
      <c r="NLX30" s="9"/>
      <c r="NLY30" s="9"/>
      <c r="NLZ30" s="9"/>
      <c r="NMA30" s="9"/>
      <c r="NMB30" s="10"/>
      <c r="NMC30" s="11"/>
      <c r="NMD30" s="12"/>
      <c r="NME30" s="12"/>
      <c r="NMF30" s="12"/>
      <c r="NMG30" s="13"/>
      <c r="NMH30" s="9"/>
      <c r="NMI30" s="9"/>
      <c r="NMJ30" s="9"/>
      <c r="NMK30" s="9"/>
      <c r="NML30" s="10"/>
      <c r="NMM30" s="11"/>
      <c r="NMN30" s="12"/>
      <c r="NMO30" s="12"/>
      <c r="NMP30" s="12"/>
      <c r="NMQ30" s="13"/>
      <c r="NMR30" s="9"/>
      <c r="NMS30" s="9"/>
      <c r="NMT30" s="9"/>
      <c r="NMU30" s="9"/>
      <c r="NMV30" s="10"/>
      <c r="NMW30" s="11"/>
      <c r="NMX30" s="12"/>
      <c r="NMY30" s="12"/>
      <c r="NMZ30" s="12"/>
      <c r="NNA30" s="13"/>
      <c r="NNB30" s="9"/>
      <c r="NNC30" s="9"/>
      <c r="NND30" s="9"/>
      <c r="NNE30" s="9"/>
      <c r="NNF30" s="10"/>
      <c r="NNG30" s="11"/>
      <c r="NNH30" s="12"/>
      <c r="NNI30" s="12"/>
      <c r="NNJ30" s="12"/>
      <c r="NNK30" s="13"/>
      <c r="NNL30" s="9"/>
      <c r="NNM30" s="9"/>
      <c r="NNN30" s="9"/>
      <c r="NNO30" s="9"/>
      <c r="NNP30" s="10"/>
      <c r="NNQ30" s="11"/>
      <c r="NNR30" s="12"/>
      <c r="NNS30" s="12"/>
      <c r="NNT30" s="12"/>
      <c r="NNU30" s="13"/>
      <c r="NNV30" s="9"/>
      <c r="NNW30" s="9"/>
      <c r="NNX30" s="9"/>
      <c r="NNY30" s="9"/>
      <c r="NNZ30" s="10"/>
      <c r="NOA30" s="11"/>
      <c r="NOB30" s="12"/>
      <c r="NOC30" s="12"/>
      <c r="NOD30" s="12"/>
      <c r="NOE30" s="13"/>
      <c r="NOF30" s="9"/>
      <c r="NOG30" s="9"/>
      <c r="NOH30" s="9"/>
      <c r="NOI30" s="9"/>
      <c r="NOJ30" s="10"/>
      <c r="NOK30" s="11"/>
      <c r="NOL30" s="12"/>
      <c r="NOM30" s="12"/>
      <c r="NON30" s="12"/>
      <c r="NOO30" s="13"/>
      <c r="NOP30" s="9"/>
      <c r="NOQ30" s="9"/>
      <c r="NOR30" s="9"/>
      <c r="NOS30" s="9"/>
      <c r="NOT30" s="10"/>
      <c r="NOU30" s="11"/>
      <c r="NOV30" s="12"/>
      <c r="NOW30" s="12"/>
      <c r="NOX30" s="12"/>
      <c r="NOY30" s="13"/>
      <c r="NOZ30" s="9"/>
      <c r="NPA30" s="9"/>
      <c r="NPB30" s="9"/>
      <c r="NPC30" s="9"/>
      <c r="NPD30" s="10"/>
      <c r="NPE30" s="11"/>
      <c r="NPF30" s="12"/>
      <c r="NPG30" s="12"/>
      <c r="NPH30" s="12"/>
      <c r="NPI30" s="13"/>
      <c r="NPJ30" s="9"/>
      <c r="NPK30" s="9"/>
      <c r="NPL30" s="9"/>
      <c r="NPM30" s="9"/>
      <c r="NPN30" s="10"/>
      <c r="NPO30" s="11"/>
      <c r="NPP30" s="12"/>
      <c r="NPQ30" s="12"/>
      <c r="NPR30" s="12"/>
      <c r="NPS30" s="13"/>
      <c r="NPT30" s="9"/>
      <c r="NPU30" s="9"/>
      <c r="NPV30" s="9"/>
      <c r="NPW30" s="9"/>
      <c r="NPX30" s="10"/>
      <c r="NPY30" s="11"/>
      <c r="NPZ30" s="12"/>
      <c r="NQA30" s="12"/>
      <c r="NQB30" s="12"/>
      <c r="NQC30" s="13"/>
      <c r="NQD30" s="9"/>
      <c r="NQE30" s="9"/>
      <c r="NQF30" s="9"/>
      <c r="NQG30" s="9"/>
      <c r="NQH30" s="10"/>
      <c r="NQI30" s="11"/>
      <c r="NQJ30" s="12"/>
      <c r="NQK30" s="12"/>
      <c r="NQL30" s="12"/>
      <c r="NQM30" s="13"/>
      <c r="NQN30" s="9"/>
      <c r="NQO30" s="9"/>
      <c r="NQP30" s="9"/>
      <c r="NQQ30" s="9"/>
      <c r="NQR30" s="10"/>
      <c r="NQS30" s="11"/>
      <c r="NQT30" s="12"/>
      <c r="NQU30" s="12"/>
      <c r="NQV30" s="12"/>
      <c r="NQW30" s="13"/>
      <c r="NQX30" s="9"/>
      <c r="NQY30" s="9"/>
      <c r="NQZ30" s="9"/>
      <c r="NRA30" s="9"/>
      <c r="NRB30" s="10"/>
      <c r="NRC30" s="11"/>
      <c r="NRD30" s="12"/>
      <c r="NRE30" s="12"/>
      <c r="NRF30" s="12"/>
      <c r="NRG30" s="13"/>
      <c r="NRH30" s="9"/>
      <c r="NRI30" s="9"/>
      <c r="NRJ30" s="9"/>
      <c r="NRK30" s="9"/>
      <c r="NRL30" s="10"/>
      <c r="NRM30" s="11"/>
      <c r="NRN30" s="12"/>
      <c r="NRO30" s="12"/>
      <c r="NRP30" s="12"/>
      <c r="NRQ30" s="13"/>
      <c r="NRR30" s="9"/>
      <c r="NRS30" s="9"/>
      <c r="NRT30" s="9"/>
      <c r="NRU30" s="9"/>
      <c r="NRV30" s="10"/>
      <c r="NRW30" s="11"/>
      <c r="NRX30" s="12"/>
      <c r="NRY30" s="12"/>
      <c r="NRZ30" s="12"/>
      <c r="NSA30" s="13"/>
      <c r="NSB30" s="9"/>
      <c r="NSC30" s="9"/>
      <c r="NSD30" s="9"/>
      <c r="NSE30" s="9"/>
      <c r="NSF30" s="10"/>
      <c r="NSG30" s="11"/>
      <c r="NSH30" s="12"/>
      <c r="NSI30" s="12"/>
      <c r="NSJ30" s="12"/>
      <c r="NSK30" s="13"/>
      <c r="NSL30" s="9"/>
      <c r="NSM30" s="9"/>
      <c r="NSN30" s="9"/>
      <c r="NSO30" s="9"/>
      <c r="NSP30" s="10"/>
      <c r="NSQ30" s="11"/>
      <c r="NSR30" s="12"/>
      <c r="NSS30" s="12"/>
      <c r="NST30" s="12"/>
      <c r="NSU30" s="13"/>
      <c r="NSV30" s="9"/>
      <c r="NSW30" s="9"/>
      <c r="NSX30" s="9"/>
      <c r="NSY30" s="9"/>
      <c r="NSZ30" s="10"/>
      <c r="NTA30" s="11"/>
      <c r="NTB30" s="12"/>
      <c r="NTC30" s="12"/>
      <c r="NTD30" s="12"/>
      <c r="NTE30" s="13"/>
      <c r="NTF30" s="9"/>
      <c r="NTG30" s="9"/>
      <c r="NTH30" s="9"/>
      <c r="NTI30" s="9"/>
      <c r="NTJ30" s="10"/>
      <c r="NTK30" s="11"/>
      <c r="NTL30" s="12"/>
      <c r="NTM30" s="12"/>
      <c r="NTN30" s="12"/>
      <c r="NTO30" s="13"/>
      <c r="NTP30" s="9"/>
      <c r="NTQ30" s="9"/>
      <c r="NTR30" s="9"/>
      <c r="NTS30" s="9"/>
      <c r="NTT30" s="10"/>
      <c r="NTU30" s="11"/>
      <c r="NTV30" s="12"/>
      <c r="NTW30" s="12"/>
      <c r="NTX30" s="12"/>
      <c r="NTY30" s="13"/>
      <c r="NTZ30" s="9"/>
      <c r="NUA30" s="9"/>
      <c r="NUB30" s="9"/>
      <c r="NUC30" s="9"/>
      <c r="NUD30" s="10"/>
      <c r="NUE30" s="11"/>
      <c r="NUF30" s="12"/>
      <c r="NUG30" s="12"/>
      <c r="NUH30" s="12"/>
      <c r="NUI30" s="13"/>
      <c r="NUJ30" s="9"/>
      <c r="NUK30" s="9"/>
      <c r="NUL30" s="9"/>
      <c r="NUM30" s="9"/>
      <c r="NUN30" s="10"/>
      <c r="NUO30" s="11"/>
      <c r="NUP30" s="12"/>
      <c r="NUQ30" s="12"/>
      <c r="NUR30" s="12"/>
      <c r="NUS30" s="13"/>
      <c r="NUT30" s="9"/>
      <c r="NUU30" s="9"/>
      <c r="NUV30" s="9"/>
      <c r="NUW30" s="9"/>
      <c r="NUX30" s="10"/>
      <c r="NUY30" s="11"/>
      <c r="NUZ30" s="12"/>
      <c r="NVA30" s="12"/>
      <c r="NVB30" s="12"/>
      <c r="NVC30" s="13"/>
      <c r="NVD30" s="9"/>
      <c r="NVE30" s="9"/>
      <c r="NVF30" s="9"/>
      <c r="NVG30" s="9"/>
      <c r="NVH30" s="10"/>
      <c r="NVI30" s="11"/>
      <c r="NVJ30" s="12"/>
      <c r="NVK30" s="12"/>
      <c r="NVL30" s="12"/>
      <c r="NVM30" s="13"/>
      <c r="NVN30" s="9"/>
      <c r="NVO30" s="9"/>
      <c r="NVP30" s="9"/>
      <c r="NVQ30" s="9"/>
      <c r="NVR30" s="10"/>
      <c r="NVS30" s="11"/>
      <c r="NVT30" s="12"/>
      <c r="NVU30" s="12"/>
      <c r="NVV30" s="12"/>
      <c r="NVW30" s="13"/>
      <c r="NVX30" s="9"/>
      <c r="NVY30" s="9"/>
      <c r="NVZ30" s="9"/>
      <c r="NWA30" s="9"/>
      <c r="NWB30" s="10"/>
      <c r="NWC30" s="11"/>
      <c r="NWD30" s="12"/>
      <c r="NWE30" s="12"/>
      <c r="NWF30" s="12"/>
      <c r="NWG30" s="13"/>
      <c r="NWH30" s="9"/>
      <c r="NWI30" s="9"/>
      <c r="NWJ30" s="9"/>
      <c r="NWK30" s="9"/>
      <c r="NWL30" s="10"/>
      <c r="NWM30" s="11"/>
      <c r="NWN30" s="12"/>
      <c r="NWO30" s="12"/>
      <c r="NWP30" s="12"/>
      <c r="NWQ30" s="13"/>
      <c r="NWR30" s="9"/>
      <c r="NWS30" s="9"/>
      <c r="NWT30" s="9"/>
      <c r="NWU30" s="9"/>
      <c r="NWV30" s="10"/>
      <c r="NWW30" s="11"/>
      <c r="NWX30" s="12"/>
      <c r="NWY30" s="12"/>
      <c r="NWZ30" s="12"/>
      <c r="NXA30" s="13"/>
      <c r="NXB30" s="9"/>
      <c r="NXC30" s="9"/>
      <c r="NXD30" s="9"/>
      <c r="NXE30" s="9"/>
      <c r="NXF30" s="10"/>
      <c r="NXG30" s="11"/>
      <c r="NXH30" s="12"/>
      <c r="NXI30" s="12"/>
      <c r="NXJ30" s="12"/>
      <c r="NXK30" s="13"/>
      <c r="NXL30" s="9"/>
      <c r="NXM30" s="9"/>
      <c r="NXN30" s="9"/>
      <c r="NXO30" s="9"/>
      <c r="NXP30" s="10"/>
      <c r="NXQ30" s="11"/>
      <c r="NXR30" s="12"/>
      <c r="NXS30" s="12"/>
      <c r="NXT30" s="12"/>
      <c r="NXU30" s="13"/>
      <c r="NXV30" s="9"/>
      <c r="NXW30" s="9"/>
      <c r="NXX30" s="9"/>
      <c r="NXY30" s="9"/>
      <c r="NXZ30" s="10"/>
      <c r="NYA30" s="11"/>
      <c r="NYB30" s="12"/>
      <c r="NYC30" s="12"/>
      <c r="NYD30" s="12"/>
      <c r="NYE30" s="13"/>
      <c r="NYF30" s="9"/>
      <c r="NYG30" s="9"/>
      <c r="NYH30" s="9"/>
      <c r="NYI30" s="9"/>
      <c r="NYJ30" s="10"/>
      <c r="NYK30" s="11"/>
      <c r="NYL30" s="12"/>
      <c r="NYM30" s="12"/>
      <c r="NYN30" s="12"/>
      <c r="NYO30" s="13"/>
      <c r="NYP30" s="9"/>
      <c r="NYQ30" s="9"/>
      <c r="NYR30" s="9"/>
      <c r="NYS30" s="9"/>
      <c r="NYT30" s="10"/>
      <c r="NYU30" s="11"/>
      <c r="NYV30" s="12"/>
      <c r="NYW30" s="12"/>
      <c r="NYX30" s="12"/>
      <c r="NYY30" s="13"/>
      <c r="NYZ30" s="9"/>
      <c r="NZA30" s="9"/>
      <c r="NZB30" s="9"/>
      <c r="NZC30" s="9"/>
      <c r="NZD30" s="10"/>
      <c r="NZE30" s="11"/>
      <c r="NZF30" s="12"/>
      <c r="NZG30" s="12"/>
      <c r="NZH30" s="12"/>
      <c r="NZI30" s="13"/>
      <c r="NZJ30" s="9"/>
      <c r="NZK30" s="9"/>
      <c r="NZL30" s="9"/>
      <c r="NZM30" s="9"/>
      <c r="NZN30" s="10"/>
      <c r="NZO30" s="11"/>
      <c r="NZP30" s="12"/>
      <c r="NZQ30" s="12"/>
      <c r="NZR30" s="12"/>
      <c r="NZS30" s="13"/>
      <c r="NZT30" s="9"/>
      <c r="NZU30" s="9"/>
      <c r="NZV30" s="9"/>
      <c r="NZW30" s="9"/>
      <c r="NZX30" s="10"/>
      <c r="NZY30" s="11"/>
      <c r="NZZ30" s="12"/>
      <c r="OAA30" s="12"/>
      <c r="OAB30" s="12"/>
      <c r="OAC30" s="13"/>
      <c r="OAD30" s="9"/>
      <c r="OAE30" s="9"/>
      <c r="OAF30" s="9"/>
      <c r="OAG30" s="9"/>
      <c r="OAH30" s="10"/>
      <c r="OAI30" s="11"/>
      <c r="OAJ30" s="12"/>
      <c r="OAK30" s="12"/>
      <c r="OAL30" s="12"/>
      <c r="OAM30" s="13"/>
      <c r="OAN30" s="9"/>
      <c r="OAO30" s="9"/>
      <c r="OAP30" s="9"/>
      <c r="OAQ30" s="9"/>
      <c r="OAR30" s="10"/>
      <c r="OAS30" s="11"/>
      <c r="OAT30" s="12"/>
      <c r="OAU30" s="12"/>
      <c r="OAV30" s="12"/>
      <c r="OAW30" s="13"/>
      <c r="OAX30" s="9"/>
      <c r="OAY30" s="9"/>
      <c r="OAZ30" s="9"/>
      <c r="OBA30" s="9"/>
      <c r="OBB30" s="10"/>
      <c r="OBC30" s="11"/>
      <c r="OBD30" s="12"/>
      <c r="OBE30" s="12"/>
      <c r="OBF30" s="12"/>
      <c r="OBG30" s="13"/>
      <c r="OBH30" s="9"/>
      <c r="OBI30" s="9"/>
      <c r="OBJ30" s="9"/>
      <c r="OBK30" s="9"/>
      <c r="OBL30" s="10"/>
      <c r="OBM30" s="11"/>
      <c r="OBN30" s="12"/>
      <c r="OBO30" s="12"/>
      <c r="OBP30" s="12"/>
      <c r="OBQ30" s="13"/>
      <c r="OBR30" s="9"/>
      <c r="OBS30" s="9"/>
      <c r="OBT30" s="9"/>
      <c r="OBU30" s="9"/>
      <c r="OBV30" s="10"/>
      <c r="OBW30" s="11"/>
      <c r="OBX30" s="12"/>
      <c r="OBY30" s="12"/>
      <c r="OBZ30" s="12"/>
      <c r="OCA30" s="13"/>
      <c r="OCB30" s="9"/>
      <c r="OCC30" s="9"/>
      <c r="OCD30" s="9"/>
      <c r="OCE30" s="9"/>
      <c r="OCF30" s="10"/>
      <c r="OCG30" s="11"/>
      <c r="OCH30" s="12"/>
      <c r="OCI30" s="12"/>
      <c r="OCJ30" s="12"/>
      <c r="OCK30" s="13"/>
      <c r="OCL30" s="9"/>
      <c r="OCM30" s="9"/>
      <c r="OCN30" s="9"/>
      <c r="OCO30" s="9"/>
      <c r="OCP30" s="10"/>
      <c r="OCQ30" s="11"/>
      <c r="OCR30" s="12"/>
      <c r="OCS30" s="12"/>
      <c r="OCT30" s="12"/>
      <c r="OCU30" s="13"/>
      <c r="OCV30" s="9"/>
      <c r="OCW30" s="9"/>
      <c r="OCX30" s="9"/>
      <c r="OCY30" s="9"/>
      <c r="OCZ30" s="10"/>
      <c r="ODA30" s="11"/>
      <c r="ODB30" s="12"/>
      <c r="ODC30" s="12"/>
      <c r="ODD30" s="12"/>
      <c r="ODE30" s="13"/>
      <c r="ODF30" s="9"/>
      <c r="ODG30" s="9"/>
      <c r="ODH30" s="9"/>
      <c r="ODI30" s="9"/>
      <c r="ODJ30" s="10"/>
      <c r="ODK30" s="11"/>
      <c r="ODL30" s="12"/>
      <c r="ODM30" s="12"/>
      <c r="ODN30" s="12"/>
      <c r="ODO30" s="13"/>
      <c r="ODP30" s="9"/>
      <c r="ODQ30" s="9"/>
      <c r="ODR30" s="9"/>
      <c r="ODS30" s="9"/>
      <c r="ODT30" s="10"/>
      <c r="ODU30" s="11"/>
      <c r="ODV30" s="12"/>
      <c r="ODW30" s="12"/>
      <c r="ODX30" s="12"/>
      <c r="ODY30" s="13"/>
      <c r="ODZ30" s="9"/>
      <c r="OEA30" s="9"/>
      <c r="OEB30" s="9"/>
      <c r="OEC30" s="9"/>
      <c r="OED30" s="10"/>
      <c r="OEE30" s="11"/>
      <c r="OEF30" s="12"/>
      <c r="OEG30" s="12"/>
      <c r="OEH30" s="12"/>
      <c r="OEI30" s="13"/>
      <c r="OEJ30" s="9"/>
      <c r="OEK30" s="9"/>
      <c r="OEL30" s="9"/>
      <c r="OEM30" s="9"/>
      <c r="OEN30" s="10"/>
      <c r="OEO30" s="11"/>
      <c r="OEP30" s="12"/>
      <c r="OEQ30" s="12"/>
      <c r="OER30" s="12"/>
      <c r="OES30" s="13"/>
      <c r="OET30" s="9"/>
      <c r="OEU30" s="9"/>
      <c r="OEV30" s="9"/>
      <c r="OEW30" s="9"/>
      <c r="OEX30" s="10"/>
      <c r="OEY30" s="11"/>
      <c r="OEZ30" s="12"/>
      <c r="OFA30" s="12"/>
      <c r="OFB30" s="12"/>
      <c r="OFC30" s="13"/>
      <c r="OFD30" s="9"/>
      <c r="OFE30" s="9"/>
      <c r="OFF30" s="9"/>
      <c r="OFG30" s="9"/>
      <c r="OFH30" s="10"/>
      <c r="OFI30" s="11"/>
      <c r="OFJ30" s="12"/>
      <c r="OFK30" s="12"/>
      <c r="OFL30" s="12"/>
      <c r="OFM30" s="13"/>
      <c r="OFN30" s="9"/>
      <c r="OFO30" s="9"/>
      <c r="OFP30" s="9"/>
      <c r="OFQ30" s="9"/>
      <c r="OFR30" s="10"/>
      <c r="OFS30" s="11"/>
      <c r="OFT30" s="12"/>
      <c r="OFU30" s="12"/>
      <c r="OFV30" s="12"/>
      <c r="OFW30" s="13"/>
      <c r="OFX30" s="9"/>
      <c r="OFY30" s="9"/>
      <c r="OFZ30" s="9"/>
      <c r="OGA30" s="9"/>
      <c r="OGB30" s="10"/>
      <c r="OGC30" s="11"/>
      <c r="OGD30" s="12"/>
      <c r="OGE30" s="12"/>
      <c r="OGF30" s="12"/>
      <c r="OGG30" s="13"/>
      <c r="OGH30" s="9"/>
      <c r="OGI30" s="9"/>
      <c r="OGJ30" s="9"/>
      <c r="OGK30" s="9"/>
      <c r="OGL30" s="10"/>
      <c r="OGM30" s="11"/>
      <c r="OGN30" s="12"/>
      <c r="OGO30" s="12"/>
      <c r="OGP30" s="12"/>
      <c r="OGQ30" s="13"/>
      <c r="OGR30" s="9"/>
      <c r="OGS30" s="9"/>
      <c r="OGT30" s="9"/>
      <c r="OGU30" s="9"/>
      <c r="OGV30" s="10"/>
      <c r="OGW30" s="11"/>
      <c r="OGX30" s="12"/>
      <c r="OGY30" s="12"/>
      <c r="OGZ30" s="12"/>
      <c r="OHA30" s="13"/>
      <c r="OHB30" s="9"/>
      <c r="OHC30" s="9"/>
      <c r="OHD30" s="9"/>
      <c r="OHE30" s="9"/>
      <c r="OHF30" s="10"/>
      <c r="OHG30" s="11"/>
      <c r="OHH30" s="12"/>
      <c r="OHI30" s="12"/>
      <c r="OHJ30" s="12"/>
      <c r="OHK30" s="13"/>
      <c r="OHL30" s="9"/>
      <c r="OHM30" s="9"/>
      <c r="OHN30" s="9"/>
      <c r="OHO30" s="9"/>
      <c r="OHP30" s="10"/>
      <c r="OHQ30" s="11"/>
      <c r="OHR30" s="12"/>
      <c r="OHS30" s="12"/>
      <c r="OHT30" s="12"/>
      <c r="OHU30" s="13"/>
      <c r="OHV30" s="9"/>
      <c r="OHW30" s="9"/>
      <c r="OHX30" s="9"/>
      <c r="OHY30" s="9"/>
      <c r="OHZ30" s="10"/>
      <c r="OIA30" s="11"/>
      <c r="OIB30" s="12"/>
      <c r="OIC30" s="12"/>
      <c r="OID30" s="12"/>
      <c r="OIE30" s="13"/>
      <c r="OIF30" s="9"/>
      <c r="OIG30" s="9"/>
      <c r="OIH30" s="9"/>
      <c r="OII30" s="9"/>
      <c r="OIJ30" s="10"/>
      <c r="OIK30" s="11"/>
      <c r="OIL30" s="12"/>
      <c r="OIM30" s="12"/>
      <c r="OIN30" s="12"/>
      <c r="OIO30" s="13"/>
      <c r="OIP30" s="9"/>
      <c r="OIQ30" s="9"/>
      <c r="OIR30" s="9"/>
      <c r="OIS30" s="9"/>
      <c r="OIT30" s="10"/>
      <c r="OIU30" s="11"/>
      <c r="OIV30" s="12"/>
      <c r="OIW30" s="12"/>
      <c r="OIX30" s="12"/>
      <c r="OIY30" s="13"/>
      <c r="OIZ30" s="9"/>
      <c r="OJA30" s="9"/>
      <c r="OJB30" s="9"/>
      <c r="OJC30" s="9"/>
      <c r="OJD30" s="10"/>
      <c r="OJE30" s="11"/>
      <c r="OJF30" s="12"/>
      <c r="OJG30" s="12"/>
      <c r="OJH30" s="12"/>
      <c r="OJI30" s="13"/>
      <c r="OJJ30" s="9"/>
      <c r="OJK30" s="9"/>
      <c r="OJL30" s="9"/>
      <c r="OJM30" s="9"/>
      <c r="OJN30" s="10"/>
      <c r="OJO30" s="11"/>
      <c r="OJP30" s="12"/>
      <c r="OJQ30" s="12"/>
      <c r="OJR30" s="12"/>
      <c r="OJS30" s="13"/>
      <c r="OJT30" s="9"/>
      <c r="OJU30" s="9"/>
      <c r="OJV30" s="9"/>
      <c r="OJW30" s="9"/>
      <c r="OJX30" s="10"/>
      <c r="OJY30" s="11"/>
      <c r="OJZ30" s="12"/>
      <c r="OKA30" s="12"/>
      <c r="OKB30" s="12"/>
      <c r="OKC30" s="13"/>
      <c r="OKD30" s="9"/>
      <c r="OKE30" s="9"/>
      <c r="OKF30" s="9"/>
      <c r="OKG30" s="9"/>
      <c r="OKH30" s="10"/>
      <c r="OKI30" s="11"/>
      <c r="OKJ30" s="12"/>
      <c r="OKK30" s="12"/>
      <c r="OKL30" s="12"/>
      <c r="OKM30" s="13"/>
      <c r="OKN30" s="9"/>
      <c r="OKO30" s="9"/>
      <c r="OKP30" s="9"/>
      <c r="OKQ30" s="9"/>
      <c r="OKR30" s="10"/>
      <c r="OKS30" s="11"/>
      <c r="OKT30" s="12"/>
      <c r="OKU30" s="12"/>
      <c r="OKV30" s="12"/>
      <c r="OKW30" s="13"/>
      <c r="OKX30" s="9"/>
      <c r="OKY30" s="9"/>
      <c r="OKZ30" s="9"/>
      <c r="OLA30" s="9"/>
      <c r="OLB30" s="10"/>
      <c r="OLC30" s="11"/>
      <c r="OLD30" s="12"/>
      <c r="OLE30" s="12"/>
      <c r="OLF30" s="12"/>
      <c r="OLG30" s="13"/>
      <c r="OLH30" s="9"/>
      <c r="OLI30" s="9"/>
      <c r="OLJ30" s="9"/>
      <c r="OLK30" s="9"/>
      <c r="OLL30" s="10"/>
      <c r="OLM30" s="11"/>
      <c r="OLN30" s="12"/>
      <c r="OLO30" s="12"/>
      <c r="OLP30" s="12"/>
      <c r="OLQ30" s="13"/>
      <c r="OLR30" s="9"/>
      <c r="OLS30" s="9"/>
      <c r="OLT30" s="9"/>
      <c r="OLU30" s="9"/>
      <c r="OLV30" s="10"/>
      <c r="OLW30" s="11"/>
      <c r="OLX30" s="12"/>
      <c r="OLY30" s="12"/>
      <c r="OLZ30" s="12"/>
      <c r="OMA30" s="13"/>
      <c r="OMB30" s="9"/>
      <c r="OMC30" s="9"/>
      <c r="OMD30" s="9"/>
      <c r="OME30" s="9"/>
      <c r="OMF30" s="10"/>
      <c r="OMG30" s="11"/>
      <c r="OMH30" s="12"/>
      <c r="OMI30" s="12"/>
      <c r="OMJ30" s="12"/>
      <c r="OMK30" s="13"/>
      <c r="OML30" s="9"/>
      <c r="OMM30" s="9"/>
      <c r="OMN30" s="9"/>
      <c r="OMO30" s="9"/>
      <c r="OMP30" s="10"/>
      <c r="OMQ30" s="11"/>
      <c r="OMR30" s="12"/>
      <c r="OMS30" s="12"/>
      <c r="OMT30" s="12"/>
      <c r="OMU30" s="13"/>
      <c r="OMV30" s="9"/>
      <c r="OMW30" s="9"/>
      <c r="OMX30" s="9"/>
      <c r="OMY30" s="9"/>
      <c r="OMZ30" s="10"/>
      <c r="ONA30" s="11"/>
      <c r="ONB30" s="12"/>
      <c r="ONC30" s="12"/>
      <c r="OND30" s="12"/>
      <c r="ONE30" s="13"/>
      <c r="ONF30" s="9"/>
      <c r="ONG30" s="9"/>
      <c r="ONH30" s="9"/>
      <c r="ONI30" s="9"/>
      <c r="ONJ30" s="10"/>
      <c r="ONK30" s="11"/>
      <c r="ONL30" s="12"/>
      <c r="ONM30" s="12"/>
      <c r="ONN30" s="12"/>
      <c r="ONO30" s="13"/>
      <c r="ONP30" s="9"/>
      <c r="ONQ30" s="9"/>
      <c r="ONR30" s="9"/>
      <c r="ONS30" s="9"/>
      <c r="ONT30" s="10"/>
      <c r="ONU30" s="11"/>
      <c r="ONV30" s="12"/>
      <c r="ONW30" s="12"/>
      <c r="ONX30" s="12"/>
      <c r="ONY30" s="13"/>
      <c r="ONZ30" s="9"/>
      <c r="OOA30" s="9"/>
      <c r="OOB30" s="9"/>
      <c r="OOC30" s="9"/>
      <c r="OOD30" s="10"/>
      <c r="OOE30" s="11"/>
      <c r="OOF30" s="12"/>
      <c r="OOG30" s="12"/>
      <c r="OOH30" s="12"/>
      <c r="OOI30" s="13"/>
      <c r="OOJ30" s="9"/>
      <c r="OOK30" s="9"/>
      <c r="OOL30" s="9"/>
      <c r="OOM30" s="9"/>
      <c r="OON30" s="10"/>
      <c r="OOO30" s="11"/>
      <c r="OOP30" s="12"/>
      <c r="OOQ30" s="12"/>
      <c r="OOR30" s="12"/>
      <c r="OOS30" s="13"/>
      <c r="OOT30" s="9"/>
      <c r="OOU30" s="9"/>
      <c r="OOV30" s="9"/>
      <c r="OOW30" s="9"/>
      <c r="OOX30" s="10"/>
      <c r="OOY30" s="11"/>
      <c r="OOZ30" s="12"/>
      <c r="OPA30" s="12"/>
      <c r="OPB30" s="12"/>
      <c r="OPC30" s="13"/>
      <c r="OPD30" s="9"/>
      <c r="OPE30" s="9"/>
      <c r="OPF30" s="9"/>
      <c r="OPG30" s="9"/>
      <c r="OPH30" s="10"/>
      <c r="OPI30" s="11"/>
      <c r="OPJ30" s="12"/>
      <c r="OPK30" s="12"/>
      <c r="OPL30" s="12"/>
      <c r="OPM30" s="13"/>
      <c r="OPN30" s="9"/>
      <c r="OPO30" s="9"/>
      <c r="OPP30" s="9"/>
      <c r="OPQ30" s="9"/>
      <c r="OPR30" s="10"/>
      <c r="OPS30" s="11"/>
      <c r="OPT30" s="12"/>
      <c r="OPU30" s="12"/>
      <c r="OPV30" s="12"/>
      <c r="OPW30" s="13"/>
      <c r="OPX30" s="9"/>
      <c r="OPY30" s="9"/>
      <c r="OPZ30" s="9"/>
      <c r="OQA30" s="9"/>
      <c r="OQB30" s="10"/>
      <c r="OQC30" s="11"/>
      <c r="OQD30" s="12"/>
      <c r="OQE30" s="12"/>
      <c r="OQF30" s="12"/>
      <c r="OQG30" s="13"/>
      <c r="OQH30" s="9"/>
      <c r="OQI30" s="9"/>
      <c r="OQJ30" s="9"/>
      <c r="OQK30" s="9"/>
      <c r="OQL30" s="10"/>
      <c r="OQM30" s="11"/>
      <c r="OQN30" s="12"/>
      <c r="OQO30" s="12"/>
      <c r="OQP30" s="12"/>
      <c r="OQQ30" s="13"/>
      <c r="OQR30" s="9"/>
      <c r="OQS30" s="9"/>
      <c r="OQT30" s="9"/>
      <c r="OQU30" s="9"/>
      <c r="OQV30" s="10"/>
      <c r="OQW30" s="11"/>
      <c r="OQX30" s="12"/>
      <c r="OQY30" s="12"/>
      <c r="OQZ30" s="12"/>
      <c r="ORA30" s="13"/>
      <c r="ORB30" s="9"/>
      <c r="ORC30" s="9"/>
      <c r="ORD30" s="9"/>
      <c r="ORE30" s="9"/>
      <c r="ORF30" s="10"/>
      <c r="ORG30" s="11"/>
      <c r="ORH30" s="12"/>
      <c r="ORI30" s="12"/>
      <c r="ORJ30" s="12"/>
      <c r="ORK30" s="13"/>
      <c r="ORL30" s="9"/>
      <c r="ORM30" s="9"/>
      <c r="ORN30" s="9"/>
      <c r="ORO30" s="9"/>
      <c r="ORP30" s="10"/>
      <c r="ORQ30" s="11"/>
      <c r="ORR30" s="12"/>
      <c r="ORS30" s="12"/>
      <c r="ORT30" s="12"/>
      <c r="ORU30" s="13"/>
      <c r="ORV30" s="9"/>
      <c r="ORW30" s="9"/>
      <c r="ORX30" s="9"/>
      <c r="ORY30" s="9"/>
      <c r="ORZ30" s="10"/>
      <c r="OSA30" s="11"/>
      <c r="OSB30" s="12"/>
      <c r="OSC30" s="12"/>
      <c r="OSD30" s="12"/>
      <c r="OSE30" s="13"/>
      <c r="OSF30" s="9"/>
      <c r="OSG30" s="9"/>
      <c r="OSH30" s="9"/>
      <c r="OSI30" s="9"/>
      <c r="OSJ30" s="10"/>
      <c r="OSK30" s="11"/>
      <c r="OSL30" s="12"/>
      <c r="OSM30" s="12"/>
      <c r="OSN30" s="12"/>
      <c r="OSO30" s="13"/>
      <c r="OSP30" s="9"/>
      <c r="OSQ30" s="9"/>
      <c r="OSR30" s="9"/>
      <c r="OSS30" s="9"/>
      <c r="OST30" s="10"/>
      <c r="OSU30" s="11"/>
      <c r="OSV30" s="12"/>
      <c r="OSW30" s="12"/>
      <c r="OSX30" s="12"/>
      <c r="OSY30" s="13"/>
      <c r="OSZ30" s="9"/>
      <c r="OTA30" s="9"/>
      <c r="OTB30" s="9"/>
      <c r="OTC30" s="9"/>
      <c r="OTD30" s="10"/>
      <c r="OTE30" s="11"/>
      <c r="OTF30" s="12"/>
      <c r="OTG30" s="12"/>
      <c r="OTH30" s="12"/>
      <c r="OTI30" s="13"/>
      <c r="OTJ30" s="9"/>
      <c r="OTK30" s="9"/>
      <c r="OTL30" s="9"/>
      <c r="OTM30" s="9"/>
      <c r="OTN30" s="10"/>
      <c r="OTO30" s="11"/>
      <c r="OTP30" s="12"/>
      <c r="OTQ30" s="12"/>
      <c r="OTR30" s="12"/>
      <c r="OTS30" s="13"/>
      <c r="OTT30" s="9"/>
      <c r="OTU30" s="9"/>
      <c r="OTV30" s="9"/>
      <c r="OTW30" s="9"/>
      <c r="OTX30" s="10"/>
      <c r="OTY30" s="11"/>
      <c r="OTZ30" s="12"/>
      <c r="OUA30" s="12"/>
      <c r="OUB30" s="12"/>
      <c r="OUC30" s="13"/>
      <c r="OUD30" s="9"/>
      <c r="OUE30" s="9"/>
      <c r="OUF30" s="9"/>
      <c r="OUG30" s="9"/>
      <c r="OUH30" s="10"/>
      <c r="OUI30" s="11"/>
      <c r="OUJ30" s="12"/>
      <c r="OUK30" s="12"/>
      <c r="OUL30" s="12"/>
      <c r="OUM30" s="13"/>
      <c r="OUN30" s="9"/>
      <c r="OUO30" s="9"/>
      <c r="OUP30" s="9"/>
      <c r="OUQ30" s="9"/>
      <c r="OUR30" s="10"/>
      <c r="OUS30" s="11"/>
      <c r="OUT30" s="12"/>
      <c r="OUU30" s="12"/>
      <c r="OUV30" s="12"/>
      <c r="OUW30" s="13"/>
      <c r="OUX30" s="9"/>
      <c r="OUY30" s="9"/>
      <c r="OUZ30" s="9"/>
      <c r="OVA30" s="9"/>
      <c r="OVB30" s="10"/>
      <c r="OVC30" s="11"/>
      <c r="OVD30" s="12"/>
      <c r="OVE30" s="12"/>
      <c r="OVF30" s="12"/>
      <c r="OVG30" s="13"/>
      <c r="OVH30" s="9"/>
      <c r="OVI30" s="9"/>
      <c r="OVJ30" s="9"/>
      <c r="OVK30" s="9"/>
      <c r="OVL30" s="10"/>
      <c r="OVM30" s="11"/>
      <c r="OVN30" s="12"/>
      <c r="OVO30" s="12"/>
      <c r="OVP30" s="12"/>
      <c r="OVQ30" s="13"/>
      <c r="OVR30" s="9"/>
      <c r="OVS30" s="9"/>
      <c r="OVT30" s="9"/>
      <c r="OVU30" s="9"/>
      <c r="OVV30" s="10"/>
      <c r="OVW30" s="11"/>
      <c r="OVX30" s="12"/>
      <c r="OVY30" s="12"/>
      <c r="OVZ30" s="12"/>
      <c r="OWA30" s="13"/>
      <c r="OWB30" s="9"/>
      <c r="OWC30" s="9"/>
      <c r="OWD30" s="9"/>
      <c r="OWE30" s="9"/>
      <c r="OWF30" s="10"/>
      <c r="OWG30" s="11"/>
      <c r="OWH30" s="12"/>
      <c r="OWI30" s="12"/>
      <c r="OWJ30" s="12"/>
      <c r="OWK30" s="13"/>
      <c r="OWL30" s="9"/>
      <c r="OWM30" s="9"/>
      <c r="OWN30" s="9"/>
      <c r="OWO30" s="9"/>
      <c r="OWP30" s="10"/>
      <c r="OWQ30" s="11"/>
      <c r="OWR30" s="12"/>
      <c r="OWS30" s="12"/>
      <c r="OWT30" s="12"/>
      <c r="OWU30" s="13"/>
      <c r="OWV30" s="9"/>
      <c r="OWW30" s="9"/>
      <c r="OWX30" s="9"/>
      <c r="OWY30" s="9"/>
      <c r="OWZ30" s="10"/>
      <c r="OXA30" s="11"/>
      <c r="OXB30" s="12"/>
      <c r="OXC30" s="12"/>
      <c r="OXD30" s="12"/>
      <c r="OXE30" s="13"/>
      <c r="OXF30" s="9"/>
      <c r="OXG30" s="9"/>
      <c r="OXH30" s="9"/>
      <c r="OXI30" s="9"/>
      <c r="OXJ30" s="10"/>
      <c r="OXK30" s="11"/>
      <c r="OXL30" s="12"/>
      <c r="OXM30" s="12"/>
      <c r="OXN30" s="12"/>
      <c r="OXO30" s="13"/>
      <c r="OXP30" s="9"/>
      <c r="OXQ30" s="9"/>
      <c r="OXR30" s="9"/>
      <c r="OXS30" s="9"/>
      <c r="OXT30" s="10"/>
      <c r="OXU30" s="11"/>
      <c r="OXV30" s="12"/>
      <c r="OXW30" s="12"/>
      <c r="OXX30" s="12"/>
      <c r="OXY30" s="13"/>
      <c r="OXZ30" s="9"/>
      <c r="OYA30" s="9"/>
      <c r="OYB30" s="9"/>
      <c r="OYC30" s="9"/>
      <c r="OYD30" s="10"/>
      <c r="OYE30" s="11"/>
      <c r="OYF30" s="12"/>
      <c r="OYG30" s="12"/>
      <c r="OYH30" s="12"/>
      <c r="OYI30" s="13"/>
      <c r="OYJ30" s="9"/>
      <c r="OYK30" s="9"/>
      <c r="OYL30" s="9"/>
      <c r="OYM30" s="9"/>
      <c r="OYN30" s="10"/>
      <c r="OYO30" s="11"/>
      <c r="OYP30" s="12"/>
      <c r="OYQ30" s="12"/>
      <c r="OYR30" s="12"/>
      <c r="OYS30" s="13"/>
      <c r="OYT30" s="9"/>
      <c r="OYU30" s="9"/>
      <c r="OYV30" s="9"/>
      <c r="OYW30" s="9"/>
      <c r="OYX30" s="10"/>
      <c r="OYY30" s="11"/>
      <c r="OYZ30" s="12"/>
      <c r="OZA30" s="12"/>
      <c r="OZB30" s="12"/>
      <c r="OZC30" s="13"/>
      <c r="OZD30" s="9"/>
      <c r="OZE30" s="9"/>
      <c r="OZF30" s="9"/>
      <c r="OZG30" s="9"/>
      <c r="OZH30" s="10"/>
      <c r="OZI30" s="11"/>
      <c r="OZJ30" s="12"/>
      <c r="OZK30" s="12"/>
      <c r="OZL30" s="12"/>
      <c r="OZM30" s="13"/>
      <c r="OZN30" s="9"/>
      <c r="OZO30" s="9"/>
      <c r="OZP30" s="9"/>
      <c r="OZQ30" s="9"/>
      <c r="OZR30" s="10"/>
      <c r="OZS30" s="11"/>
      <c r="OZT30" s="12"/>
      <c r="OZU30" s="12"/>
      <c r="OZV30" s="12"/>
      <c r="OZW30" s="13"/>
      <c r="OZX30" s="9"/>
      <c r="OZY30" s="9"/>
      <c r="OZZ30" s="9"/>
      <c r="PAA30" s="9"/>
      <c r="PAB30" s="10"/>
      <c r="PAC30" s="11"/>
      <c r="PAD30" s="12"/>
      <c r="PAE30" s="12"/>
      <c r="PAF30" s="12"/>
      <c r="PAG30" s="13"/>
      <c r="PAH30" s="9"/>
      <c r="PAI30" s="9"/>
      <c r="PAJ30" s="9"/>
      <c r="PAK30" s="9"/>
      <c r="PAL30" s="10"/>
      <c r="PAM30" s="11"/>
      <c r="PAN30" s="12"/>
      <c r="PAO30" s="12"/>
      <c r="PAP30" s="12"/>
      <c r="PAQ30" s="13"/>
      <c r="PAR30" s="9"/>
      <c r="PAS30" s="9"/>
      <c r="PAT30" s="9"/>
      <c r="PAU30" s="9"/>
      <c r="PAV30" s="10"/>
      <c r="PAW30" s="11"/>
      <c r="PAX30" s="12"/>
      <c r="PAY30" s="12"/>
      <c r="PAZ30" s="12"/>
      <c r="PBA30" s="13"/>
      <c r="PBB30" s="9"/>
      <c r="PBC30" s="9"/>
      <c r="PBD30" s="9"/>
      <c r="PBE30" s="9"/>
      <c r="PBF30" s="10"/>
      <c r="PBG30" s="11"/>
      <c r="PBH30" s="12"/>
      <c r="PBI30" s="12"/>
      <c r="PBJ30" s="12"/>
      <c r="PBK30" s="13"/>
      <c r="PBL30" s="9"/>
      <c r="PBM30" s="9"/>
      <c r="PBN30" s="9"/>
      <c r="PBO30" s="9"/>
      <c r="PBP30" s="10"/>
      <c r="PBQ30" s="11"/>
      <c r="PBR30" s="12"/>
      <c r="PBS30" s="12"/>
      <c r="PBT30" s="12"/>
      <c r="PBU30" s="13"/>
      <c r="PBV30" s="9"/>
      <c r="PBW30" s="9"/>
      <c r="PBX30" s="9"/>
      <c r="PBY30" s="9"/>
      <c r="PBZ30" s="10"/>
      <c r="PCA30" s="11"/>
      <c r="PCB30" s="12"/>
      <c r="PCC30" s="12"/>
      <c r="PCD30" s="12"/>
      <c r="PCE30" s="13"/>
      <c r="PCF30" s="9"/>
      <c r="PCG30" s="9"/>
      <c r="PCH30" s="9"/>
      <c r="PCI30" s="9"/>
      <c r="PCJ30" s="10"/>
      <c r="PCK30" s="11"/>
      <c r="PCL30" s="12"/>
      <c r="PCM30" s="12"/>
      <c r="PCN30" s="12"/>
      <c r="PCO30" s="13"/>
      <c r="PCP30" s="9"/>
      <c r="PCQ30" s="9"/>
      <c r="PCR30" s="9"/>
      <c r="PCS30" s="9"/>
      <c r="PCT30" s="10"/>
      <c r="PCU30" s="11"/>
      <c r="PCV30" s="12"/>
      <c r="PCW30" s="12"/>
      <c r="PCX30" s="12"/>
      <c r="PCY30" s="13"/>
      <c r="PCZ30" s="9"/>
      <c r="PDA30" s="9"/>
      <c r="PDB30" s="9"/>
      <c r="PDC30" s="9"/>
      <c r="PDD30" s="10"/>
      <c r="PDE30" s="11"/>
      <c r="PDF30" s="12"/>
      <c r="PDG30" s="12"/>
      <c r="PDH30" s="12"/>
      <c r="PDI30" s="13"/>
      <c r="PDJ30" s="9"/>
      <c r="PDK30" s="9"/>
      <c r="PDL30" s="9"/>
      <c r="PDM30" s="9"/>
      <c r="PDN30" s="10"/>
      <c r="PDO30" s="11"/>
      <c r="PDP30" s="12"/>
      <c r="PDQ30" s="12"/>
      <c r="PDR30" s="12"/>
      <c r="PDS30" s="13"/>
      <c r="PDT30" s="9"/>
      <c r="PDU30" s="9"/>
      <c r="PDV30" s="9"/>
      <c r="PDW30" s="9"/>
      <c r="PDX30" s="10"/>
      <c r="PDY30" s="11"/>
      <c r="PDZ30" s="12"/>
      <c r="PEA30" s="12"/>
      <c r="PEB30" s="12"/>
      <c r="PEC30" s="13"/>
      <c r="PED30" s="9"/>
      <c r="PEE30" s="9"/>
      <c r="PEF30" s="9"/>
      <c r="PEG30" s="9"/>
      <c r="PEH30" s="10"/>
      <c r="PEI30" s="11"/>
      <c r="PEJ30" s="12"/>
      <c r="PEK30" s="12"/>
      <c r="PEL30" s="12"/>
      <c r="PEM30" s="13"/>
      <c r="PEN30" s="9"/>
      <c r="PEO30" s="9"/>
      <c r="PEP30" s="9"/>
      <c r="PEQ30" s="9"/>
      <c r="PER30" s="10"/>
      <c r="PES30" s="11"/>
      <c r="PET30" s="12"/>
      <c r="PEU30" s="12"/>
      <c r="PEV30" s="12"/>
      <c r="PEW30" s="13"/>
      <c r="PEX30" s="9"/>
      <c r="PEY30" s="9"/>
      <c r="PEZ30" s="9"/>
      <c r="PFA30" s="9"/>
      <c r="PFB30" s="10"/>
      <c r="PFC30" s="11"/>
      <c r="PFD30" s="12"/>
      <c r="PFE30" s="12"/>
      <c r="PFF30" s="12"/>
      <c r="PFG30" s="13"/>
      <c r="PFH30" s="9"/>
      <c r="PFI30" s="9"/>
      <c r="PFJ30" s="9"/>
      <c r="PFK30" s="9"/>
      <c r="PFL30" s="10"/>
      <c r="PFM30" s="11"/>
      <c r="PFN30" s="12"/>
      <c r="PFO30" s="12"/>
      <c r="PFP30" s="12"/>
      <c r="PFQ30" s="13"/>
      <c r="PFR30" s="9"/>
      <c r="PFS30" s="9"/>
      <c r="PFT30" s="9"/>
      <c r="PFU30" s="9"/>
      <c r="PFV30" s="10"/>
      <c r="PFW30" s="11"/>
      <c r="PFX30" s="12"/>
      <c r="PFY30" s="12"/>
      <c r="PFZ30" s="12"/>
      <c r="PGA30" s="13"/>
      <c r="PGB30" s="9"/>
      <c r="PGC30" s="9"/>
      <c r="PGD30" s="9"/>
      <c r="PGE30" s="9"/>
      <c r="PGF30" s="10"/>
      <c r="PGG30" s="11"/>
      <c r="PGH30" s="12"/>
      <c r="PGI30" s="12"/>
      <c r="PGJ30" s="12"/>
      <c r="PGK30" s="13"/>
      <c r="PGL30" s="9"/>
      <c r="PGM30" s="9"/>
      <c r="PGN30" s="9"/>
      <c r="PGO30" s="9"/>
      <c r="PGP30" s="10"/>
      <c r="PGQ30" s="11"/>
      <c r="PGR30" s="12"/>
      <c r="PGS30" s="12"/>
      <c r="PGT30" s="12"/>
      <c r="PGU30" s="13"/>
      <c r="PGV30" s="9"/>
      <c r="PGW30" s="9"/>
      <c r="PGX30" s="9"/>
      <c r="PGY30" s="9"/>
      <c r="PGZ30" s="10"/>
      <c r="PHA30" s="11"/>
      <c r="PHB30" s="12"/>
      <c r="PHC30" s="12"/>
      <c r="PHD30" s="12"/>
      <c r="PHE30" s="13"/>
      <c r="PHF30" s="9"/>
      <c r="PHG30" s="9"/>
      <c r="PHH30" s="9"/>
      <c r="PHI30" s="9"/>
      <c r="PHJ30" s="10"/>
      <c r="PHK30" s="11"/>
      <c r="PHL30" s="12"/>
      <c r="PHM30" s="12"/>
      <c r="PHN30" s="12"/>
      <c r="PHO30" s="13"/>
      <c r="PHP30" s="9"/>
      <c r="PHQ30" s="9"/>
      <c r="PHR30" s="9"/>
      <c r="PHS30" s="9"/>
      <c r="PHT30" s="10"/>
      <c r="PHU30" s="11"/>
      <c r="PHV30" s="12"/>
      <c r="PHW30" s="12"/>
      <c r="PHX30" s="12"/>
      <c r="PHY30" s="13"/>
      <c r="PHZ30" s="9"/>
      <c r="PIA30" s="9"/>
      <c r="PIB30" s="9"/>
      <c r="PIC30" s="9"/>
      <c r="PID30" s="10"/>
      <c r="PIE30" s="11"/>
      <c r="PIF30" s="12"/>
      <c r="PIG30" s="12"/>
      <c r="PIH30" s="12"/>
      <c r="PII30" s="13"/>
      <c r="PIJ30" s="9"/>
      <c r="PIK30" s="9"/>
      <c r="PIL30" s="9"/>
      <c r="PIM30" s="9"/>
      <c r="PIN30" s="10"/>
      <c r="PIO30" s="11"/>
      <c r="PIP30" s="12"/>
      <c r="PIQ30" s="12"/>
      <c r="PIR30" s="12"/>
      <c r="PIS30" s="13"/>
      <c r="PIT30" s="9"/>
      <c r="PIU30" s="9"/>
      <c r="PIV30" s="9"/>
      <c r="PIW30" s="9"/>
      <c r="PIX30" s="10"/>
      <c r="PIY30" s="11"/>
      <c r="PIZ30" s="12"/>
      <c r="PJA30" s="12"/>
      <c r="PJB30" s="12"/>
      <c r="PJC30" s="13"/>
      <c r="PJD30" s="9"/>
      <c r="PJE30" s="9"/>
      <c r="PJF30" s="9"/>
      <c r="PJG30" s="9"/>
      <c r="PJH30" s="10"/>
      <c r="PJI30" s="11"/>
      <c r="PJJ30" s="12"/>
      <c r="PJK30" s="12"/>
      <c r="PJL30" s="12"/>
      <c r="PJM30" s="13"/>
      <c r="PJN30" s="9"/>
      <c r="PJO30" s="9"/>
      <c r="PJP30" s="9"/>
      <c r="PJQ30" s="9"/>
      <c r="PJR30" s="10"/>
      <c r="PJS30" s="11"/>
      <c r="PJT30" s="12"/>
      <c r="PJU30" s="12"/>
      <c r="PJV30" s="12"/>
      <c r="PJW30" s="13"/>
      <c r="PJX30" s="9"/>
      <c r="PJY30" s="9"/>
      <c r="PJZ30" s="9"/>
      <c r="PKA30" s="9"/>
      <c r="PKB30" s="10"/>
      <c r="PKC30" s="11"/>
      <c r="PKD30" s="12"/>
      <c r="PKE30" s="12"/>
      <c r="PKF30" s="12"/>
      <c r="PKG30" s="13"/>
      <c r="PKH30" s="9"/>
      <c r="PKI30" s="9"/>
      <c r="PKJ30" s="9"/>
      <c r="PKK30" s="9"/>
      <c r="PKL30" s="10"/>
      <c r="PKM30" s="11"/>
      <c r="PKN30" s="12"/>
      <c r="PKO30" s="12"/>
      <c r="PKP30" s="12"/>
      <c r="PKQ30" s="13"/>
      <c r="PKR30" s="9"/>
      <c r="PKS30" s="9"/>
      <c r="PKT30" s="9"/>
      <c r="PKU30" s="9"/>
      <c r="PKV30" s="10"/>
      <c r="PKW30" s="11"/>
      <c r="PKX30" s="12"/>
      <c r="PKY30" s="12"/>
      <c r="PKZ30" s="12"/>
      <c r="PLA30" s="13"/>
      <c r="PLB30" s="9"/>
      <c r="PLC30" s="9"/>
      <c r="PLD30" s="9"/>
      <c r="PLE30" s="9"/>
      <c r="PLF30" s="10"/>
      <c r="PLG30" s="11"/>
      <c r="PLH30" s="12"/>
      <c r="PLI30" s="12"/>
      <c r="PLJ30" s="12"/>
      <c r="PLK30" s="13"/>
      <c r="PLL30" s="9"/>
      <c r="PLM30" s="9"/>
      <c r="PLN30" s="9"/>
      <c r="PLO30" s="9"/>
      <c r="PLP30" s="10"/>
      <c r="PLQ30" s="11"/>
      <c r="PLR30" s="12"/>
      <c r="PLS30" s="12"/>
      <c r="PLT30" s="12"/>
      <c r="PLU30" s="13"/>
      <c r="PLV30" s="9"/>
      <c r="PLW30" s="9"/>
      <c r="PLX30" s="9"/>
      <c r="PLY30" s="9"/>
      <c r="PLZ30" s="10"/>
      <c r="PMA30" s="11"/>
      <c r="PMB30" s="12"/>
      <c r="PMC30" s="12"/>
      <c r="PMD30" s="12"/>
      <c r="PME30" s="13"/>
      <c r="PMF30" s="9"/>
      <c r="PMG30" s="9"/>
      <c r="PMH30" s="9"/>
      <c r="PMI30" s="9"/>
      <c r="PMJ30" s="10"/>
      <c r="PMK30" s="11"/>
      <c r="PML30" s="12"/>
      <c r="PMM30" s="12"/>
      <c r="PMN30" s="12"/>
      <c r="PMO30" s="13"/>
      <c r="PMP30" s="9"/>
      <c r="PMQ30" s="9"/>
      <c r="PMR30" s="9"/>
      <c r="PMS30" s="9"/>
      <c r="PMT30" s="10"/>
      <c r="PMU30" s="11"/>
      <c r="PMV30" s="12"/>
      <c r="PMW30" s="12"/>
      <c r="PMX30" s="12"/>
      <c r="PMY30" s="13"/>
      <c r="PMZ30" s="9"/>
      <c r="PNA30" s="9"/>
      <c r="PNB30" s="9"/>
      <c r="PNC30" s="9"/>
      <c r="PND30" s="10"/>
      <c r="PNE30" s="11"/>
      <c r="PNF30" s="12"/>
      <c r="PNG30" s="12"/>
      <c r="PNH30" s="12"/>
      <c r="PNI30" s="13"/>
      <c r="PNJ30" s="9"/>
      <c r="PNK30" s="9"/>
      <c r="PNL30" s="9"/>
      <c r="PNM30" s="9"/>
      <c r="PNN30" s="10"/>
      <c r="PNO30" s="11"/>
      <c r="PNP30" s="12"/>
      <c r="PNQ30" s="12"/>
      <c r="PNR30" s="12"/>
      <c r="PNS30" s="13"/>
      <c r="PNT30" s="9"/>
      <c r="PNU30" s="9"/>
      <c r="PNV30" s="9"/>
      <c r="PNW30" s="9"/>
      <c r="PNX30" s="10"/>
      <c r="PNY30" s="11"/>
      <c r="PNZ30" s="12"/>
      <c r="POA30" s="12"/>
      <c r="POB30" s="12"/>
      <c r="POC30" s="13"/>
      <c r="POD30" s="9"/>
      <c r="POE30" s="9"/>
      <c r="POF30" s="9"/>
      <c r="POG30" s="9"/>
      <c r="POH30" s="10"/>
      <c r="POI30" s="11"/>
      <c r="POJ30" s="12"/>
      <c r="POK30" s="12"/>
      <c r="POL30" s="12"/>
      <c r="POM30" s="13"/>
      <c r="PON30" s="9"/>
      <c r="POO30" s="9"/>
      <c r="POP30" s="9"/>
      <c r="POQ30" s="9"/>
      <c r="POR30" s="10"/>
      <c r="POS30" s="11"/>
      <c r="POT30" s="12"/>
      <c r="POU30" s="12"/>
      <c r="POV30" s="12"/>
      <c r="POW30" s="13"/>
      <c r="POX30" s="9"/>
      <c r="POY30" s="9"/>
      <c r="POZ30" s="9"/>
      <c r="PPA30" s="9"/>
      <c r="PPB30" s="10"/>
      <c r="PPC30" s="11"/>
      <c r="PPD30" s="12"/>
      <c r="PPE30" s="12"/>
      <c r="PPF30" s="12"/>
      <c r="PPG30" s="13"/>
      <c r="PPH30" s="9"/>
      <c r="PPI30" s="9"/>
      <c r="PPJ30" s="9"/>
      <c r="PPK30" s="9"/>
      <c r="PPL30" s="10"/>
      <c r="PPM30" s="11"/>
      <c r="PPN30" s="12"/>
      <c r="PPO30" s="12"/>
      <c r="PPP30" s="12"/>
      <c r="PPQ30" s="13"/>
      <c r="PPR30" s="9"/>
      <c r="PPS30" s="9"/>
      <c r="PPT30" s="9"/>
      <c r="PPU30" s="9"/>
      <c r="PPV30" s="10"/>
      <c r="PPW30" s="11"/>
      <c r="PPX30" s="12"/>
      <c r="PPY30" s="12"/>
      <c r="PPZ30" s="12"/>
      <c r="PQA30" s="13"/>
      <c r="PQB30" s="9"/>
      <c r="PQC30" s="9"/>
      <c r="PQD30" s="9"/>
      <c r="PQE30" s="9"/>
      <c r="PQF30" s="10"/>
      <c r="PQG30" s="11"/>
      <c r="PQH30" s="12"/>
      <c r="PQI30" s="12"/>
      <c r="PQJ30" s="12"/>
      <c r="PQK30" s="13"/>
      <c r="PQL30" s="9"/>
      <c r="PQM30" s="9"/>
      <c r="PQN30" s="9"/>
      <c r="PQO30" s="9"/>
      <c r="PQP30" s="10"/>
      <c r="PQQ30" s="11"/>
      <c r="PQR30" s="12"/>
      <c r="PQS30" s="12"/>
      <c r="PQT30" s="12"/>
      <c r="PQU30" s="13"/>
      <c r="PQV30" s="9"/>
      <c r="PQW30" s="9"/>
      <c r="PQX30" s="9"/>
      <c r="PQY30" s="9"/>
      <c r="PQZ30" s="10"/>
      <c r="PRA30" s="11"/>
      <c r="PRB30" s="12"/>
      <c r="PRC30" s="12"/>
      <c r="PRD30" s="12"/>
      <c r="PRE30" s="13"/>
      <c r="PRF30" s="9"/>
      <c r="PRG30" s="9"/>
      <c r="PRH30" s="9"/>
      <c r="PRI30" s="9"/>
      <c r="PRJ30" s="10"/>
      <c r="PRK30" s="11"/>
      <c r="PRL30" s="12"/>
      <c r="PRM30" s="12"/>
      <c r="PRN30" s="12"/>
      <c r="PRO30" s="13"/>
      <c r="PRP30" s="9"/>
      <c r="PRQ30" s="9"/>
      <c r="PRR30" s="9"/>
      <c r="PRS30" s="9"/>
      <c r="PRT30" s="10"/>
      <c r="PRU30" s="11"/>
      <c r="PRV30" s="12"/>
      <c r="PRW30" s="12"/>
      <c r="PRX30" s="12"/>
      <c r="PRY30" s="13"/>
      <c r="PRZ30" s="9"/>
      <c r="PSA30" s="9"/>
      <c r="PSB30" s="9"/>
      <c r="PSC30" s="9"/>
      <c r="PSD30" s="10"/>
      <c r="PSE30" s="11"/>
      <c r="PSF30" s="12"/>
      <c r="PSG30" s="12"/>
      <c r="PSH30" s="12"/>
      <c r="PSI30" s="13"/>
      <c r="PSJ30" s="9"/>
      <c r="PSK30" s="9"/>
      <c r="PSL30" s="9"/>
      <c r="PSM30" s="9"/>
      <c r="PSN30" s="10"/>
      <c r="PSO30" s="11"/>
      <c r="PSP30" s="12"/>
      <c r="PSQ30" s="12"/>
      <c r="PSR30" s="12"/>
      <c r="PSS30" s="13"/>
      <c r="PST30" s="9"/>
      <c r="PSU30" s="9"/>
      <c r="PSV30" s="9"/>
      <c r="PSW30" s="9"/>
      <c r="PSX30" s="10"/>
      <c r="PSY30" s="11"/>
      <c r="PSZ30" s="12"/>
      <c r="PTA30" s="12"/>
      <c r="PTB30" s="12"/>
      <c r="PTC30" s="13"/>
      <c r="PTD30" s="9"/>
      <c r="PTE30" s="9"/>
      <c r="PTF30" s="9"/>
      <c r="PTG30" s="9"/>
      <c r="PTH30" s="10"/>
      <c r="PTI30" s="11"/>
      <c r="PTJ30" s="12"/>
      <c r="PTK30" s="12"/>
      <c r="PTL30" s="12"/>
      <c r="PTM30" s="13"/>
      <c r="PTN30" s="9"/>
      <c r="PTO30" s="9"/>
      <c r="PTP30" s="9"/>
      <c r="PTQ30" s="9"/>
      <c r="PTR30" s="10"/>
      <c r="PTS30" s="11"/>
      <c r="PTT30" s="12"/>
      <c r="PTU30" s="12"/>
      <c r="PTV30" s="12"/>
      <c r="PTW30" s="13"/>
      <c r="PTX30" s="9"/>
      <c r="PTY30" s="9"/>
      <c r="PTZ30" s="9"/>
      <c r="PUA30" s="9"/>
      <c r="PUB30" s="10"/>
      <c r="PUC30" s="11"/>
      <c r="PUD30" s="12"/>
      <c r="PUE30" s="12"/>
      <c r="PUF30" s="12"/>
      <c r="PUG30" s="13"/>
      <c r="PUH30" s="9"/>
      <c r="PUI30" s="9"/>
      <c r="PUJ30" s="9"/>
      <c r="PUK30" s="9"/>
      <c r="PUL30" s="10"/>
      <c r="PUM30" s="11"/>
      <c r="PUN30" s="12"/>
      <c r="PUO30" s="12"/>
      <c r="PUP30" s="12"/>
      <c r="PUQ30" s="13"/>
      <c r="PUR30" s="9"/>
      <c r="PUS30" s="9"/>
      <c r="PUT30" s="9"/>
      <c r="PUU30" s="9"/>
      <c r="PUV30" s="10"/>
      <c r="PUW30" s="11"/>
      <c r="PUX30" s="12"/>
      <c r="PUY30" s="12"/>
      <c r="PUZ30" s="12"/>
      <c r="PVA30" s="13"/>
      <c r="PVB30" s="9"/>
      <c r="PVC30" s="9"/>
      <c r="PVD30" s="9"/>
      <c r="PVE30" s="9"/>
      <c r="PVF30" s="10"/>
      <c r="PVG30" s="11"/>
      <c r="PVH30" s="12"/>
      <c r="PVI30" s="12"/>
      <c r="PVJ30" s="12"/>
      <c r="PVK30" s="13"/>
      <c r="PVL30" s="9"/>
      <c r="PVM30" s="9"/>
      <c r="PVN30" s="9"/>
      <c r="PVO30" s="9"/>
      <c r="PVP30" s="10"/>
      <c r="PVQ30" s="11"/>
      <c r="PVR30" s="12"/>
      <c r="PVS30" s="12"/>
      <c r="PVT30" s="12"/>
      <c r="PVU30" s="13"/>
      <c r="PVV30" s="9"/>
      <c r="PVW30" s="9"/>
      <c r="PVX30" s="9"/>
      <c r="PVY30" s="9"/>
      <c r="PVZ30" s="10"/>
      <c r="PWA30" s="11"/>
      <c r="PWB30" s="12"/>
      <c r="PWC30" s="12"/>
      <c r="PWD30" s="12"/>
      <c r="PWE30" s="13"/>
      <c r="PWF30" s="9"/>
      <c r="PWG30" s="9"/>
      <c r="PWH30" s="9"/>
      <c r="PWI30" s="9"/>
      <c r="PWJ30" s="10"/>
      <c r="PWK30" s="11"/>
      <c r="PWL30" s="12"/>
      <c r="PWM30" s="12"/>
      <c r="PWN30" s="12"/>
      <c r="PWO30" s="13"/>
      <c r="PWP30" s="9"/>
      <c r="PWQ30" s="9"/>
      <c r="PWR30" s="9"/>
      <c r="PWS30" s="9"/>
      <c r="PWT30" s="10"/>
      <c r="PWU30" s="11"/>
      <c r="PWV30" s="12"/>
      <c r="PWW30" s="12"/>
      <c r="PWX30" s="12"/>
      <c r="PWY30" s="13"/>
      <c r="PWZ30" s="9"/>
      <c r="PXA30" s="9"/>
      <c r="PXB30" s="9"/>
      <c r="PXC30" s="9"/>
      <c r="PXD30" s="10"/>
      <c r="PXE30" s="11"/>
      <c r="PXF30" s="12"/>
      <c r="PXG30" s="12"/>
      <c r="PXH30" s="12"/>
      <c r="PXI30" s="13"/>
      <c r="PXJ30" s="9"/>
      <c r="PXK30" s="9"/>
      <c r="PXL30" s="9"/>
      <c r="PXM30" s="9"/>
      <c r="PXN30" s="10"/>
      <c r="PXO30" s="11"/>
      <c r="PXP30" s="12"/>
      <c r="PXQ30" s="12"/>
      <c r="PXR30" s="12"/>
      <c r="PXS30" s="13"/>
      <c r="PXT30" s="9"/>
      <c r="PXU30" s="9"/>
      <c r="PXV30" s="9"/>
      <c r="PXW30" s="9"/>
      <c r="PXX30" s="10"/>
      <c r="PXY30" s="11"/>
      <c r="PXZ30" s="12"/>
      <c r="PYA30" s="12"/>
      <c r="PYB30" s="12"/>
      <c r="PYC30" s="13"/>
      <c r="PYD30" s="9"/>
      <c r="PYE30" s="9"/>
      <c r="PYF30" s="9"/>
      <c r="PYG30" s="9"/>
      <c r="PYH30" s="10"/>
      <c r="PYI30" s="11"/>
      <c r="PYJ30" s="12"/>
      <c r="PYK30" s="12"/>
      <c r="PYL30" s="12"/>
      <c r="PYM30" s="13"/>
      <c r="PYN30" s="9"/>
      <c r="PYO30" s="9"/>
      <c r="PYP30" s="9"/>
      <c r="PYQ30" s="9"/>
      <c r="PYR30" s="10"/>
      <c r="PYS30" s="11"/>
      <c r="PYT30" s="12"/>
      <c r="PYU30" s="12"/>
      <c r="PYV30" s="12"/>
      <c r="PYW30" s="13"/>
      <c r="PYX30" s="9"/>
      <c r="PYY30" s="9"/>
      <c r="PYZ30" s="9"/>
      <c r="PZA30" s="9"/>
      <c r="PZB30" s="10"/>
      <c r="PZC30" s="11"/>
      <c r="PZD30" s="12"/>
      <c r="PZE30" s="12"/>
      <c r="PZF30" s="12"/>
      <c r="PZG30" s="13"/>
      <c r="PZH30" s="9"/>
      <c r="PZI30" s="9"/>
      <c r="PZJ30" s="9"/>
      <c r="PZK30" s="9"/>
      <c r="PZL30" s="10"/>
      <c r="PZM30" s="11"/>
      <c r="PZN30" s="12"/>
      <c r="PZO30" s="12"/>
      <c r="PZP30" s="12"/>
      <c r="PZQ30" s="13"/>
      <c r="PZR30" s="9"/>
      <c r="PZS30" s="9"/>
      <c r="PZT30" s="9"/>
      <c r="PZU30" s="9"/>
      <c r="PZV30" s="10"/>
      <c r="PZW30" s="11"/>
      <c r="PZX30" s="12"/>
      <c r="PZY30" s="12"/>
      <c r="PZZ30" s="12"/>
      <c r="QAA30" s="13"/>
      <c r="QAB30" s="9"/>
      <c r="QAC30" s="9"/>
      <c r="QAD30" s="9"/>
      <c r="QAE30" s="9"/>
      <c r="QAF30" s="10"/>
      <c r="QAG30" s="11"/>
      <c r="QAH30" s="12"/>
      <c r="QAI30" s="12"/>
      <c r="QAJ30" s="12"/>
      <c r="QAK30" s="13"/>
      <c r="QAL30" s="9"/>
      <c r="QAM30" s="9"/>
      <c r="QAN30" s="9"/>
      <c r="QAO30" s="9"/>
      <c r="QAP30" s="10"/>
      <c r="QAQ30" s="11"/>
      <c r="QAR30" s="12"/>
      <c r="QAS30" s="12"/>
      <c r="QAT30" s="12"/>
      <c r="QAU30" s="13"/>
      <c r="QAV30" s="9"/>
      <c r="QAW30" s="9"/>
      <c r="QAX30" s="9"/>
      <c r="QAY30" s="9"/>
      <c r="QAZ30" s="10"/>
      <c r="QBA30" s="11"/>
      <c r="QBB30" s="12"/>
      <c r="QBC30" s="12"/>
      <c r="QBD30" s="12"/>
      <c r="QBE30" s="13"/>
      <c r="QBF30" s="9"/>
      <c r="QBG30" s="9"/>
      <c r="QBH30" s="9"/>
      <c r="QBI30" s="9"/>
      <c r="QBJ30" s="10"/>
      <c r="QBK30" s="11"/>
      <c r="QBL30" s="12"/>
      <c r="QBM30" s="12"/>
      <c r="QBN30" s="12"/>
      <c r="QBO30" s="13"/>
      <c r="QBP30" s="9"/>
      <c r="QBQ30" s="9"/>
      <c r="QBR30" s="9"/>
      <c r="QBS30" s="9"/>
      <c r="QBT30" s="10"/>
      <c r="QBU30" s="11"/>
      <c r="QBV30" s="12"/>
      <c r="QBW30" s="12"/>
      <c r="QBX30" s="12"/>
      <c r="QBY30" s="13"/>
      <c r="QBZ30" s="9"/>
      <c r="QCA30" s="9"/>
      <c r="QCB30" s="9"/>
      <c r="QCC30" s="9"/>
      <c r="QCD30" s="10"/>
      <c r="QCE30" s="11"/>
      <c r="QCF30" s="12"/>
      <c r="QCG30" s="12"/>
      <c r="QCH30" s="12"/>
      <c r="QCI30" s="13"/>
      <c r="QCJ30" s="9"/>
      <c r="QCK30" s="9"/>
      <c r="QCL30" s="9"/>
      <c r="QCM30" s="9"/>
      <c r="QCN30" s="10"/>
      <c r="QCO30" s="11"/>
      <c r="QCP30" s="12"/>
      <c r="QCQ30" s="12"/>
      <c r="QCR30" s="12"/>
      <c r="QCS30" s="13"/>
      <c r="QCT30" s="9"/>
      <c r="QCU30" s="9"/>
      <c r="QCV30" s="9"/>
      <c r="QCW30" s="9"/>
      <c r="QCX30" s="10"/>
      <c r="QCY30" s="11"/>
      <c r="QCZ30" s="12"/>
      <c r="QDA30" s="12"/>
      <c r="QDB30" s="12"/>
      <c r="QDC30" s="13"/>
      <c r="QDD30" s="9"/>
      <c r="QDE30" s="9"/>
      <c r="QDF30" s="9"/>
      <c r="QDG30" s="9"/>
      <c r="QDH30" s="10"/>
      <c r="QDI30" s="11"/>
      <c r="QDJ30" s="12"/>
      <c r="QDK30" s="12"/>
      <c r="QDL30" s="12"/>
      <c r="QDM30" s="13"/>
      <c r="QDN30" s="9"/>
      <c r="QDO30" s="9"/>
      <c r="QDP30" s="9"/>
      <c r="QDQ30" s="9"/>
      <c r="QDR30" s="10"/>
      <c r="QDS30" s="11"/>
      <c r="QDT30" s="12"/>
      <c r="QDU30" s="12"/>
      <c r="QDV30" s="12"/>
      <c r="QDW30" s="13"/>
      <c r="QDX30" s="9"/>
      <c r="QDY30" s="9"/>
      <c r="QDZ30" s="9"/>
      <c r="QEA30" s="9"/>
      <c r="QEB30" s="10"/>
      <c r="QEC30" s="11"/>
      <c r="QED30" s="12"/>
      <c r="QEE30" s="12"/>
      <c r="QEF30" s="12"/>
      <c r="QEG30" s="13"/>
      <c r="QEH30" s="9"/>
      <c r="QEI30" s="9"/>
      <c r="QEJ30" s="9"/>
      <c r="QEK30" s="9"/>
      <c r="QEL30" s="10"/>
      <c r="QEM30" s="11"/>
      <c r="QEN30" s="12"/>
      <c r="QEO30" s="12"/>
      <c r="QEP30" s="12"/>
      <c r="QEQ30" s="13"/>
      <c r="QER30" s="9"/>
      <c r="QES30" s="9"/>
      <c r="QET30" s="9"/>
      <c r="QEU30" s="9"/>
      <c r="QEV30" s="10"/>
      <c r="QEW30" s="11"/>
      <c r="QEX30" s="12"/>
      <c r="QEY30" s="12"/>
      <c r="QEZ30" s="12"/>
      <c r="QFA30" s="13"/>
      <c r="QFB30" s="9"/>
      <c r="QFC30" s="9"/>
      <c r="QFD30" s="9"/>
      <c r="QFE30" s="9"/>
      <c r="QFF30" s="10"/>
      <c r="QFG30" s="11"/>
      <c r="QFH30" s="12"/>
      <c r="QFI30" s="12"/>
      <c r="QFJ30" s="12"/>
      <c r="QFK30" s="13"/>
      <c r="QFL30" s="9"/>
      <c r="QFM30" s="9"/>
      <c r="QFN30" s="9"/>
      <c r="QFO30" s="9"/>
      <c r="QFP30" s="10"/>
      <c r="QFQ30" s="11"/>
      <c r="QFR30" s="12"/>
      <c r="QFS30" s="12"/>
      <c r="QFT30" s="12"/>
      <c r="QFU30" s="13"/>
      <c r="QFV30" s="9"/>
      <c r="QFW30" s="9"/>
      <c r="QFX30" s="9"/>
      <c r="QFY30" s="9"/>
      <c r="QFZ30" s="10"/>
      <c r="QGA30" s="11"/>
      <c r="QGB30" s="12"/>
      <c r="QGC30" s="12"/>
      <c r="QGD30" s="12"/>
      <c r="QGE30" s="13"/>
      <c r="QGF30" s="9"/>
      <c r="QGG30" s="9"/>
      <c r="QGH30" s="9"/>
      <c r="QGI30" s="9"/>
      <c r="QGJ30" s="10"/>
      <c r="QGK30" s="11"/>
      <c r="QGL30" s="12"/>
      <c r="QGM30" s="12"/>
      <c r="QGN30" s="12"/>
      <c r="QGO30" s="13"/>
      <c r="QGP30" s="9"/>
      <c r="QGQ30" s="9"/>
      <c r="QGR30" s="9"/>
      <c r="QGS30" s="9"/>
      <c r="QGT30" s="10"/>
      <c r="QGU30" s="11"/>
      <c r="QGV30" s="12"/>
      <c r="QGW30" s="12"/>
      <c r="QGX30" s="12"/>
      <c r="QGY30" s="13"/>
      <c r="QGZ30" s="9"/>
      <c r="QHA30" s="9"/>
      <c r="QHB30" s="9"/>
      <c r="QHC30" s="9"/>
      <c r="QHD30" s="10"/>
      <c r="QHE30" s="11"/>
      <c r="QHF30" s="12"/>
      <c r="QHG30" s="12"/>
      <c r="QHH30" s="12"/>
      <c r="QHI30" s="13"/>
      <c r="QHJ30" s="9"/>
      <c r="QHK30" s="9"/>
      <c r="QHL30" s="9"/>
      <c r="QHM30" s="9"/>
      <c r="QHN30" s="10"/>
      <c r="QHO30" s="11"/>
      <c r="QHP30" s="12"/>
      <c r="QHQ30" s="12"/>
      <c r="QHR30" s="12"/>
      <c r="QHS30" s="13"/>
      <c r="QHT30" s="9"/>
      <c r="QHU30" s="9"/>
      <c r="QHV30" s="9"/>
      <c r="QHW30" s="9"/>
      <c r="QHX30" s="10"/>
      <c r="QHY30" s="11"/>
      <c r="QHZ30" s="12"/>
      <c r="QIA30" s="12"/>
      <c r="QIB30" s="12"/>
      <c r="QIC30" s="13"/>
      <c r="QID30" s="9"/>
      <c r="QIE30" s="9"/>
      <c r="QIF30" s="9"/>
      <c r="QIG30" s="9"/>
      <c r="QIH30" s="10"/>
      <c r="QII30" s="11"/>
      <c r="QIJ30" s="12"/>
      <c r="QIK30" s="12"/>
      <c r="QIL30" s="12"/>
      <c r="QIM30" s="13"/>
      <c r="QIN30" s="9"/>
      <c r="QIO30" s="9"/>
      <c r="QIP30" s="9"/>
      <c r="QIQ30" s="9"/>
      <c r="QIR30" s="10"/>
      <c r="QIS30" s="11"/>
      <c r="QIT30" s="12"/>
      <c r="QIU30" s="12"/>
      <c r="QIV30" s="12"/>
      <c r="QIW30" s="13"/>
      <c r="QIX30" s="9"/>
      <c r="QIY30" s="9"/>
      <c r="QIZ30" s="9"/>
      <c r="QJA30" s="9"/>
      <c r="QJB30" s="10"/>
      <c r="QJC30" s="11"/>
      <c r="QJD30" s="12"/>
      <c r="QJE30" s="12"/>
      <c r="QJF30" s="12"/>
      <c r="QJG30" s="13"/>
      <c r="QJH30" s="9"/>
      <c r="QJI30" s="9"/>
      <c r="QJJ30" s="9"/>
      <c r="QJK30" s="9"/>
      <c r="QJL30" s="10"/>
      <c r="QJM30" s="11"/>
      <c r="QJN30" s="12"/>
      <c r="QJO30" s="12"/>
      <c r="QJP30" s="12"/>
      <c r="QJQ30" s="13"/>
      <c r="QJR30" s="9"/>
      <c r="QJS30" s="9"/>
      <c r="QJT30" s="9"/>
      <c r="QJU30" s="9"/>
      <c r="QJV30" s="10"/>
      <c r="QJW30" s="11"/>
      <c r="QJX30" s="12"/>
      <c r="QJY30" s="12"/>
      <c r="QJZ30" s="12"/>
      <c r="QKA30" s="13"/>
      <c r="QKB30" s="9"/>
      <c r="QKC30" s="9"/>
      <c r="QKD30" s="9"/>
      <c r="QKE30" s="9"/>
      <c r="QKF30" s="10"/>
      <c r="QKG30" s="11"/>
      <c r="QKH30" s="12"/>
      <c r="QKI30" s="12"/>
      <c r="QKJ30" s="12"/>
      <c r="QKK30" s="13"/>
      <c r="QKL30" s="9"/>
      <c r="QKM30" s="9"/>
      <c r="QKN30" s="9"/>
      <c r="QKO30" s="9"/>
      <c r="QKP30" s="10"/>
      <c r="QKQ30" s="11"/>
      <c r="QKR30" s="12"/>
      <c r="QKS30" s="12"/>
      <c r="QKT30" s="12"/>
      <c r="QKU30" s="13"/>
      <c r="QKV30" s="9"/>
      <c r="QKW30" s="9"/>
      <c r="QKX30" s="9"/>
      <c r="QKY30" s="9"/>
      <c r="QKZ30" s="10"/>
      <c r="QLA30" s="11"/>
      <c r="QLB30" s="12"/>
      <c r="QLC30" s="12"/>
      <c r="QLD30" s="12"/>
      <c r="QLE30" s="13"/>
      <c r="QLF30" s="9"/>
      <c r="QLG30" s="9"/>
      <c r="QLH30" s="9"/>
      <c r="QLI30" s="9"/>
      <c r="QLJ30" s="10"/>
      <c r="QLK30" s="11"/>
      <c r="QLL30" s="12"/>
      <c r="QLM30" s="12"/>
      <c r="QLN30" s="12"/>
      <c r="QLO30" s="13"/>
      <c r="QLP30" s="9"/>
      <c r="QLQ30" s="9"/>
      <c r="QLR30" s="9"/>
      <c r="QLS30" s="9"/>
      <c r="QLT30" s="10"/>
      <c r="QLU30" s="11"/>
      <c r="QLV30" s="12"/>
      <c r="QLW30" s="12"/>
      <c r="QLX30" s="12"/>
      <c r="QLY30" s="13"/>
      <c r="QLZ30" s="9"/>
      <c r="QMA30" s="9"/>
      <c r="QMB30" s="9"/>
      <c r="QMC30" s="9"/>
      <c r="QMD30" s="10"/>
      <c r="QME30" s="11"/>
      <c r="QMF30" s="12"/>
      <c r="QMG30" s="12"/>
      <c r="QMH30" s="12"/>
      <c r="QMI30" s="13"/>
      <c r="QMJ30" s="9"/>
      <c r="QMK30" s="9"/>
      <c r="QML30" s="9"/>
      <c r="QMM30" s="9"/>
      <c r="QMN30" s="10"/>
      <c r="QMO30" s="11"/>
      <c r="QMP30" s="12"/>
      <c r="QMQ30" s="12"/>
      <c r="QMR30" s="12"/>
      <c r="QMS30" s="13"/>
      <c r="QMT30" s="9"/>
      <c r="QMU30" s="9"/>
      <c r="QMV30" s="9"/>
      <c r="QMW30" s="9"/>
      <c r="QMX30" s="10"/>
      <c r="QMY30" s="11"/>
      <c r="QMZ30" s="12"/>
      <c r="QNA30" s="12"/>
      <c r="QNB30" s="12"/>
      <c r="QNC30" s="13"/>
      <c r="QND30" s="9"/>
      <c r="QNE30" s="9"/>
      <c r="QNF30" s="9"/>
      <c r="QNG30" s="9"/>
      <c r="QNH30" s="10"/>
      <c r="QNI30" s="11"/>
      <c r="QNJ30" s="12"/>
      <c r="QNK30" s="12"/>
      <c r="QNL30" s="12"/>
      <c r="QNM30" s="13"/>
      <c r="QNN30" s="9"/>
      <c r="QNO30" s="9"/>
      <c r="QNP30" s="9"/>
      <c r="QNQ30" s="9"/>
      <c r="QNR30" s="10"/>
      <c r="QNS30" s="11"/>
      <c r="QNT30" s="12"/>
      <c r="QNU30" s="12"/>
      <c r="QNV30" s="12"/>
      <c r="QNW30" s="13"/>
      <c r="QNX30" s="9"/>
      <c r="QNY30" s="9"/>
      <c r="QNZ30" s="9"/>
      <c r="QOA30" s="9"/>
      <c r="QOB30" s="10"/>
      <c r="QOC30" s="11"/>
      <c r="QOD30" s="12"/>
      <c r="QOE30" s="12"/>
      <c r="QOF30" s="12"/>
      <c r="QOG30" s="13"/>
      <c r="QOH30" s="9"/>
      <c r="QOI30" s="9"/>
      <c r="QOJ30" s="9"/>
      <c r="QOK30" s="9"/>
      <c r="QOL30" s="10"/>
      <c r="QOM30" s="11"/>
      <c r="QON30" s="12"/>
      <c r="QOO30" s="12"/>
      <c r="QOP30" s="12"/>
      <c r="QOQ30" s="13"/>
      <c r="QOR30" s="9"/>
      <c r="QOS30" s="9"/>
      <c r="QOT30" s="9"/>
      <c r="QOU30" s="9"/>
      <c r="QOV30" s="10"/>
      <c r="QOW30" s="11"/>
      <c r="QOX30" s="12"/>
      <c r="QOY30" s="12"/>
      <c r="QOZ30" s="12"/>
      <c r="QPA30" s="13"/>
      <c r="QPB30" s="9"/>
      <c r="QPC30" s="9"/>
      <c r="QPD30" s="9"/>
      <c r="QPE30" s="9"/>
      <c r="QPF30" s="10"/>
      <c r="QPG30" s="11"/>
      <c r="QPH30" s="12"/>
      <c r="QPI30" s="12"/>
      <c r="QPJ30" s="12"/>
      <c r="QPK30" s="13"/>
      <c r="QPL30" s="9"/>
      <c r="QPM30" s="9"/>
      <c r="QPN30" s="9"/>
      <c r="QPO30" s="9"/>
      <c r="QPP30" s="10"/>
      <c r="QPQ30" s="11"/>
      <c r="QPR30" s="12"/>
      <c r="QPS30" s="12"/>
      <c r="QPT30" s="12"/>
      <c r="QPU30" s="13"/>
      <c r="QPV30" s="9"/>
      <c r="QPW30" s="9"/>
      <c r="QPX30" s="9"/>
      <c r="QPY30" s="9"/>
      <c r="QPZ30" s="10"/>
      <c r="QQA30" s="11"/>
      <c r="QQB30" s="12"/>
      <c r="QQC30" s="12"/>
      <c r="QQD30" s="12"/>
      <c r="QQE30" s="13"/>
      <c r="QQF30" s="9"/>
      <c r="QQG30" s="9"/>
      <c r="QQH30" s="9"/>
      <c r="QQI30" s="9"/>
      <c r="QQJ30" s="10"/>
      <c r="QQK30" s="11"/>
      <c r="QQL30" s="12"/>
      <c r="QQM30" s="12"/>
      <c r="QQN30" s="12"/>
      <c r="QQO30" s="13"/>
      <c r="QQP30" s="9"/>
      <c r="QQQ30" s="9"/>
      <c r="QQR30" s="9"/>
      <c r="QQS30" s="9"/>
      <c r="QQT30" s="10"/>
      <c r="QQU30" s="11"/>
      <c r="QQV30" s="12"/>
      <c r="QQW30" s="12"/>
      <c r="QQX30" s="12"/>
      <c r="QQY30" s="13"/>
      <c r="QQZ30" s="9"/>
      <c r="QRA30" s="9"/>
      <c r="QRB30" s="9"/>
      <c r="QRC30" s="9"/>
      <c r="QRD30" s="10"/>
      <c r="QRE30" s="11"/>
      <c r="QRF30" s="12"/>
      <c r="QRG30" s="12"/>
      <c r="QRH30" s="12"/>
      <c r="QRI30" s="13"/>
      <c r="QRJ30" s="9"/>
      <c r="QRK30" s="9"/>
      <c r="QRL30" s="9"/>
      <c r="QRM30" s="9"/>
      <c r="QRN30" s="10"/>
      <c r="QRO30" s="11"/>
      <c r="QRP30" s="12"/>
      <c r="QRQ30" s="12"/>
      <c r="QRR30" s="12"/>
      <c r="QRS30" s="13"/>
      <c r="QRT30" s="9"/>
      <c r="QRU30" s="9"/>
      <c r="QRV30" s="9"/>
      <c r="QRW30" s="9"/>
      <c r="QRX30" s="10"/>
      <c r="QRY30" s="11"/>
      <c r="QRZ30" s="12"/>
      <c r="QSA30" s="12"/>
      <c r="QSB30" s="12"/>
      <c r="QSC30" s="13"/>
      <c r="QSD30" s="9"/>
      <c r="QSE30" s="9"/>
      <c r="QSF30" s="9"/>
      <c r="QSG30" s="9"/>
      <c r="QSH30" s="10"/>
      <c r="QSI30" s="11"/>
      <c r="QSJ30" s="12"/>
      <c r="QSK30" s="12"/>
      <c r="QSL30" s="12"/>
      <c r="QSM30" s="13"/>
      <c r="QSN30" s="9"/>
      <c r="QSO30" s="9"/>
      <c r="QSP30" s="9"/>
      <c r="QSQ30" s="9"/>
      <c r="QSR30" s="10"/>
      <c r="QSS30" s="11"/>
      <c r="QST30" s="12"/>
      <c r="QSU30" s="12"/>
      <c r="QSV30" s="12"/>
      <c r="QSW30" s="13"/>
      <c r="QSX30" s="9"/>
      <c r="QSY30" s="9"/>
      <c r="QSZ30" s="9"/>
      <c r="QTA30" s="9"/>
      <c r="QTB30" s="10"/>
      <c r="QTC30" s="11"/>
      <c r="QTD30" s="12"/>
      <c r="QTE30" s="12"/>
      <c r="QTF30" s="12"/>
      <c r="QTG30" s="13"/>
      <c r="QTH30" s="9"/>
      <c r="QTI30" s="9"/>
      <c r="QTJ30" s="9"/>
      <c r="QTK30" s="9"/>
      <c r="QTL30" s="10"/>
      <c r="QTM30" s="11"/>
      <c r="QTN30" s="12"/>
      <c r="QTO30" s="12"/>
      <c r="QTP30" s="12"/>
      <c r="QTQ30" s="13"/>
      <c r="QTR30" s="9"/>
      <c r="QTS30" s="9"/>
      <c r="QTT30" s="9"/>
      <c r="QTU30" s="9"/>
      <c r="QTV30" s="10"/>
      <c r="QTW30" s="11"/>
      <c r="QTX30" s="12"/>
      <c r="QTY30" s="12"/>
      <c r="QTZ30" s="12"/>
      <c r="QUA30" s="13"/>
      <c r="QUB30" s="9"/>
      <c r="QUC30" s="9"/>
      <c r="QUD30" s="9"/>
      <c r="QUE30" s="9"/>
      <c r="QUF30" s="10"/>
      <c r="QUG30" s="11"/>
      <c r="QUH30" s="12"/>
      <c r="QUI30" s="12"/>
      <c r="QUJ30" s="12"/>
      <c r="QUK30" s="13"/>
      <c r="QUL30" s="9"/>
      <c r="QUM30" s="9"/>
      <c r="QUN30" s="9"/>
      <c r="QUO30" s="9"/>
      <c r="QUP30" s="10"/>
      <c r="QUQ30" s="11"/>
      <c r="QUR30" s="12"/>
      <c r="QUS30" s="12"/>
      <c r="QUT30" s="12"/>
      <c r="QUU30" s="13"/>
      <c r="QUV30" s="9"/>
      <c r="QUW30" s="9"/>
      <c r="QUX30" s="9"/>
      <c r="QUY30" s="9"/>
      <c r="QUZ30" s="10"/>
      <c r="QVA30" s="11"/>
      <c r="QVB30" s="12"/>
      <c r="QVC30" s="12"/>
      <c r="QVD30" s="12"/>
      <c r="QVE30" s="13"/>
      <c r="QVF30" s="9"/>
      <c r="QVG30" s="9"/>
      <c r="QVH30" s="9"/>
      <c r="QVI30" s="9"/>
      <c r="QVJ30" s="10"/>
      <c r="QVK30" s="11"/>
      <c r="QVL30" s="12"/>
      <c r="QVM30" s="12"/>
      <c r="QVN30" s="12"/>
      <c r="QVO30" s="13"/>
      <c r="QVP30" s="9"/>
      <c r="QVQ30" s="9"/>
      <c r="QVR30" s="9"/>
      <c r="QVS30" s="9"/>
      <c r="QVT30" s="10"/>
      <c r="QVU30" s="11"/>
      <c r="QVV30" s="12"/>
      <c r="QVW30" s="12"/>
      <c r="QVX30" s="12"/>
      <c r="QVY30" s="13"/>
      <c r="QVZ30" s="9"/>
      <c r="QWA30" s="9"/>
      <c r="QWB30" s="9"/>
      <c r="QWC30" s="9"/>
      <c r="QWD30" s="10"/>
      <c r="QWE30" s="11"/>
      <c r="QWF30" s="12"/>
      <c r="QWG30" s="12"/>
      <c r="QWH30" s="12"/>
      <c r="QWI30" s="13"/>
      <c r="QWJ30" s="9"/>
      <c r="QWK30" s="9"/>
      <c r="QWL30" s="9"/>
      <c r="QWM30" s="9"/>
      <c r="QWN30" s="10"/>
      <c r="QWO30" s="11"/>
      <c r="QWP30" s="12"/>
      <c r="QWQ30" s="12"/>
      <c r="QWR30" s="12"/>
      <c r="QWS30" s="13"/>
      <c r="QWT30" s="9"/>
      <c r="QWU30" s="9"/>
      <c r="QWV30" s="9"/>
      <c r="QWW30" s="9"/>
      <c r="QWX30" s="10"/>
      <c r="QWY30" s="11"/>
      <c r="QWZ30" s="12"/>
      <c r="QXA30" s="12"/>
      <c r="QXB30" s="12"/>
      <c r="QXC30" s="13"/>
      <c r="QXD30" s="9"/>
      <c r="QXE30" s="9"/>
      <c r="QXF30" s="9"/>
      <c r="QXG30" s="9"/>
      <c r="QXH30" s="10"/>
      <c r="QXI30" s="11"/>
      <c r="QXJ30" s="12"/>
      <c r="QXK30" s="12"/>
      <c r="QXL30" s="12"/>
      <c r="QXM30" s="13"/>
      <c r="QXN30" s="9"/>
      <c r="QXO30" s="9"/>
      <c r="QXP30" s="9"/>
      <c r="QXQ30" s="9"/>
      <c r="QXR30" s="10"/>
      <c r="QXS30" s="11"/>
      <c r="QXT30" s="12"/>
      <c r="QXU30" s="12"/>
      <c r="QXV30" s="12"/>
      <c r="QXW30" s="13"/>
      <c r="QXX30" s="9"/>
      <c r="QXY30" s="9"/>
      <c r="QXZ30" s="9"/>
      <c r="QYA30" s="9"/>
      <c r="QYB30" s="10"/>
      <c r="QYC30" s="11"/>
      <c r="QYD30" s="12"/>
      <c r="QYE30" s="12"/>
      <c r="QYF30" s="12"/>
      <c r="QYG30" s="13"/>
      <c r="QYH30" s="9"/>
      <c r="QYI30" s="9"/>
      <c r="QYJ30" s="9"/>
      <c r="QYK30" s="9"/>
      <c r="QYL30" s="10"/>
      <c r="QYM30" s="11"/>
      <c r="QYN30" s="12"/>
      <c r="QYO30" s="12"/>
      <c r="QYP30" s="12"/>
      <c r="QYQ30" s="13"/>
      <c r="QYR30" s="9"/>
      <c r="QYS30" s="9"/>
      <c r="QYT30" s="9"/>
      <c r="QYU30" s="9"/>
      <c r="QYV30" s="10"/>
      <c r="QYW30" s="11"/>
      <c r="QYX30" s="12"/>
      <c r="QYY30" s="12"/>
      <c r="QYZ30" s="12"/>
      <c r="QZA30" s="13"/>
      <c r="QZB30" s="9"/>
      <c r="QZC30" s="9"/>
      <c r="QZD30" s="9"/>
      <c r="QZE30" s="9"/>
      <c r="QZF30" s="10"/>
      <c r="QZG30" s="11"/>
      <c r="QZH30" s="12"/>
      <c r="QZI30" s="12"/>
      <c r="QZJ30" s="12"/>
      <c r="QZK30" s="13"/>
      <c r="QZL30" s="9"/>
      <c r="QZM30" s="9"/>
      <c r="QZN30" s="9"/>
      <c r="QZO30" s="9"/>
      <c r="QZP30" s="10"/>
      <c r="QZQ30" s="11"/>
      <c r="QZR30" s="12"/>
      <c r="QZS30" s="12"/>
      <c r="QZT30" s="12"/>
      <c r="QZU30" s="13"/>
      <c r="QZV30" s="9"/>
      <c r="QZW30" s="9"/>
      <c r="QZX30" s="9"/>
      <c r="QZY30" s="9"/>
      <c r="QZZ30" s="10"/>
      <c r="RAA30" s="11"/>
      <c r="RAB30" s="12"/>
      <c r="RAC30" s="12"/>
      <c r="RAD30" s="12"/>
      <c r="RAE30" s="13"/>
      <c r="RAF30" s="9"/>
      <c r="RAG30" s="9"/>
      <c r="RAH30" s="9"/>
      <c r="RAI30" s="9"/>
      <c r="RAJ30" s="10"/>
      <c r="RAK30" s="11"/>
      <c r="RAL30" s="12"/>
      <c r="RAM30" s="12"/>
      <c r="RAN30" s="12"/>
      <c r="RAO30" s="13"/>
      <c r="RAP30" s="9"/>
      <c r="RAQ30" s="9"/>
      <c r="RAR30" s="9"/>
      <c r="RAS30" s="9"/>
      <c r="RAT30" s="10"/>
      <c r="RAU30" s="11"/>
      <c r="RAV30" s="12"/>
      <c r="RAW30" s="12"/>
      <c r="RAX30" s="12"/>
      <c r="RAY30" s="13"/>
      <c r="RAZ30" s="9"/>
      <c r="RBA30" s="9"/>
      <c r="RBB30" s="9"/>
      <c r="RBC30" s="9"/>
      <c r="RBD30" s="10"/>
      <c r="RBE30" s="11"/>
      <c r="RBF30" s="12"/>
      <c r="RBG30" s="12"/>
      <c r="RBH30" s="12"/>
      <c r="RBI30" s="13"/>
      <c r="RBJ30" s="9"/>
      <c r="RBK30" s="9"/>
      <c r="RBL30" s="9"/>
      <c r="RBM30" s="9"/>
      <c r="RBN30" s="10"/>
      <c r="RBO30" s="11"/>
      <c r="RBP30" s="12"/>
      <c r="RBQ30" s="12"/>
      <c r="RBR30" s="12"/>
      <c r="RBS30" s="13"/>
      <c r="RBT30" s="9"/>
      <c r="RBU30" s="9"/>
      <c r="RBV30" s="9"/>
      <c r="RBW30" s="9"/>
      <c r="RBX30" s="10"/>
      <c r="RBY30" s="11"/>
      <c r="RBZ30" s="12"/>
      <c r="RCA30" s="12"/>
      <c r="RCB30" s="12"/>
      <c r="RCC30" s="13"/>
      <c r="RCD30" s="9"/>
      <c r="RCE30" s="9"/>
      <c r="RCF30" s="9"/>
      <c r="RCG30" s="9"/>
      <c r="RCH30" s="10"/>
      <c r="RCI30" s="11"/>
      <c r="RCJ30" s="12"/>
      <c r="RCK30" s="12"/>
      <c r="RCL30" s="12"/>
      <c r="RCM30" s="13"/>
      <c r="RCN30" s="9"/>
      <c r="RCO30" s="9"/>
      <c r="RCP30" s="9"/>
      <c r="RCQ30" s="9"/>
      <c r="RCR30" s="10"/>
      <c r="RCS30" s="11"/>
      <c r="RCT30" s="12"/>
      <c r="RCU30" s="12"/>
      <c r="RCV30" s="12"/>
      <c r="RCW30" s="13"/>
      <c r="RCX30" s="9"/>
      <c r="RCY30" s="9"/>
      <c r="RCZ30" s="9"/>
      <c r="RDA30" s="9"/>
      <c r="RDB30" s="10"/>
      <c r="RDC30" s="11"/>
      <c r="RDD30" s="12"/>
      <c r="RDE30" s="12"/>
      <c r="RDF30" s="12"/>
      <c r="RDG30" s="13"/>
      <c r="RDH30" s="9"/>
      <c r="RDI30" s="9"/>
      <c r="RDJ30" s="9"/>
      <c r="RDK30" s="9"/>
      <c r="RDL30" s="10"/>
      <c r="RDM30" s="11"/>
      <c r="RDN30" s="12"/>
      <c r="RDO30" s="12"/>
      <c r="RDP30" s="12"/>
      <c r="RDQ30" s="13"/>
      <c r="RDR30" s="9"/>
      <c r="RDS30" s="9"/>
      <c r="RDT30" s="9"/>
      <c r="RDU30" s="9"/>
      <c r="RDV30" s="10"/>
      <c r="RDW30" s="11"/>
      <c r="RDX30" s="12"/>
      <c r="RDY30" s="12"/>
      <c r="RDZ30" s="12"/>
      <c r="REA30" s="13"/>
      <c r="REB30" s="9"/>
      <c r="REC30" s="9"/>
      <c r="RED30" s="9"/>
      <c r="REE30" s="9"/>
      <c r="REF30" s="10"/>
      <c r="REG30" s="11"/>
      <c r="REH30" s="12"/>
      <c r="REI30" s="12"/>
      <c r="REJ30" s="12"/>
      <c r="REK30" s="13"/>
      <c r="REL30" s="9"/>
      <c r="REM30" s="9"/>
      <c r="REN30" s="9"/>
      <c r="REO30" s="9"/>
      <c r="REP30" s="10"/>
      <c r="REQ30" s="11"/>
      <c r="RER30" s="12"/>
      <c r="RES30" s="12"/>
      <c r="RET30" s="12"/>
      <c r="REU30" s="13"/>
      <c r="REV30" s="9"/>
      <c r="REW30" s="9"/>
      <c r="REX30" s="9"/>
      <c r="REY30" s="9"/>
      <c r="REZ30" s="10"/>
      <c r="RFA30" s="11"/>
      <c r="RFB30" s="12"/>
      <c r="RFC30" s="12"/>
      <c r="RFD30" s="12"/>
      <c r="RFE30" s="13"/>
      <c r="RFF30" s="9"/>
      <c r="RFG30" s="9"/>
      <c r="RFH30" s="9"/>
      <c r="RFI30" s="9"/>
      <c r="RFJ30" s="10"/>
      <c r="RFK30" s="11"/>
      <c r="RFL30" s="12"/>
      <c r="RFM30" s="12"/>
      <c r="RFN30" s="12"/>
      <c r="RFO30" s="13"/>
      <c r="RFP30" s="9"/>
      <c r="RFQ30" s="9"/>
      <c r="RFR30" s="9"/>
      <c r="RFS30" s="9"/>
      <c r="RFT30" s="10"/>
      <c r="RFU30" s="11"/>
      <c r="RFV30" s="12"/>
      <c r="RFW30" s="12"/>
      <c r="RFX30" s="12"/>
      <c r="RFY30" s="13"/>
      <c r="RFZ30" s="9"/>
      <c r="RGA30" s="9"/>
      <c r="RGB30" s="9"/>
      <c r="RGC30" s="9"/>
      <c r="RGD30" s="10"/>
      <c r="RGE30" s="11"/>
      <c r="RGF30" s="12"/>
      <c r="RGG30" s="12"/>
      <c r="RGH30" s="12"/>
      <c r="RGI30" s="13"/>
      <c r="RGJ30" s="9"/>
      <c r="RGK30" s="9"/>
      <c r="RGL30" s="9"/>
      <c r="RGM30" s="9"/>
      <c r="RGN30" s="10"/>
      <c r="RGO30" s="11"/>
      <c r="RGP30" s="12"/>
      <c r="RGQ30" s="12"/>
      <c r="RGR30" s="12"/>
      <c r="RGS30" s="13"/>
      <c r="RGT30" s="9"/>
      <c r="RGU30" s="9"/>
      <c r="RGV30" s="9"/>
      <c r="RGW30" s="9"/>
      <c r="RGX30" s="10"/>
      <c r="RGY30" s="11"/>
      <c r="RGZ30" s="12"/>
      <c r="RHA30" s="12"/>
      <c r="RHB30" s="12"/>
      <c r="RHC30" s="13"/>
      <c r="RHD30" s="9"/>
      <c r="RHE30" s="9"/>
      <c r="RHF30" s="9"/>
      <c r="RHG30" s="9"/>
      <c r="RHH30" s="10"/>
      <c r="RHI30" s="11"/>
      <c r="RHJ30" s="12"/>
      <c r="RHK30" s="12"/>
      <c r="RHL30" s="12"/>
      <c r="RHM30" s="13"/>
      <c r="RHN30" s="9"/>
      <c r="RHO30" s="9"/>
      <c r="RHP30" s="9"/>
      <c r="RHQ30" s="9"/>
      <c r="RHR30" s="10"/>
      <c r="RHS30" s="11"/>
      <c r="RHT30" s="12"/>
      <c r="RHU30" s="12"/>
      <c r="RHV30" s="12"/>
      <c r="RHW30" s="13"/>
      <c r="RHX30" s="9"/>
      <c r="RHY30" s="9"/>
      <c r="RHZ30" s="9"/>
      <c r="RIA30" s="9"/>
      <c r="RIB30" s="10"/>
      <c r="RIC30" s="11"/>
      <c r="RID30" s="12"/>
      <c r="RIE30" s="12"/>
      <c r="RIF30" s="12"/>
      <c r="RIG30" s="13"/>
      <c r="RIH30" s="9"/>
      <c r="RII30" s="9"/>
      <c r="RIJ30" s="9"/>
      <c r="RIK30" s="9"/>
      <c r="RIL30" s="10"/>
      <c r="RIM30" s="11"/>
      <c r="RIN30" s="12"/>
      <c r="RIO30" s="12"/>
      <c r="RIP30" s="12"/>
      <c r="RIQ30" s="13"/>
      <c r="RIR30" s="9"/>
      <c r="RIS30" s="9"/>
      <c r="RIT30" s="9"/>
      <c r="RIU30" s="9"/>
      <c r="RIV30" s="10"/>
      <c r="RIW30" s="11"/>
      <c r="RIX30" s="12"/>
      <c r="RIY30" s="12"/>
      <c r="RIZ30" s="12"/>
      <c r="RJA30" s="13"/>
      <c r="RJB30" s="9"/>
      <c r="RJC30" s="9"/>
      <c r="RJD30" s="9"/>
      <c r="RJE30" s="9"/>
      <c r="RJF30" s="10"/>
      <c r="RJG30" s="11"/>
      <c r="RJH30" s="12"/>
      <c r="RJI30" s="12"/>
      <c r="RJJ30" s="12"/>
      <c r="RJK30" s="13"/>
      <c r="RJL30" s="9"/>
      <c r="RJM30" s="9"/>
      <c r="RJN30" s="9"/>
      <c r="RJO30" s="9"/>
      <c r="RJP30" s="10"/>
      <c r="RJQ30" s="11"/>
      <c r="RJR30" s="12"/>
      <c r="RJS30" s="12"/>
      <c r="RJT30" s="12"/>
      <c r="RJU30" s="13"/>
      <c r="RJV30" s="9"/>
      <c r="RJW30" s="9"/>
      <c r="RJX30" s="9"/>
      <c r="RJY30" s="9"/>
      <c r="RJZ30" s="10"/>
      <c r="RKA30" s="11"/>
      <c r="RKB30" s="12"/>
      <c r="RKC30" s="12"/>
      <c r="RKD30" s="12"/>
      <c r="RKE30" s="13"/>
      <c r="RKF30" s="9"/>
      <c r="RKG30" s="9"/>
      <c r="RKH30" s="9"/>
      <c r="RKI30" s="9"/>
      <c r="RKJ30" s="10"/>
      <c r="RKK30" s="11"/>
      <c r="RKL30" s="12"/>
      <c r="RKM30" s="12"/>
      <c r="RKN30" s="12"/>
      <c r="RKO30" s="13"/>
      <c r="RKP30" s="9"/>
      <c r="RKQ30" s="9"/>
      <c r="RKR30" s="9"/>
      <c r="RKS30" s="9"/>
      <c r="RKT30" s="10"/>
      <c r="RKU30" s="11"/>
      <c r="RKV30" s="12"/>
      <c r="RKW30" s="12"/>
      <c r="RKX30" s="12"/>
      <c r="RKY30" s="13"/>
      <c r="RKZ30" s="9"/>
      <c r="RLA30" s="9"/>
      <c r="RLB30" s="9"/>
      <c r="RLC30" s="9"/>
      <c r="RLD30" s="10"/>
      <c r="RLE30" s="11"/>
      <c r="RLF30" s="12"/>
      <c r="RLG30" s="12"/>
      <c r="RLH30" s="12"/>
      <c r="RLI30" s="13"/>
      <c r="RLJ30" s="9"/>
      <c r="RLK30" s="9"/>
      <c r="RLL30" s="9"/>
      <c r="RLM30" s="9"/>
      <c r="RLN30" s="10"/>
      <c r="RLO30" s="11"/>
      <c r="RLP30" s="12"/>
      <c r="RLQ30" s="12"/>
      <c r="RLR30" s="12"/>
      <c r="RLS30" s="13"/>
      <c r="RLT30" s="9"/>
      <c r="RLU30" s="9"/>
      <c r="RLV30" s="9"/>
      <c r="RLW30" s="9"/>
      <c r="RLX30" s="10"/>
      <c r="RLY30" s="11"/>
      <c r="RLZ30" s="12"/>
      <c r="RMA30" s="12"/>
      <c r="RMB30" s="12"/>
      <c r="RMC30" s="13"/>
      <c r="RMD30" s="9"/>
      <c r="RME30" s="9"/>
      <c r="RMF30" s="9"/>
      <c r="RMG30" s="9"/>
      <c r="RMH30" s="10"/>
      <c r="RMI30" s="11"/>
      <c r="RMJ30" s="12"/>
      <c r="RMK30" s="12"/>
      <c r="RML30" s="12"/>
      <c r="RMM30" s="13"/>
      <c r="RMN30" s="9"/>
      <c r="RMO30" s="9"/>
      <c r="RMP30" s="9"/>
      <c r="RMQ30" s="9"/>
      <c r="RMR30" s="10"/>
      <c r="RMS30" s="11"/>
      <c r="RMT30" s="12"/>
      <c r="RMU30" s="12"/>
      <c r="RMV30" s="12"/>
      <c r="RMW30" s="13"/>
      <c r="RMX30" s="9"/>
      <c r="RMY30" s="9"/>
      <c r="RMZ30" s="9"/>
      <c r="RNA30" s="9"/>
      <c r="RNB30" s="10"/>
      <c r="RNC30" s="11"/>
      <c r="RND30" s="12"/>
      <c r="RNE30" s="12"/>
      <c r="RNF30" s="12"/>
      <c r="RNG30" s="13"/>
      <c r="RNH30" s="9"/>
      <c r="RNI30" s="9"/>
      <c r="RNJ30" s="9"/>
      <c r="RNK30" s="9"/>
      <c r="RNL30" s="10"/>
      <c r="RNM30" s="11"/>
      <c r="RNN30" s="12"/>
      <c r="RNO30" s="12"/>
      <c r="RNP30" s="12"/>
      <c r="RNQ30" s="13"/>
      <c r="RNR30" s="9"/>
      <c r="RNS30" s="9"/>
      <c r="RNT30" s="9"/>
      <c r="RNU30" s="9"/>
      <c r="RNV30" s="10"/>
      <c r="RNW30" s="11"/>
      <c r="RNX30" s="12"/>
      <c r="RNY30" s="12"/>
      <c r="RNZ30" s="12"/>
      <c r="ROA30" s="13"/>
      <c r="ROB30" s="9"/>
      <c r="ROC30" s="9"/>
      <c r="ROD30" s="9"/>
      <c r="ROE30" s="9"/>
      <c r="ROF30" s="10"/>
      <c r="ROG30" s="11"/>
      <c r="ROH30" s="12"/>
      <c r="ROI30" s="12"/>
      <c r="ROJ30" s="12"/>
      <c r="ROK30" s="13"/>
      <c r="ROL30" s="9"/>
      <c r="ROM30" s="9"/>
      <c r="RON30" s="9"/>
      <c r="ROO30" s="9"/>
      <c r="ROP30" s="10"/>
      <c r="ROQ30" s="11"/>
      <c r="ROR30" s="12"/>
      <c r="ROS30" s="12"/>
      <c r="ROT30" s="12"/>
      <c r="ROU30" s="13"/>
      <c r="ROV30" s="9"/>
      <c r="ROW30" s="9"/>
      <c r="ROX30" s="9"/>
      <c r="ROY30" s="9"/>
      <c r="ROZ30" s="10"/>
      <c r="RPA30" s="11"/>
      <c r="RPB30" s="12"/>
      <c r="RPC30" s="12"/>
      <c r="RPD30" s="12"/>
      <c r="RPE30" s="13"/>
      <c r="RPF30" s="9"/>
      <c r="RPG30" s="9"/>
      <c r="RPH30" s="9"/>
      <c r="RPI30" s="9"/>
      <c r="RPJ30" s="10"/>
      <c r="RPK30" s="11"/>
      <c r="RPL30" s="12"/>
      <c r="RPM30" s="12"/>
      <c r="RPN30" s="12"/>
      <c r="RPO30" s="13"/>
      <c r="RPP30" s="9"/>
      <c r="RPQ30" s="9"/>
      <c r="RPR30" s="9"/>
      <c r="RPS30" s="9"/>
      <c r="RPT30" s="10"/>
      <c r="RPU30" s="11"/>
      <c r="RPV30" s="12"/>
      <c r="RPW30" s="12"/>
      <c r="RPX30" s="12"/>
      <c r="RPY30" s="13"/>
      <c r="RPZ30" s="9"/>
      <c r="RQA30" s="9"/>
      <c r="RQB30" s="9"/>
      <c r="RQC30" s="9"/>
      <c r="RQD30" s="10"/>
      <c r="RQE30" s="11"/>
      <c r="RQF30" s="12"/>
      <c r="RQG30" s="12"/>
      <c r="RQH30" s="12"/>
      <c r="RQI30" s="13"/>
      <c r="RQJ30" s="9"/>
      <c r="RQK30" s="9"/>
      <c r="RQL30" s="9"/>
      <c r="RQM30" s="9"/>
      <c r="RQN30" s="10"/>
      <c r="RQO30" s="11"/>
      <c r="RQP30" s="12"/>
      <c r="RQQ30" s="12"/>
      <c r="RQR30" s="12"/>
      <c r="RQS30" s="13"/>
      <c r="RQT30" s="9"/>
      <c r="RQU30" s="9"/>
      <c r="RQV30" s="9"/>
      <c r="RQW30" s="9"/>
      <c r="RQX30" s="10"/>
      <c r="RQY30" s="11"/>
      <c r="RQZ30" s="12"/>
      <c r="RRA30" s="12"/>
      <c r="RRB30" s="12"/>
      <c r="RRC30" s="13"/>
      <c r="RRD30" s="9"/>
      <c r="RRE30" s="9"/>
      <c r="RRF30" s="9"/>
      <c r="RRG30" s="9"/>
      <c r="RRH30" s="10"/>
      <c r="RRI30" s="11"/>
      <c r="RRJ30" s="12"/>
      <c r="RRK30" s="12"/>
      <c r="RRL30" s="12"/>
      <c r="RRM30" s="13"/>
      <c r="RRN30" s="9"/>
      <c r="RRO30" s="9"/>
      <c r="RRP30" s="9"/>
      <c r="RRQ30" s="9"/>
      <c r="RRR30" s="10"/>
      <c r="RRS30" s="11"/>
      <c r="RRT30" s="12"/>
      <c r="RRU30" s="12"/>
      <c r="RRV30" s="12"/>
      <c r="RRW30" s="13"/>
      <c r="RRX30" s="9"/>
      <c r="RRY30" s="9"/>
      <c r="RRZ30" s="9"/>
      <c r="RSA30" s="9"/>
      <c r="RSB30" s="10"/>
      <c r="RSC30" s="11"/>
      <c r="RSD30" s="12"/>
      <c r="RSE30" s="12"/>
      <c r="RSF30" s="12"/>
      <c r="RSG30" s="13"/>
      <c r="RSH30" s="9"/>
      <c r="RSI30" s="9"/>
      <c r="RSJ30" s="9"/>
      <c r="RSK30" s="9"/>
      <c r="RSL30" s="10"/>
      <c r="RSM30" s="11"/>
      <c r="RSN30" s="12"/>
      <c r="RSO30" s="12"/>
      <c r="RSP30" s="12"/>
      <c r="RSQ30" s="13"/>
      <c r="RSR30" s="9"/>
      <c r="RSS30" s="9"/>
      <c r="RST30" s="9"/>
      <c r="RSU30" s="9"/>
      <c r="RSV30" s="10"/>
      <c r="RSW30" s="11"/>
      <c r="RSX30" s="12"/>
      <c r="RSY30" s="12"/>
      <c r="RSZ30" s="12"/>
      <c r="RTA30" s="13"/>
      <c r="RTB30" s="9"/>
      <c r="RTC30" s="9"/>
      <c r="RTD30" s="9"/>
      <c r="RTE30" s="9"/>
      <c r="RTF30" s="10"/>
      <c r="RTG30" s="11"/>
      <c r="RTH30" s="12"/>
      <c r="RTI30" s="12"/>
      <c r="RTJ30" s="12"/>
      <c r="RTK30" s="13"/>
      <c r="RTL30" s="9"/>
      <c r="RTM30" s="9"/>
      <c r="RTN30" s="9"/>
      <c r="RTO30" s="9"/>
      <c r="RTP30" s="10"/>
      <c r="RTQ30" s="11"/>
      <c r="RTR30" s="12"/>
      <c r="RTS30" s="12"/>
      <c r="RTT30" s="12"/>
      <c r="RTU30" s="13"/>
      <c r="RTV30" s="9"/>
      <c r="RTW30" s="9"/>
      <c r="RTX30" s="9"/>
      <c r="RTY30" s="9"/>
      <c r="RTZ30" s="10"/>
      <c r="RUA30" s="11"/>
      <c r="RUB30" s="12"/>
      <c r="RUC30" s="12"/>
      <c r="RUD30" s="12"/>
      <c r="RUE30" s="13"/>
      <c r="RUF30" s="9"/>
      <c r="RUG30" s="9"/>
      <c r="RUH30" s="9"/>
      <c r="RUI30" s="9"/>
      <c r="RUJ30" s="10"/>
      <c r="RUK30" s="11"/>
      <c r="RUL30" s="12"/>
      <c r="RUM30" s="12"/>
      <c r="RUN30" s="12"/>
      <c r="RUO30" s="13"/>
      <c r="RUP30" s="9"/>
      <c r="RUQ30" s="9"/>
      <c r="RUR30" s="9"/>
      <c r="RUS30" s="9"/>
      <c r="RUT30" s="10"/>
      <c r="RUU30" s="11"/>
      <c r="RUV30" s="12"/>
      <c r="RUW30" s="12"/>
      <c r="RUX30" s="12"/>
      <c r="RUY30" s="13"/>
      <c r="RUZ30" s="9"/>
      <c r="RVA30" s="9"/>
      <c r="RVB30" s="9"/>
      <c r="RVC30" s="9"/>
      <c r="RVD30" s="10"/>
      <c r="RVE30" s="11"/>
      <c r="RVF30" s="12"/>
      <c r="RVG30" s="12"/>
      <c r="RVH30" s="12"/>
      <c r="RVI30" s="13"/>
      <c r="RVJ30" s="9"/>
      <c r="RVK30" s="9"/>
      <c r="RVL30" s="9"/>
      <c r="RVM30" s="9"/>
      <c r="RVN30" s="10"/>
      <c r="RVO30" s="11"/>
      <c r="RVP30" s="12"/>
      <c r="RVQ30" s="12"/>
      <c r="RVR30" s="12"/>
      <c r="RVS30" s="13"/>
      <c r="RVT30" s="9"/>
      <c r="RVU30" s="9"/>
      <c r="RVV30" s="9"/>
      <c r="RVW30" s="9"/>
      <c r="RVX30" s="10"/>
      <c r="RVY30" s="11"/>
      <c r="RVZ30" s="12"/>
      <c r="RWA30" s="12"/>
      <c r="RWB30" s="12"/>
      <c r="RWC30" s="13"/>
      <c r="RWD30" s="9"/>
      <c r="RWE30" s="9"/>
      <c r="RWF30" s="9"/>
      <c r="RWG30" s="9"/>
      <c r="RWH30" s="10"/>
      <c r="RWI30" s="11"/>
      <c r="RWJ30" s="12"/>
      <c r="RWK30" s="12"/>
      <c r="RWL30" s="12"/>
      <c r="RWM30" s="13"/>
      <c r="RWN30" s="9"/>
      <c r="RWO30" s="9"/>
      <c r="RWP30" s="9"/>
      <c r="RWQ30" s="9"/>
      <c r="RWR30" s="10"/>
      <c r="RWS30" s="11"/>
      <c r="RWT30" s="12"/>
      <c r="RWU30" s="12"/>
      <c r="RWV30" s="12"/>
      <c r="RWW30" s="13"/>
      <c r="RWX30" s="9"/>
      <c r="RWY30" s="9"/>
      <c r="RWZ30" s="9"/>
      <c r="RXA30" s="9"/>
      <c r="RXB30" s="10"/>
      <c r="RXC30" s="11"/>
      <c r="RXD30" s="12"/>
      <c r="RXE30" s="12"/>
      <c r="RXF30" s="12"/>
      <c r="RXG30" s="13"/>
      <c r="RXH30" s="9"/>
      <c r="RXI30" s="9"/>
      <c r="RXJ30" s="9"/>
      <c r="RXK30" s="9"/>
      <c r="RXL30" s="10"/>
      <c r="RXM30" s="11"/>
      <c r="RXN30" s="12"/>
      <c r="RXO30" s="12"/>
      <c r="RXP30" s="12"/>
      <c r="RXQ30" s="13"/>
      <c r="RXR30" s="9"/>
      <c r="RXS30" s="9"/>
      <c r="RXT30" s="9"/>
      <c r="RXU30" s="9"/>
      <c r="RXV30" s="10"/>
      <c r="RXW30" s="11"/>
      <c r="RXX30" s="12"/>
      <c r="RXY30" s="12"/>
      <c r="RXZ30" s="12"/>
      <c r="RYA30" s="13"/>
      <c r="RYB30" s="9"/>
      <c r="RYC30" s="9"/>
      <c r="RYD30" s="9"/>
      <c r="RYE30" s="9"/>
      <c r="RYF30" s="10"/>
      <c r="RYG30" s="11"/>
      <c r="RYH30" s="12"/>
      <c r="RYI30" s="12"/>
      <c r="RYJ30" s="12"/>
      <c r="RYK30" s="13"/>
      <c r="RYL30" s="9"/>
      <c r="RYM30" s="9"/>
      <c r="RYN30" s="9"/>
      <c r="RYO30" s="9"/>
      <c r="RYP30" s="10"/>
      <c r="RYQ30" s="11"/>
      <c r="RYR30" s="12"/>
      <c r="RYS30" s="12"/>
      <c r="RYT30" s="12"/>
      <c r="RYU30" s="13"/>
      <c r="RYV30" s="9"/>
      <c r="RYW30" s="9"/>
      <c r="RYX30" s="9"/>
      <c r="RYY30" s="9"/>
      <c r="RYZ30" s="10"/>
      <c r="RZA30" s="11"/>
      <c r="RZB30" s="12"/>
      <c r="RZC30" s="12"/>
      <c r="RZD30" s="12"/>
      <c r="RZE30" s="13"/>
      <c r="RZF30" s="9"/>
      <c r="RZG30" s="9"/>
      <c r="RZH30" s="9"/>
      <c r="RZI30" s="9"/>
      <c r="RZJ30" s="10"/>
      <c r="RZK30" s="11"/>
      <c r="RZL30" s="12"/>
      <c r="RZM30" s="12"/>
      <c r="RZN30" s="12"/>
      <c r="RZO30" s="13"/>
      <c r="RZP30" s="9"/>
      <c r="RZQ30" s="9"/>
      <c r="RZR30" s="9"/>
      <c r="RZS30" s="9"/>
      <c r="RZT30" s="10"/>
      <c r="RZU30" s="11"/>
      <c r="RZV30" s="12"/>
      <c r="RZW30" s="12"/>
      <c r="RZX30" s="12"/>
      <c r="RZY30" s="13"/>
      <c r="RZZ30" s="9"/>
      <c r="SAA30" s="9"/>
      <c r="SAB30" s="9"/>
      <c r="SAC30" s="9"/>
      <c r="SAD30" s="10"/>
      <c r="SAE30" s="11"/>
      <c r="SAF30" s="12"/>
      <c r="SAG30" s="12"/>
      <c r="SAH30" s="12"/>
      <c r="SAI30" s="13"/>
      <c r="SAJ30" s="9"/>
      <c r="SAK30" s="9"/>
      <c r="SAL30" s="9"/>
      <c r="SAM30" s="9"/>
      <c r="SAN30" s="10"/>
      <c r="SAO30" s="11"/>
      <c r="SAP30" s="12"/>
      <c r="SAQ30" s="12"/>
      <c r="SAR30" s="12"/>
      <c r="SAS30" s="13"/>
      <c r="SAT30" s="9"/>
      <c r="SAU30" s="9"/>
      <c r="SAV30" s="9"/>
      <c r="SAW30" s="9"/>
      <c r="SAX30" s="10"/>
      <c r="SAY30" s="11"/>
      <c r="SAZ30" s="12"/>
      <c r="SBA30" s="12"/>
      <c r="SBB30" s="12"/>
      <c r="SBC30" s="13"/>
      <c r="SBD30" s="9"/>
      <c r="SBE30" s="9"/>
      <c r="SBF30" s="9"/>
      <c r="SBG30" s="9"/>
      <c r="SBH30" s="10"/>
      <c r="SBI30" s="11"/>
      <c r="SBJ30" s="12"/>
      <c r="SBK30" s="12"/>
      <c r="SBL30" s="12"/>
      <c r="SBM30" s="13"/>
      <c r="SBN30" s="9"/>
      <c r="SBO30" s="9"/>
      <c r="SBP30" s="9"/>
      <c r="SBQ30" s="9"/>
      <c r="SBR30" s="10"/>
      <c r="SBS30" s="11"/>
      <c r="SBT30" s="12"/>
      <c r="SBU30" s="12"/>
      <c r="SBV30" s="12"/>
      <c r="SBW30" s="13"/>
      <c r="SBX30" s="9"/>
      <c r="SBY30" s="9"/>
      <c r="SBZ30" s="9"/>
      <c r="SCA30" s="9"/>
      <c r="SCB30" s="10"/>
      <c r="SCC30" s="11"/>
      <c r="SCD30" s="12"/>
      <c r="SCE30" s="12"/>
      <c r="SCF30" s="12"/>
      <c r="SCG30" s="13"/>
      <c r="SCH30" s="9"/>
      <c r="SCI30" s="9"/>
      <c r="SCJ30" s="9"/>
      <c r="SCK30" s="9"/>
      <c r="SCL30" s="10"/>
      <c r="SCM30" s="11"/>
      <c r="SCN30" s="12"/>
      <c r="SCO30" s="12"/>
      <c r="SCP30" s="12"/>
      <c r="SCQ30" s="13"/>
      <c r="SCR30" s="9"/>
      <c r="SCS30" s="9"/>
      <c r="SCT30" s="9"/>
      <c r="SCU30" s="9"/>
      <c r="SCV30" s="10"/>
      <c r="SCW30" s="11"/>
      <c r="SCX30" s="12"/>
      <c r="SCY30" s="12"/>
      <c r="SCZ30" s="12"/>
      <c r="SDA30" s="13"/>
      <c r="SDB30" s="9"/>
      <c r="SDC30" s="9"/>
      <c r="SDD30" s="9"/>
      <c r="SDE30" s="9"/>
      <c r="SDF30" s="10"/>
      <c r="SDG30" s="11"/>
      <c r="SDH30" s="12"/>
      <c r="SDI30" s="12"/>
      <c r="SDJ30" s="12"/>
      <c r="SDK30" s="13"/>
      <c r="SDL30" s="9"/>
      <c r="SDM30" s="9"/>
      <c r="SDN30" s="9"/>
      <c r="SDO30" s="9"/>
      <c r="SDP30" s="10"/>
      <c r="SDQ30" s="11"/>
      <c r="SDR30" s="12"/>
      <c r="SDS30" s="12"/>
      <c r="SDT30" s="12"/>
      <c r="SDU30" s="13"/>
      <c r="SDV30" s="9"/>
      <c r="SDW30" s="9"/>
      <c r="SDX30" s="9"/>
      <c r="SDY30" s="9"/>
      <c r="SDZ30" s="10"/>
      <c r="SEA30" s="11"/>
      <c r="SEB30" s="12"/>
      <c r="SEC30" s="12"/>
      <c r="SED30" s="12"/>
      <c r="SEE30" s="13"/>
      <c r="SEF30" s="9"/>
      <c r="SEG30" s="9"/>
      <c r="SEH30" s="9"/>
      <c r="SEI30" s="9"/>
      <c r="SEJ30" s="10"/>
      <c r="SEK30" s="11"/>
      <c r="SEL30" s="12"/>
      <c r="SEM30" s="12"/>
      <c r="SEN30" s="12"/>
      <c r="SEO30" s="13"/>
      <c r="SEP30" s="9"/>
      <c r="SEQ30" s="9"/>
      <c r="SER30" s="9"/>
      <c r="SES30" s="9"/>
      <c r="SET30" s="10"/>
      <c r="SEU30" s="11"/>
      <c r="SEV30" s="12"/>
      <c r="SEW30" s="12"/>
      <c r="SEX30" s="12"/>
      <c r="SEY30" s="13"/>
      <c r="SEZ30" s="9"/>
      <c r="SFA30" s="9"/>
      <c r="SFB30" s="9"/>
      <c r="SFC30" s="9"/>
      <c r="SFD30" s="10"/>
      <c r="SFE30" s="11"/>
      <c r="SFF30" s="12"/>
      <c r="SFG30" s="12"/>
      <c r="SFH30" s="12"/>
      <c r="SFI30" s="13"/>
      <c r="SFJ30" s="9"/>
      <c r="SFK30" s="9"/>
      <c r="SFL30" s="9"/>
      <c r="SFM30" s="9"/>
      <c r="SFN30" s="10"/>
      <c r="SFO30" s="11"/>
      <c r="SFP30" s="12"/>
      <c r="SFQ30" s="12"/>
      <c r="SFR30" s="12"/>
      <c r="SFS30" s="13"/>
      <c r="SFT30" s="9"/>
      <c r="SFU30" s="9"/>
      <c r="SFV30" s="9"/>
      <c r="SFW30" s="9"/>
      <c r="SFX30" s="10"/>
      <c r="SFY30" s="11"/>
      <c r="SFZ30" s="12"/>
      <c r="SGA30" s="12"/>
      <c r="SGB30" s="12"/>
      <c r="SGC30" s="13"/>
      <c r="SGD30" s="9"/>
      <c r="SGE30" s="9"/>
      <c r="SGF30" s="9"/>
      <c r="SGG30" s="9"/>
      <c r="SGH30" s="10"/>
      <c r="SGI30" s="11"/>
      <c r="SGJ30" s="12"/>
      <c r="SGK30" s="12"/>
      <c r="SGL30" s="12"/>
      <c r="SGM30" s="13"/>
      <c r="SGN30" s="9"/>
      <c r="SGO30" s="9"/>
      <c r="SGP30" s="9"/>
      <c r="SGQ30" s="9"/>
      <c r="SGR30" s="10"/>
      <c r="SGS30" s="11"/>
      <c r="SGT30" s="12"/>
      <c r="SGU30" s="12"/>
      <c r="SGV30" s="12"/>
      <c r="SGW30" s="13"/>
      <c r="SGX30" s="9"/>
      <c r="SGY30" s="9"/>
      <c r="SGZ30" s="9"/>
      <c r="SHA30" s="9"/>
      <c r="SHB30" s="10"/>
      <c r="SHC30" s="11"/>
      <c r="SHD30" s="12"/>
      <c r="SHE30" s="12"/>
      <c r="SHF30" s="12"/>
      <c r="SHG30" s="13"/>
      <c r="SHH30" s="9"/>
      <c r="SHI30" s="9"/>
      <c r="SHJ30" s="9"/>
      <c r="SHK30" s="9"/>
      <c r="SHL30" s="10"/>
      <c r="SHM30" s="11"/>
      <c r="SHN30" s="12"/>
      <c r="SHO30" s="12"/>
      <c r="SHP30" s="12"/>
      <c r="SHQ30" s="13"/>
      <c r="SHR30" s="9"/>
      <c r="SHS30" s="9"/>
      <c r="SHT30" s="9"/>
      <c r="SHU30" s="9"/>
      <c r="SHV30" s="10"/>
      <c r="SHW30" s="11"/>
      <c r="SHX30" s="12"/>
      <c r="SHY30" s="12"/>
      <c r="SHZ30" s="12"/>
      <c r="SIA30" s="13"/>
      <c r="SIB30" s="9"/>
      <c r="SIC30" s="9"/>
      <c r="SID30" s="9"/>
      <c r="SIE30" s="9"/>
      <c r="SIF30" s="10"/>
      <c r="SIG30" s="11"/>
      <c r="SIH30" s="12"/>
      <c r="SII30" s="12"/>
      <c r="SIJ30" s="12"/>
      <c r="SIK30" s="13"/>
      <c r="SIL30" s="9"/>
      <c r="SIM30" s="9"/>
      <c r="SIN30" s="9"/>
      <c r="SIO30" s="9"/>
      <c r="SIP30" s="10"/>
      <c r="SIQ30" s="11"/>
      <c r="SIR30" s="12"/>
      <c r="SIS30" s="12"/>
      <c r="SIT30" s="12"/>
      <c r="SIU30" s="13"/>
      <c r="SIV30" s="9"/>
      <c r="SIW30" s="9"/>
      <c r="SIX30" s="9"/>
      <c r="SIY30" s="9"/>
      <c r="SIZ30" s="10"/>
      <c r="SJA30" s="11"/>
      <c r="SJB30" s="12"/>
      <c r="SJC30" s="12"/>
      <c r="SJD30" s="12"/>
      <c r="SJE30" s="13"/>
      <c r="SJF30" s="9"/>
      <c r="SJG30" s="9"/>
      <c r="SJH30" s="9"/>
      <c r="SJI30" s="9"/>
      <c r="SJJ30" s="10"/>
      <c r="SJK30" s="11"/>
      <c r="SJL30" s="12"/>
      <c r="SJM30" s="12"/>
      <c r="SJN30" s="12"/>
      <c r="SJO30" s="13"/>
      <c r="SJP30" s="9"/>
      <c r="SJQ30" s="9"/>
      <c r="SJR30" s="9"/>
      <c r="SJS30" s="9"/>
      <c r="SJT30" s="10"/>
      <c r="SJU30" s="11"/>
      <c r="SJV30" s="12"/>
      <c r="SJW30" s="12"/>
      <c r="SJX30" s="12"/>
      <c r="SJY30" s="13"/>
      <c r="SJZ30" s="9"/>
      <c r="SKA30" s="9"/>
      <c r="SKB30" s="9"/>
      <c r="SKC30" s="9"/>
      <c r="SKD30" s="10"/>
      <c r="SKE30" s="11"/>
      <c r="SKF30" s="12"/>
      <c r="SKG30" s="12"/>
      <c r="SKH30" s="12"/>
      <c r="SKI30" s="13"/>
      <c r="SKJ30" s="9"/>
      <c r="SKK30" s="9"/>
      <c r="SKL30" s="9"/>
      <c r="SKM30" s="9"/>
      <c r="SKN30" s="10"/>
      <c r="SKO30" s="11"/>
      <c r="SKP30" s="12"/>
      <c r="SKQ30" s="12"/>
      <c r="SKR30" s="12"/>
      <c r="SKS30" s="13"/>
      <c r="SKT30" s="9"/>
      <c r="SKU30" s="9"/>
      <c r="SKV30" s="9"/>
      <c r="SKW30" s="9"/>
      <c r="SKX30" s="10"/>
      <c r="SKY30" s="11"/>
      <c r="SKZ30" s="12"/>
      <c r="SLA30" s="12"/>
      <c r="SLB30" s="12"/>
      <c r="SLC30" s="13"/>
      <c r="SLD30" s="9"/>
      <c r="SLE30" s="9"/>
      <c r="SLF30" s="9"/>
      <c r="SLG30" s="9"/>
      <c r="SLH30" s="10"/>
      <c r="SLI30" s="11"/>
      <c r="SLJ30" s="12"/>
      <c r="SLK30" s="12"/>
      <c r="SLL30" s="12"/>
      <c r="SLM30" s="13"/>
      <c r="SLN30" s="9"/>
      <c r="SLO30" s="9"/>
      <c r="SLP30" s="9"/>
      <c r="SLQ30" s="9"/>
      <c r="SLR30" s="10"/>
      <c r="SLS30" s="11"/>
      <c r="SLT30" s="12"/>
      <c r="SLU30" s="12"/>
      <c r="SLV30" s="12"/>
      <c r="SLW30" s="13"/>
      <c r="SLX30" s="9"/>
      <c r="SLY30" s="9"/>
      <c r="SLZ30" s="9"/>
      <c r="SMA30" s="9"/>
      <c r="SMB30" s="10"/>
      <c r="SMC30" s="11"/>
      <c r="SMD30" s="12"/>
      <c r="SME30" s="12"/>
      <c r="SMF30" s="12"/>
      <c r="SMG30" s="13"/>
      <c r="SMH30" s="9"/>
      <c r="SMI30" s="9"/>
      <c r="SMJ30" s="9"/>
      <c r="SMK30" s="9"/>
      <c r="SML30" s="10"/>
      <c r="SMM30" s="11"/>
      <c r="SMN30" s="12"/>
      <c r="SMO30" s="12"/>
      <c r="SMP30" s="12"/>
      <c r="SMQ30" s="13"/>
      <c r="SMR30" s="9"/>
      <c r="SMS30" s="9"/>
      <c r="SMT30" s="9"/>
      <c r="SMU30" s="9"/>
      <c r="SMV30" s="10"/>
      <c r="SMW30" s="11"/>
      <c r="SMX30" s="12"/>
      <c r="SMY30" s="12"/>
      <c r="SMZ30" s="12"/>
      <c r="SNA30" s="13"/>
      <c r="SNB30" s="9"/>
      <c r="SNC30" s="9"/>
      <c r="SND30" s="9"/>
      <c r="SNE30" s="9"/>
      <c r="SNF30" s="10"/>
      <c r="SNG30" s="11"/>
      <c r="SNH30" s="12"/>
      <c r="SNI30" s="12"/>
      <c r="SNJ30" s="12"/>
      <c r="SNK30" s="13"/>
      <c r="SNL30" s="9"/>
      <c r="SNM30" s="9"/>
      <c r="SNN30" s="9"/>
      <c r="SNO30" s="9"/>
      <c r="SNP30" s="10"/>
      <c r="SNQ30" s="11"/>
      <c r="SNR30" s="12"/>
      <c r="SNS30" s="12"/>
      <c r="SNT30" s="12"/>
      <c r="SNU30" s="13"/>
      <c r="SNV30" s="9"/>
      <c r="SNW30" s="9"/>
      <c r="SNX30" s="9"/>
      <c r="SNY30" s="9"/>
      <c r="SNZ30" s="10"/>
      <c r="SOA30" s="11"/>
      <c r="SOB30" s="12"/>
      <c r="SOC30" s="12"/>
      <c r="SOD30" s="12"/>
      <c r="SOE30" s="13"/>
      <c r="SOF30" s="9"/>
      <c r="SOG30" s="9"/>
      <c r="SOH30" s="9"/>
      <c r="SOI30" s="9"/>
      <c r="SOJ30" s="10"/>
      <c r="SOK30" s="11"/>
      <c r="SOL30" s="12"/>
      <c r="SOM30" s="12"/>
      <c r="SON30" s="12"/>
      <c r="SOO30" s="13"/>
      <c r="SOP30" s="9"/>
      <c r="SOQ30" s="9"/>
      <c r="SOR30" s="9"/>
      <c r="SOS30" s="9"/>
      <c r="SOT30" s="10"/>
      <c r="SOU30" s="11"/>
      <c r="SOV30" s="12"/>
      <c r="SOW30" s="12"/>
      <c r="SOX30" s="12"/>
      <c r="SOY30" s="13"/>
      <c r="SOZ30" s="9"/>
      <c r="SPA30" s="9"/>
      <c r="SPB30" s="9"/>
      <c r="SPC30" s="9"/>
      <c r="SPD30" s="10"/>
      <c r="SPE30" s="11"/>
      <c r="SPF30" s="12"/>
      <c r="SPG30" s="12"/>
      <c r="SPH30" s="12"/>
      <c r="SPI30" s="13"/>
      <c r="SPJ30" s="9"/>
      <c r="SPK30" s="9"/>
      <c r="SPL30" s="9"/>
      <c r="SPM30" s="9"/>
      <c r="SPN30" s="10"/>
      <c r="SPO30" s="11"/>
      <c r="SPP30" s="12"/>
      <c r="SPQ30" s="12"/>
      <c r="SPR30" s="12"/>
      <c r="SPS30" s="13"/>
      <c r="SPT30" s="9"/>
      <c r="SPU30" s="9"/>
      <c r="SPV30" s="9"/>
      <c r="SPW30" s="9"/>
      <c r="SPX30" s="10"/>
      <c r="SPY30" s="11"/>
      <c r="SPZ30" s="12"/>
      <c r="SQA30" s="12"/>
      <c r="SQB30" s="12"/>
      <c r="SQC30" s="13"/>
      <c r="SQD30" s="9"/>
      <c r="SQE30" s="9"/>
      <c r="SQF30" s="9"/>
      <c r="SQG30" s="9"/>
      <c r="SQH30" s="10"/>
      <c r="SQI30" s="11"/>
      <c r="SQJ30" s="12"/>
      <c r="SQK30" s="12"/>
      <c r="SQL30" s="12"/>
      <c r="SQM30" s="13"/>
      <c r="SQN30" s="9"/>
      <c r="SQO30" s="9"/>
      <c r="SQP30" s="9"/>
      <c r="SQQ30" s="9"/>
      <c r="SQR30" s="10"/>
      <c r="SQS30" s="11"/>
      <c r="SQT30" s="12"/>
      <c r="SQU30" s="12"/>
      <c r="SQV30" s="12"/>
      <c r="SQW30" s="13"/>
      <c r="SQX30" s="9"/>
      <c r="SQY30" s="9"/>
      <c r="SQZ30" s="9"/>
      <c r="SRA30" s="9"/>
      <c r="SRB30" s="10"/>
      <c r="SRC30" s="11"/>
      <c r="SRD30" s="12"/>
      <c r="SRE30" s="12"/>
      <c r="SRF30" s="12"/>
      <c r="SRG30" s="13"/>
      <c r="SRH30" s="9"/>
      <c r="SRI30" s="9"/>
      <c r="SRJ30" s="9"/>
      <c r="SRK30" s="9"/>
      <c r="SRL30" s="10"/>
      <c r="SRM30" s="11"/>
      <c r="SRN30" s="12"/>
      <c r="SRO30" s="12"/>
      <c r="SRP30" s="12"/>
      <c r="SRQ30" s="13"/>
      <c r="SRR30" s="9"/>
      <c r="SRS30" s="9"/>
      <c r="SRT30" s="9"/>
      <c r="SRU30" s="9"/>
      <c r="SRV30" s="10"/>
      <c r="SRW30" s="11"/>
      <c r="SRX30" s="12"/>
      <c r="SRY30" s="12"/>
      <c r="SRZ30" s="12"/>
      <c r="SSA30" s="13"/>
      <c r="SSB30" s="9"/>
      <c r="SSC30" s="9"/>
      <c r="SSD30" s="9"/>
      <c r="SSE30" s="9"/>
      <c r="SSF30" s="10"/>
      <c r="SSG30" s="11"/>
      <c r="SSH30" s="12"/>
      <c r="SSI30" s="12"/>
      <c r="SSJ30" s="12"/>
      <c r="SSK30" s="13"/>
      <c r="SSL30" s="9"/>
      <c r="SSM30" s="9"/>
      <c r="SSN30" s="9"/>
      <c r="SSO30" s="9"/>
      <c r="SSP30" s="10"/>
      <c r="SSQ30" s="11"/>
      <c r="SSR30" s="12"/>
      <c r="SSS30" s="12"/>
      <c r="SST30" s="12"/>
      <c r="SSU30" s="13"/>
      <c r="SSV30" s="9"/>
      <c r="SSW30" s="9"/>
      <c r="SSX30" s="9"/>
      <c r="SSY30" s="9"/>
      <c r="SSZ30" s="10"/>
      <c r="STA30" s="11"/>
      <c r="STB30" s="12"/>
      <c r="STC30" s="12"/>
      <c r="STD30" s="12"/>
      <c r="STE30" s="13"/>
      <c r="STF30" s="9"/>
      <c r="STG30" s="9"/>
      <c r="STH30" s="9"/>
      <c r="STI30" s="9"/>
      <c r="STJ30" s="10"/>
      <c r="STK30" s="11"/>
      <c r="STL30" s="12"/>
      <c r="STM30" s="12"/>
      <c r="STN30" s="12"/>
      <c r="STO30" s="13"/>
      <c r="STP30" s="9"/>
      <c r="STQ30" s="9"/>
      <c r="STR30" s="9"/>
      <c r="STS30" s="9"/>
      <c r="STT30" s="10"/>
      <c r="STU30" s="11"/>
      <c r="STV30" s="12"/>
      <c r="STW30" s="12"/>
      <c r="STX30" s="12"/>
      <c r="STY30" s="13"/>
      <c r="STZ30" s="9"/>
      <c r="SUA30" s="9"/>
      <c r="SUB30" s="9"/>
      <c r="SUC30" s="9"/>
      <c r="SUD30" s="10"/>
      <c r="SUE30" s="11"/>
      <c r="SUF30" s="12"/>
      <c r="SUG30" s="12"/>
      <c r="SUH30" s="12"/>
      <c r="SUI30" s="13"/>
      <c r="SUJ30" s="9"/>
      <c r="SUK30" s="9"/>
      <c r="SUL30" s="9"/>
      <c r="SUM30" s="9"/>
      <c r="SUN30" s="10"/>
      <c r="SUO30" s="11"/>
      <c r="SUP30" s="12"/>
      <c r="SUQ30" s="12"/>
      <c r="SUR30" s="12"/>
      <c r="SUS30" s="13"/>
      <c r="SUT30" s="9"/>
      <c r="SUU30" s="9"/>
      <c r="SUV30" s="9"/>
      <c r="SUW30" s="9"/>
      <c r="SUX30" s="10"/>
      <c r="SUY30" s="11"/>
      <c r="SUZ30" s="12"/>
      <c r="SVA30" s="12"/>
      <c r="SVB30" s="12"/>
      <c r="SVC30" s="13"/>
      <c r="SVD30" s="9"/>
      <c r="SVE30" s="9"/>
      <c r="SVF30" s="9"/>
      <c r="SVG30" s="9"/>
      <c r="SVH30" s="10"/>
      <c r="SVI30" s="11"/>
      <c r="SVJ30" s="12"/>
      <c r="SVK30" s="12"/>
      <c r="SVL30" s="12"/>
      <c r="SVM30" s="13"/>
      <c r="SVN30" s="9"/>
      <c r="SVO30" s="9"/>
      <c r="SVP30" s="9"/>
      <c r="SVQ30" s="9"/>
      <c r="SVR30" s="10"/>
      <c r="SVS30" s="11"/>
      <c r="SVT30" s="12"/>
      <c r="SVU30" s="12"/>
      <c r="SVV30" s="12"/>
      <c r="SVW30" s="13"/>
      <c r="SVX30" s="9"/>
      <c r="SVY30" s="9"/>
      <c r="SVZ30" s="9"/>
      <c r="SWA30" s="9"/>
      <c r="SWB30" s="10"/>
      <c r="SWC30" s="11"/>
      <c r="SWD30" s="12"/>
      <c r="SWE30" s="12"/>
      <c r="SWF30" s="12"/>
      <c r="SWG30" s="13"/>
      <c r="SWH30" s="9"/>
      <c r="SWI30" s="9"/>
      <c r="SWJ30" s="9"/>
      <c r="SWK30" s="9"/>
      <c r="SWL30" s="10"/>
      <c r="SWM30" s="11"/>
      <c r="SWN30" s="12"/>
      <c r="SWO30" s="12"/>
      <c r="SWP30" s="12"/>
      <c r="SWQ30" s="13"/>
      <c r="SWR30" s="9"/>
      <c r="SWS30" s="9"/>
      <c r="SWT30" s="9"/>
      <c r="SWU30" s="9"/>
      <c r="SWV30" s="10"/>
      <c r="SWW30" s="11"/>
      <c r="SWX30" s="12"/>
      <c r="SWY30" s="12"/>
      <c r="SWZ30" s="12"/>
      <c r="SXA30" s="13"/>
      <c r="SXB30" s="9"/>
      <c r="SXC30" s="9"/>
      <c r="SXD30" s="9"/>
      <c r="SXE30" s="9"/>
      <c r="SXF30" s="10"/>
      <c r="SXG30" s="11"/>
      <c r="SXH30" s="12"/>
      <c r="SXI30" s="12"/>
      <c r="SXJ30" s="12"/>
      <c r="SXK30" s="13"/>
      <c r="SXL30" s="9"/>
      <c r="SXM30" s="9"/>
      <c r="SXN30" s="9"/>
      <c r="SXO30" s="9"/>
      <c r="SXP30" s="10"/>
      <c r="SXQ30" s="11"/>
      <c r="SXR30" s="12"/>
      <c r="SXS30" s="12"/>
      <c r="SXT30" s="12"/>
      <c r="SXU30" s="13"/>
      <c r="SXV30" s="9"/>
      <c r="SXW30" s="9"/>
      <c r="SXX30" s="9"/>
      <c r="SXY30" s="9"/>
      <c r="SXZ30" s="10"/>
      <c r="SYA30" s="11"/>
      <c r="SYB30" s="12"/>
      <c r="SYC30" s="12"/>
      <c r="SYD30" s="12"/>
      <c r="SYE30" s="13"/>
      <c r="SYF30" s="9"/>
      <c r="SYG30" s="9"/>
      <c r="SYH30" s="9"/>
      <c r="SYI30" s="9"/>
      <c r="SYJ30" s="10"/>
      <c r="SYK30" s="11"/>
      <c r="SYL30" s="12"/>
      <c r="SYM30" s="12"/>
      <c r="SYN30" s="12"/>
      <c r="SYO30" s="13"/>
      <c r="SYP30" s="9"/>
      <c r="SYQ30" s="9"/>
      <c r="SYR30" s="9"/>
      <c r="SYS30" s="9"/>
      <c r="SYT30" s="10"/>
      <c r="SYU30" s="11"/>
      <c r="SYV30" s="12"/>
      <c r="SYW30" s="12"/>
      <c r="SYX30" s="12"/>
      <c r="SYY30" s="13"/>
      <c r="SYZ30" s="9"/>
      <c r="SZA30" s="9"/>
      <c r="SZB30" s="9"/>
      <c r="SZC30" s="9"/>
      <c r="SZD30" s="10"/>
      <c r="SZE30" s="11"/>
      <c r="SZF30" s="12"/>
      <c r="SZG30" s="12"/>
      <c r="SZH30" s="12"/>
      <c r="SZI30" s="13"/>
      <c r="SZJ30" s="9"/>
      <c r="SZK30" s="9"/>
      <c r="SZL30" s="9"/>
      <c r="SZM30" s="9"/>
      <c r="SZN30" s="10"/>
      <c r="SZO30" s="11"/>
      <c r="SZP30" s="12"/>
      <c r="SZQ30" s="12"/>
      <c r="SZR30" s="12"/>
      <c r="SZS30" s="13"/>
      <c r="SZT30" s="9"/>
      <c r="SZU30" s="9"/>
      <c r="SZV30" s="9"/>
      <c r="SZW30" s="9"/>
      <c r="SZX30" s="10"/>
      <c r="SZY30" s="11"/>
      <c r="SZZ30" s="12"/>
      <c r="TAA30" s="12"/>
      <c r="TAB30" s="12"/>
      <c r="TAC30" s="13"/>
      <c r="TAD30" s="9"/>
      <c r="TAE30" s="9"/>
      <c r="TAF30" s="9"/>
      <c r="TAG30" s="9"/>
      <c r="TAH30" s="10"/>
      <c r="TAI30" s="11"/>
      <c r="TAJ30" s="12"/>
      <c r="TAK30" s="12"/>
      <c r="TAL30" s="12"/>
      <c r="TAM30" s="13"/>
      <c r="TAN30" s="9"/>
      <c r="TAO30" s="9"/>
      <c r="TAP30" s="9"/>
      <c r="TAQ30" s="9"/>
      <c r="TAR30" s="10"/>
      <c r="TAS30" s="11"/>
      <c r="TAT30" s="12"/>
      <c r="TAU30" s="12"/>
      <c r="TAV30" s="12"/>
      <c r="TAW30" s="13"/>
      <c r="TAX30" s="9"/>
      <c r="TAY30" s="9"/>
      <c r="TAZ30" s="9"/>
      <c r="TBA30" s="9"/>
      <c r="TBB30" s="10"/>
      <c r="TBC30" s="11"/>
      <c r="TBD30" s="12"/>
      <c r="TBE30" s="12"/>
      <c r="TBF30" s="12"/>
      <c r="TBG30" s="13"/>
      <c r="TBH30" s="9"/>
      <c r="TBI30" s="9"/>
      <c r="TBJ30" s="9"/>
      <c r="TBK30" s="9"/>
      <c r="TBL30" s="10"/>
      <c r="TBM30" s="11"/>
      <c r="TBN30" s="12"/>
      <c r="TBO30" s="12"/>
      <c r="TBP30" s="12"/>
      <c r="TBQ30" s="13"/>
      <c r="TBR30" s="9"/>
      <c r="TBS30" s="9"/>
      <c r="TBT30" s="9"/>
      <c r="TBU30" s="9"/>
      <c r="TBV30" s="10"/>
      <c r="TBW30" s="11"/>
      <c r="TBX30" s="12"/>
      <c r="TBY30" s="12"/>
      <c r="TBZ30" s="12"/>
      <c r="TCA30" s="13"/>
      <c r="TCB30" s="9"/>
      <c r="TCC30" s="9"/>
      <c r="TCD30" s="9"/>
      <c r="TCE30" s="9"/>
      <c r="TCF30" s="10"/>
      <c r="TCG30" s="11"/>
      <c r="TCH30" s="12"/>
      <c r="TCI30" s="12"/>
      <c r="TCJ30" s="12"/>
      <c r="TCK30" s="13"/>
      <c r="TCL30" s="9"/>
      <c r="TCM30" s="9"/>
      <c r="TCN30" s="9"/>
      <c r="TCO30" s="9"/>
      <c r="TCP30" s="10"/>
      <c r="TCQ30" s="11"/>
      <c r="TCR30" s="12"/>
      <c r="TCS30" s="12"/>
      <c r="TCT30" s="12"/>
      <c r="TCU30" s="13"/>
      <c r="TCV30" s="9"/>
      <c r="TCW30" s="9"/>
      <c r="TCX30" s="9"/>
      <c r="TCY30" s="9"/>
      <c r="TCZ30" s="10"/>
      <c r="TDA30" s="11"/>
      <c r="TDB30" s="12"/>
      <c r="TDC30" s="12"/>
      <c r="TDD30" s="12"/>
      <c r="TDE30" s="13"/>
      <c r="TDF30" s="9"/>
      <c r="TDG30" s="9"/>
      <c r="TDH30" s="9"/>
      <c r="TDI30" s="9"/>
      <c r="TDJ30" s="10"/>
      <c r="TDK30" s="11"/>
      <c r="TDL30" s="12"/>
      <c r="TDM30" s="12"/>
      <c r="TDN30" s="12"/>
      <c r="TDO30" s="13"/>
      <c r="TDP30" s="9"/>
      <c r="TDQ30" s="9"/>
      <c r="TDR30" s="9"/>
      <c r="TDS30" s="9"/>
      <c r="TDT30" s="10"/>
      <c r="TDU30" s="11"/>
      <c r="TDV30" s="12"/>
      <c r="TDW30" s="12"/>
      <c r="TDX30" s="12"/>
      <c r="TDY30" s="13"/>
      <c r="TDZ30" s="9"/>
      <c r="TEA30" s="9"/>
      <c r="TEB30" s="9"/>
      <c r="TEC30" s="9"/>
      <c r="TED30" s="10"/>
      <c r="TEE30" s="11"/>
      <c r="TEF30" s="12"/>
      <c r="TEG30" s="12"/>
      <c r="TEH30" s="12"/>
      <c r="TEI30" s="13"/>
      <c r="TEJ30" s="9"/>
      <c r="TEK30" s="9"/>
      <c r="TEL30" s="9"/>
      <c r="TEM30" s="9"/>
      <c r="TEN30" s="10"/>
      <c r="TEO30" s="11"/>
      <c r="TEP30" s="12"/>
      <c r="TEQ30" s="12"/>
      <c r="TER30" s="12"/>
      <c r="TES30" s="13"/>
      <c r="TET30" s="9"/>
      <c r="TEU30" s="9"/>
      <c r="TEV30" s="9"/>
      <c r="TEW30" s="9"/>
      <c r="TEX30" s="10"/>
      <c r="TEY30" s="11"/>
      <c r="TEZ30" s="12"/>
      <c r="TFA30" s="12"/>
      <c r="TFB30" s="12"/>
      <c r="TFC30" s="13"/>
      <c r="TFD30" s="9"/>
      <c r="TFE30" s="9"/>
      <c r="TFF30" s="9"/>
      <c r="TFG30" s="9"/>
      <c r="TFH30" s="10"/>
      <c r="TFI30" s="11"/>
      <c r="TFJ30" s="12"/>
      <c r="TFK30" s="12"/>
      <c r="TFL30" s="12"/>
      <c r="TFM30" s="13"/>
      <c r="TFN30" s="9"/>
      <c r="TFO30" s="9"/>
      <c r="TFP30" s="9"/>
      <c r="TFQ30" s="9"/>
      <c r="TFR30" s="10"/>
      <c r="TFS30" s="11"/>
      <c r="TFT30" s="12"/>
      <c r="TFU30" s="12"/>
      <c r="TFV30" s="12"/>
      <c r="TFW30" s="13"/>
      <c r="TFX30" s="9"/>
      <c r="TFY30" s="9"/>
      <c r="TFZ30" s="9"/>
      <c r="TGA30" s="9"/>
      <c r="TGB30" s="10"/>
      <c r="TGC30" s="11"/>
      <c r="TGD30" s="12"/>
      <c r="TGE30" s="12"/>
      <c r="TGF30" s="12"/>
      <c r="TGG30" s="13"/>
      <c r="TGH30" s="9"/>
      <c r="TGI30" s="9"/>
      <c r="TGJ30" s="9"/>
      <c r="TGK30" s="9"/>
      <c r="TGL30" s="10"/>
      <c r="TGM30" s="11"/>
      <c r="TGN30" s="12"/>
      <c r="TGO30" s="12"/>
      <c r="TGP30" s="12"/>
      <c r="TGQ30" s="13"/>
      <c r="TGR30" s="9"/>
      <c r="TGS30" s="9"/>
      <c r="TGT30" s="9"/>
      <c r="TGU30" s="9"/>
      <c r="TGV30" s="10"/>
      <c r="TGW30" s="11"/>
      <c r="TGX30" s="12"/>
      <c r="TGY30" s="12"/>
      <c r="TGZ30" s="12"/>
      <c r="THA30" s="13"/>
      <c r="THB30" s="9"/>
      <c r="THC30" s="9"/>
      <c r="THD30" s="9"/>
      <c r="THE30" s="9"/>
      <c r="THF30" s="10"/>
      <c r="THG30" s="11"/>
      <c r="THH30" s="12"/>
      <c r="THI30" s="12"/>
      <c r="THJ30" s="12"/>
      <c r="THK30" s="13"/>
      <c r="THL30" s="9"/>
      <c r="THM30" s="9"/>
      <c r="THN30" s="9"/>
      <c r="THO30" s="9"/>
      <c r="THP30" s="10"/>
      <c r="THQ30" s="11"/>
      <c r="THR30" s="12"/>
      <c r="THS30" s="12"/>
      <c r="THT30" s="12"/>
      <c r="THU30" s="13"/>
      <c r="THV30" s="9"/>
      <c r="THW30" s="9"/>
      <c r="THX30" s="9"/>
      <c r="THY30" s="9"/>
      <c r="THZ30" s="10"/>
      <c r="TIA30" s="11"/>
      <c r="TIB30" s="12"/>
      <c r="TIC30" s="12"/>
      <c r="TID30" s="12"/>
      <c r="TIE30" s="13"/>
      <c r="TIF30" s="9"/>
      <c r="TIG30" s="9"/>
      <c r="TIH30" s="9"/>
      <c r="TII30" s="9"/>
      <c r="TIJ30" s="10"/>
      <c r="TIK30" s="11"/>
      <c r="TIL30" s="12"/>
      <c r="TIM30" s="12"/>
      <c r="TIN30" s="12"/>
      <c r="TIO30" s="13"/>
      <c r="TIP30" s="9"/>
      <c r="TIQ30" s="9"/>
      <c r="TIR30" s="9"/>
      <c r="TIS30" s="9"/>
      <c r="TIT30" s="10"/>
      <c r="TIU30" s="11"/>
      <c r="TIV30" s="12"/>
      <c r="TIW30" s="12"/>
      <c r="TIX30" s="12"/>
      <c r="TIY30" s="13"/>
      <c r="TIZ30" s="9"/>
      <c r="TJA30" s="9"/>
      <c r="TJB30" s="9"/>
      <c r="TJC30" s="9"/>
      <c r="TJD30" s="10"/>
      <c r="TJE30" s="11"/>
      <c r="TJF30" s="12"/>
      <c r="TJG30" s="12"/>
      <c r="TJH30" s="12"/>
      <c r="TJI30" s="13"/>
      <c r="TJJ30" s="9"/>
      <c r="TJK30" s="9"/>
      <c r="TJL30" s="9"/>
      <c r="TJM30" s="9"/>
      <c r="TJN30" s="10"/>
      <c r="TJO30" s="11"/>
      <c r="TJP30" s="12"/>
      <c r="TJQ30" s="12"/>
      <c r="TJR30" s="12"/>
      <c r="TJS30" s="13"/>
      <c r="TJT30" s="9"/>
      <c r="TJU30" s="9"/>
      <c r="TJV30" s="9"/>
      <c r="TJW30" s="9"/>
      <c r="TJX30" s="10"/>
      <c r="TJY30" s="11"/>
      <c r="TJZ30" s="12"/>
      <c r="TKA30" s="12"/>
      <c r="TKB30" s="12"/>
      <c r="TKC30" s="13"/>
      <c r="TKD30" s="9"/>
      <c r="TKE30" s="9"/>
      <c r="TKF30" s="9"/>
      <c r="TKG30" s="9"/>
      <c r="TKH30" s="10"/>
      <c r="TKI30" s="11"/>
      <c r="TKJ30" s="12"/>
      <c r="TKK30" s="12"/>
      <c r="TKL30" s="12"/>
      <c r="TKM30" s="13"/>
      <c r="TKN30" s="9"/>
      <c r="TKO30" s="9"/>
      <c r="TKP30" s="9"/>
      <c r="TKQ30" s="9"/>
      <c r="TKR30" s="10"/>
      <c r="TKS30" s="11"/>
      <c r="TKT30" s="12"/>
      <c r="TKU30" s="12"/>
      <c r="TKV30" s="12"/>
      <c r="TKW30" s="13"/>
      <c r="TKX30" s="9"/>
      <c r="TKY30" s="9"/>
      <c r="TKZ30" s="9"/>
      <c r="TLA30" s="9"/>
      <c r="TLB30" s="10"/>
      <c r="TLC30" s="11"/>
      <c r="TLD30" s="12"/>
      <c r="TLE30" s="12"/>
      <c r="TLF30" s="12"/>
      <c r="TLG30" s="13"/>
      <c r="TLH30" s="9"/>
      <c r="TLI30" s="9"/>
      <c r="TLJ30" s="9"/>
      <c r="TLK30" s="9"/>
      <c r="TLL30" s="10"/>
      <c r="TLM30" s="11"/>
      <c r="TLN30" s="12"/>
      <c r="TLO30" s="12"/>
      <c r="TLP30" s="12"/>
      <c r="TLQ30" s="13"/>
      <c r="TLR30" s="9"/>
      <c r="TLS30" s="9"/>
      <c r="TLT30" s="9"/>
      <c r="TLU30" s="9"/>
      <c r="TLV30" s="10"/>
      <c r="TLW30" s="11"/>
      <c r="TLX30" s="12"/>
      <c r="TLY30" s="12"/>
      <c r="TLZ30" s="12"/>
      <c r="TMA30" s="13"/>
      <c r="TMB30" s="9"/>
      <c r="TMC30" s="9"/>
      <c r="TMD30" s="9"/>
      <c r="TME30" s="9"/>
      <c r="TMF30" s="10"/>
      <c r="TMG30" s="11"/>
      <c r="TMH30" s="12"/>
      <c r="TMI30" s="12"/>
      <c r="TMJ30" s="12"/>
      <c r="TMK30" s="13"/>
      <c r="TML30" s="9"/>
      <c r="TMM30" s="9"/>
      <c r="TMN30" s="9"/>
      <c r="TMO30" s="9"/>
      <c r="TMP30" s="10"/>
      <c r="TMQ30" s="11"/>
      <c r="TMR30" s="12"/>
      <c r="TMS30" s="12"/>
      <c r="TMT30" s="12"/>
      <c r="TMU30" s="13"/>
      <c r="TMV30" s="9"/>
      <c r="TMW30" s="9"/>
      <c r="TMX30" s="9"/>
      <c r="TMY30" s="9"/>
      <c r="TMZ30" s="10"/>
      <c r="TNA30" s="11"/>
      <c r="TNB30" s="12"/>
      <c r="TNC30" s="12"/>
      <c r="TND30" s="12"/>
      <c r="TNE30" s="13"/>
      <c r="TNF30" s="9"/>
      <c r="TNG30" s="9"/>
      <c r="TNH30" s="9"/>
      <c r="TNI30" s="9"/>
      <c r="TNJ30" s="10"/>
      <c r="TNK30" s="11"/>
      <c r="TNL30" s="12"/>
      <c r="TNM30" s="12"/>
      <c r="TNN30" s="12"/>
      <c r="TNO30" s="13"/>
      <c r="TNP30" s="9"/>
      <c r="TNQ30" s="9"/>
      <c r="TNR30" s="9"/>
      <c r="TNS30" s="9"/>
      <c r="TNT30" s="10"/>
      <c r="TNU30" s="11"/>
      <c r="TNV30" s="12"/>
      <c r="TNW30" s="12"/>
      <c r="TNX30" s="12"/>
      <c r="TNY30" s="13"/>
      <c r="TNZ30" s="9"/>
      <c r="TOA30" s="9"/>
      <c r="TOB30" s="9"/>
      <c r="TOC30" s="9"/>
      <c r="TOD30" s="10"/>
      <c r="TOE30" s="11"/>
      <c r="TOF30" s="12"/>
      <c r="TOG30" s="12"/>
      <c r="TOH30" s="12"/>
      <c r="TOI30" s="13"/>
      <c r="TOJ30" s="9"/>
      <c r="TOK30" s="9"/>
      <c r="TOL30" s="9"/>
      <c r="TOM30" s="9"/>
      <c r="TON30" s="10"/>
      <c r="TOO30" s="11"/>
      <c r="TOP30" s="12"/>
      <c r="TOQ30" s="12"/>
      <c r="TOR30" s="12"/>
      <c r="TOS30" s="13"/>
      <c r="TOT30" s="9"/>
      <c r="TOU30" s="9"/>
      <c r="TOV30" s="9"/>
      <c r="TOW30" s="9"/>
      <c r="TOX30" s="10"/>
      <c r="TOY30" s="11"/>
      <c r="TOZ30" s="12"/>
      <c r="TPA30" s="12"/>
      <c r="TPB30" s="12"/>
      <c r="TPC30" s="13"/>
      <c r="TPD30" s="9"/>
      <c r="TPE30" s="9"/>
      <c r="TPF30" s="9"/>
      <c r="TPG30" s="9"/>
      <c r="TPH30" s="10"/>
      <c r="TPI30" s="11"/>
      <c r="TPJ30" s="12"/>
      <c r="TPK30" s="12"/>
      <c r="TPL30" s="12"/>
      <c r="TPM30" s="13"/>
      <c r="TPN30" s="9"/>
      <c r="TPO30" s="9"/>
      <c r="TPP30" s="9"/>
      <c r="TPQ30" s="9"/>
      <c r="TPR30" s="10"/>
      <c r="TPS30" s="11"/>
      <c r="TPT30" s="12"/>
      <c r="TPU30" s="12"/>
      <c r="TPV30" s="12"/>
      <c r="TPW30" s="13"/>
      <c r="TPX30" s="9"/>
      <c r="TPY30" s="9"/>
      <c r="TPZ30" s="9"/>
      <c r="TQA30" s="9"/>
      <c r="TQB30" s="10"/>
      <c r="TQC30" s="11"/>
      <c r="TQD30" s="12"/>
      <c r="TQE30" s="12"/>
      <c r="TQF30" s="12"/>
      <c r="TQG30" s="13"/>
      <c r="TQH30" s="9"/>
      <c r="TQI30" s="9"/>
      <c r="TQJ30" s="9"/>
      <c r="TQK30" s="9"/>
      <c r="TQL30" s="10"/>
      <c r="TQM30" s="11"/>
      <c r="TQN30" s="12"/>
      <c r="TQO30" s="12"/>
      <c r="TQP30" s="12"/>
      <c r="TQQ30" s="13"/>
      <c r="TQR30" s="9"/>
      <c r="TQS30" s="9"/>
      <c r="TQT30" s="9"/>
      <c r="TQU30" s="9"/>
      <c r="TQV30" s="10"/>
      <c r="TQW30" s="11"/>
      <c r="TQX30" s="12"/>
      <c r="TQY30" s="12"/>
      <c r="TQZ30" s="12"/>
      <c r="TRA30" s="13"/>
      <c r="TRB30" s="9"/>
      <c r="TRC30" s="9"/>
      <c r="TRD30" s="9"/>
      <c r="TRE30" s="9"/>
      <c r="TRF30" s="10"/>
      <c r="TRG30" s="11"/>
      <c r="TRH30" s="12"/>
      <c r="TRI30" s="12"/>
      <c r="TRJ30" s="12"/>
      <c r="TRK30" s="13"/>
      <c r="TRL30" s="9"/>
      <c r="TRM30" s="9"/>
      <c r="TRN30" s="9"/>
      <c r="TRO30" s="9"/>
      <c r="TRP30" s="10"/>
      <c r="TRQ30" s="11"/>
      <c r="TRR30" s="12"/>
      <c r="TRS30" s="12"/>
      <c r="TRT30" s="12"/>
      <c r="TRU30" s="13"/>
      <c r="TRV30" s="9"/>
      <c r="TRW30" s="9"/>
      <c r="TRX30" s="9"/>
      <c r="TRY30" s="9"/>
      <c r="TRZ30" s="10"/>
      <c r="TSA30" s="11"/>
      <c r="TSB30" s="12"/>
      <c r="TSC30" s="12"/>
      <c r="TSD30" s="12"/>
      <c r="TSE30" s="13"/>
      <c r="TSF30" s="9"/>
      <c r="TSG30" s="9"/>
      <c r="TSH30" s="9"/>
      <c r="TSI30" s="9"/>
      <c r="TSJ30" s="10"/>
      <c r="TSK30" s="11"/>
      <c r="TSL30" s="12"/>
      <c r="TSM30" s="12"/>
      <c r="TSN30" s="12"/>
      <c r="TSO30" s="13"/>
      <c r="TSP30" s="9"/>
      <c r="TSQ30" s="9"/>
      <c r="TSR30" s="9"/>
      <c r="TSS30" s="9"/>
      <c r="TST30" s="10"/>
      <c r="TSU30" s="11"/>
      <c r="TSV30" s="12"/>
      <c r="TSW30" s="12"/>
      <c r="TSX30" s="12"/>
      <c r="TSY30" s="13"/>
      <c r="TSZ30" s="9"/>
      <c r="TTA30" s="9"/>
      <c r="TTB30" s="9"/>
      <c r="TTC30" s="9"/>
      <c r="TTD30" s="10"/>
      <c r="TTE30" s="11"/>
      <c r="TTF30" s="12"/>
      <c r="TTG30" s="12"/>
      <c r="TTH30" s="12"/>
      <c r="TTI30" s="13"/>
      <c r="TTJ30" s="9"/>
      <c r="TTK30" s="9"/>
      <c r="TTL30" s="9"/>
      <c r="TTM30" s="9"/>
      <c r="TTN30" s="10"/>
      <c r="TTO30" s="11"/>
      <c r="TTP30" s="12"/>
      <c r="TTQ30" s="12"/>
      <c r="TTR30" s="12"/>
      <c r="TTS30" s="13"/>
      <c r="TTT30" s="9"/>
      <c r="TTU30" s="9"/>
      <c r="TTV30" s="9"/>
      <c r="TTW30" s="9"/>
      <c r="TTX30" s="10"/>
      <c r="TTY30" s="11"/>
      <c r="TTZ30" s="12"/>
      <c r="TUA30" s="12"/>
      <c r="TUB30" s="12"/>
      <c r="TUC30" s="13"/>
      <c r="TUD30" s="9"/>
      <c r="TUE30" s="9"/>
      <c r="TUF30" s="9"/>
      <c r="TUG30" s="9"/>
      <c r="TUH30" s="10"/>
      <c r="TUI30" s="11"/>
      <c r="TUJ30" s="12"/>
      <c r="TUK30" s="12"/>
      <c r="TUL30" s="12"/>
      <c r="TUM30" s="13"/>
      <c r="TUN30" s="9"/>
      <c r="TUO30" s="9"/>
      <c r="TUP30" s="9"/>
      <c r="TUQ30" s="9"/>
      <c r="TUR30" s="10"/>
      <c r="TUS30" s="11"/>
      <c r="TUT30" s="12"/>
      <c r="TUU30" s="12"/>
      <c r="TUV30" s="12"/>
      <c r="TUW30" s="13"/>
      <c r="TUX30" s="9"/>
      <c r="TUY30" s="9"/>
      <c r="TUZ30" s="9"/>
      <c r="TVA30" s="9"/>
      <c r="TVB30" s="10"/>
      <c r="TVC30" s="11"/>
      <c r="TVD30" s="12"/>
      <c r="TVE30" s="12"/>
      <c r="TVF30" s="12"/>
      <c r="TVG30" s="13"/>
      <c r="TVH30" s="9"/>
      <c r="TVI30" s="9"/>
      <c r="TVJ30" s="9"/>
      <c r="TVK30" s="9"/>
      <c r="TVL30" s="10"/>
      <c r="TVM30" s="11"/>
      <c r="TVN30" s="12"/>
      <c r="TVO30" s="12"/>
      <c r="TVP30" s="12"/>
      <c r="TVQ30" s="13"/>
      <c r="TVR30" s="9"/>
      <c r="TVS30" s="9"/>
      <c r="TVT30" s="9"/>
      <c r="TVU30" s="9"/>
      <c r="TVV30" s="10"/>
      <c r="TVW30" s="11"/>
      <c r="TVX30" s="12"/>
      <c r="TVY30" s="12"/>
      <c r="TVZ30" s="12"/>
      <c r="TWA30" s="13"/>
      <c r="TWB30" s="9"/>
      <c r="TWC30" s="9"/>
      <c r="TWD30" s="9"/>
      <c r="TWE30" s="9"/>
      <c r="TWF30" s="10"/>
      <c r="TWG30" s="11"/>
      <c r="TWH30" s="12"/>
      <c r="TWI30" s="12"/>
      <c r="TWJ30" s="12"/>
      <c r="TWK30" s="13"/>
      <c r="TWL30" s="9"/>
      <c r="TWM30" s="9"/>
      <c r="TWN30" s="9"/>
      <c r="TWO30" s="9"/>
      <c r="TWP30" s="10"/>
      <c r="TWQ30" s="11"/>
      <c r="TWR30" s="12"/>
      <c r="TWS30" s="12"/>
      <c r="TWT30" s="12"/>
      <c r="TWU30" s="13"/>
      <c r="TWV30" s="9"/>
      <c r="TWW30" s="9"/>
      <c r="TWX30" s="9"/>
      <c r="TWY30" s="9"/>
      <c r="TWZ30" s="10"/>
      <c r="TXA30" s="11"/>
      <c r="TXB30" s="12"/>
      <c r="TXC30" s="12"/>
      <c r="TXD30" s="12"/>
      <c r="TXE30" s="13"/>
      <c r="TXF30" s="9"/>
      <c r="TXG30" s="9"/>
      <c r="TXH30" s="9"/>
      <c r="TXI30" s="9"/>
      <c r="TXJ30" s="10"/>
      <c r="TXK30" s="11"/>
      <c r="TXL30" s="12"/>
      <c r="TXM30" s="12"/>
      <c r="TXN30" s="12"/>
      <c r="TXO30" s="13"/>
      <c r="TXP30" s="9"/>
      <c r="TXQ30" s="9"/>
      <c r="TXR30" s="9"/>
      <c r="TXS30" s="9"/>
      <c r="TXT30" s="10"/>
      <c r="TXU30" s="11"/>
      <c r="TXV30" s="12"/>
      <c r="TXW30" s="12"/>
      <c r="TXX30" s="12"/>
      <c r="TXY30" s="13"/>
      <c r="TXZ30" s="9"/>
      <c r="TYA30" s="9"/>
      <c r="TYB30" s="9"/>
      <c r="TYC30" s="9"/>
      <c r="TYD30" s="10"/>
      <c r="TYE30" s="11"/>
      <c r="TYF30" s="12"/>
      <c r="TYG30" s="12"/>
      <c r="TYH30" s="12"/>
      <c r="TYI30" s="13"/>
      <c r="TYJ30" s="9"/>
      <c r="TYK30" s="9"/>
      <c r="TYL30" s="9"/>
      <c r="TYM30" s="9"/>
      <c r="TYN30" s="10"/>
      <c r="TYO30" s="11"/>
      <c r="TYP30" s="12"/>
      <c r="TYQ30" s="12"/>
      <c r="TYR30" s="12"/>
      <c r="TYS30" s="13"/>
      <c r="TYT30" s="9"/>
      <c r="TYU30" s="9"/>
      <c r="TYV30" s="9"/>
      <c r="TYW30" s="9"/>
      <c r="TYX30" s="10"/>
      <c r="TYY30" s="11"/>
      <c r="TYZ30" s="12"/>
      <c r="TZA30" s="12"/>
      <c r="TZB30" s="12"/>
      <c r="TZC30" s="13"/>
      <c r="TZD30" s="9"/>
      <c r="TZE30" s="9"/>
      <c r="TZF30" s="9"/>
      <c r="TZG30" s="9"/>
      <c r="TZH30" s="10"/>
      <c r="TZI30" s="11"/>
      <c r="TZJ30" s="12"/>
      <c r="TZK30" s="12"/>
      <c r="TZL30" s="12"/>
      <c r="TZM30" s="13"/>
      <c r="TZN30" s="9"/>
      <c r="TZO30" s="9"/>
      <c r="TZP30" s="9"/>
      <c r="TZQ30" s="9"/>
      <c r="TZR30" s="10"/>
      <c r="TZS30" s="11"/>
      <c r="TZT30" s="12"/>
      <c r="TZU30" s="12"/>
      <c r="TZV30" s="12"/>
      <c r="TZW30" s="13"/>
      <c r="TZX30" s="9"/>
      <c r="TZY30" s="9"/>
      <c r="TZZ30" s="9"/>
      <c r="UAA30" s="9"/>
      <c r="UAB30" s="10"/>
      <c r="UAC30" s="11"/>
      <c r="UAD30" s="12"/>
      <c r="UAE30" s="12"/>
      <c r="UAF30" s="12"/>
      <c r="UAG30" s="13"/>
      <c r="UAH30" s="9"/>
      <c r="UAI30" s="9"/>
      <c r="UAJ30" s="9"/>
      <c r="UAK30" s="9"/>
      <c r="UAL30" s="10"/>
      <c r="UAM30" s="11"/>
      <c r="UAN30" s="12"/>
      <c r="UAO30" s="12"/>
      <c r="UAP30" s="12"/>
      <c r="UAQ30" s="13"/>
      <c r="UAR30" s="9"/>
      <c r="UAS30" s="9"/>
      <c r="UAT30" s="9"/>
      <c r="UAU30" s="9"/>
      <c r="UAV30" s="10"/>
      <c r="UAW30" s="11"/>
      <c r="UAX30" s="12"/>
      <c r="UAY30" s="12"/>
      <c r="UAZ30" s="12"/>
      <c r="UBA30" s="13"/>
      <c r="UBB30" s="9"/>
      <c r="UBC30" s="9"/>
      <c r="UBD30" s="9"/>
      <c r="UBE30" s="9"/>
      <c r="UBF30" s="10"/>
      <c r="UBG30" s="11"/>
      <c r="UBH30" s="12"/>
      <c r="UBI30" s="12"/>
      <c r="UBJ30" s="12"/>
      <c r="UBK30" s="13"/>
      <c r="UBL30" s="9"/>
      <c r="UBM30" s="9"/>
      <c r="UBN30" s="9"/>
      <c r="UBO30" s="9"/>
      <c r="UBP30" s="10"/>
      <c r="UBQ30" s="11"/>
      <c r="UBR30" s="12"/>
      <c r="UBS30" s="12"/>
      <c r="UBT30" s="12"/>
      <c r="UBU30" s="13"/>
      <c r="UBV30" s="9"/>
      <c r="UBW30" s="9"/>
      <c r="UBX30" s="9"/>
      <c r="UBY30" s="9"/>
      <c r="UBZ30" s="10"/>
      <c r="UCA30" s="11"/>
      <c r="UCB30" s="12"/>
      <c r="UCC30" s="12"/>
      <c r="UCD30" s="12"/>
      <c r="UCE30" s="13"/>
      <c r="UCF30" s="9"/>
      <c r="UCG30" s="9"/>
      <c r="UCH30" s="9"/>
      <c r="UCI30" s="9"/>
      <c r="UCJ30" s="10"/>
      <c r="UCK30" s="11"/>
      <c r="UCL30" s="12"/>
      <c r="UCM30" s="12"/>
      <c r="UCN30" s="12"/>
      <c r="UCO30" s="13"/>
      <c r="UCP30" s="9"/>
      <c r="UCQ30" s="9"/>
      <c r="UCR30" s="9"/>
      <c r="UCS30" s="9"/>
      <c r="UCT30" s="10"/>
      <c r="UCU30" s="11"/>
      <c r="UCV30" s="12"/>
      <c r="UCW30" s="12"/>
      <c r="UCX30" s="12"/>
      <c r="UCY30" s="13"/>
      <c r="UCZ30" s="9"/>
      <c r="UDA30" s="9"/>
      <c r="UDB30" s="9"/>
      <c r="UDC30" s="9"/>
      <c r="UDD30" s="10"/>
      <c r="UDE30" s="11"/>
      <c r="UDF30" s="12"/>
      <c r="UDG30" s="12"/>
      <c r="UDH30" s="12"/>
      <c r="UDI30" s="13"/>
      <c r="UDJ30" s="9"/>
      <c r="UDK30" s="9"/>
      <c r="UDL30" s="9"/>
      <c r="UDM30" s="9"/>
      <c r="UDN30" s="10"/>
      <c r="UDO30" s="11"/>
      <c r="UDP30" s="12"/>
      <c r="UDQ30" s="12"/>
      <c r="UDR30" s="12"/>
      <c r="UDS30" s="13"/>
      <c r="UDT30" s="9"/>
      <c r="UDU30" s="9"/>
      <c r="UDV30" s="9"/>
      <c r="UDW30" s="9"/>
      <c r="UDX30" s="10"/>
      <c r="UDY30" s="11"/>
      <c r="UDZ30" s="12"/>
      <c r="UEA30" s="12"/>
      <c r="UEB30" s="12"/>
      <c r="UEC30" s="13"/>
      <c r="UED30" s="9"/>
      <c r="UEE30" s="9"/>
      <c r="UEF30" s="9"/>
      <c r="UEG30" s="9"/>
      <c r="UEH30" s="10"/>
      <c r="UEI30" s="11"/>
      <c r="UEJ30" s="12"/>
      <c r="UEK30" s="12"/>
      <c r="UEL30" s="12"/>
      <c r="UEM30" s="13"/>
      <c r="UEN30" s="9"/>
      <c r="UEO30" s="9"/>
      <c r="UEP30" s="9"/>
      <c r="UEQ30" s="9"/>
      <c r="UER30" s="10"/>
      <c r="UES30" s="11"/>
      <c r="UET30" s="12"/>
      <c r="UEU30" s="12"/>
      <c r="UEV30" s="12"/>
      <c r="UEW30" s="13"/>
      <c r="UEX30" s="9"/>
      <c r="UEY30" s="9"/>
      <c r="UEZ30" s="9"/>
      <c r="UFA30" s="9"/>
      <c r="UFB30" s="10"/>
      <c r="UFC30" s="11"/>
      <c r="UFD30" s="12"/>
      <c r="UFE30" s="12"/>
      <c r="UFF30" s="12"/>
      <c r="UFG30" s="13"/>
      <c r="UFH30" s="9"/>
      <c r="UFI30" s="9"/>
      <c r="UFJ30" s="9"/>
      <c r="UFK30" s="9"/>
      <c r="UFL30" s="10"/>
      <c r="UFM30" s="11"/>
      <c r="UFN30" s="12"/>
      <c r="UFO30" s="12"/>
      <c r="UFP30" s="12"/>
      <c r="UFQ30" s="13"/>
      <c r="UFR30" s="9"/>
      <c r="UFS30" s="9"/>
      <c r="UFT30" s="9"/>
      <c r="UFU30" s="9"/>
      <c r="UFV30" s="10"/>
      <c r="UFW30" s="11"/>
      <c r="UFX30" s="12"/>
      <c r="UFY30" s="12"/>
      <c r="UFZ30" s="12"/>
      <c r="UGA30" s="13"/>
      <c r="UGB30" s="9"/>
      <c r="UGC30" s="9"/>
      <c r="UGD30" s="9"/>
      <c r="UGE30" s="9"/>
      <c r="UGF30" s="10"/>
      <c r="UGG30" s="11"/>
      <c r="UGH30" s="12"/>
      <c r="UGI30" s="12"/>
      <c r="UGJ30" s="12"/>
      <c r="UGK30" s="13"/>
      <c r="UGL30" s="9"/>
      <c r="UGM30" s="9"/>
      <c r="UGN30" s="9"/>
      <c r="UGO30" s="9"/>
      <c r="UGP30" s="10"/>
      <c r="UGQ30" s="11"/>
      <c r="UGR30" s="12"/>
      <c r="UGS30" s="12"/>
      <c r="UGT30" s="12"/>
      <c r="UGU30" s="13"/>
      <c r="UGV30" s="9"/>
      <c r="UGW30" s="9"/>
      <c r="UGX30" s="9"/>
      <c r="UGY30" s="9"/>
      <c r="UGZ30" s="10"/>
      <c r="UHA30" s="11"/>
      <c r="UHB30" s="12"/>
      <c r="UHC30" s="12"/>
      <c r="UHD30" s="12"/>
      <c r="UHE30" s="13"/>
      <c r="UHF30" s="9"/>
      <c r="UHG30" s="9"/>
      <c r="UHH30" s="9"/>
      <c r="UHI30" s="9"/>
      <c r="UHJ30" s="10"/>
      <c r="UHK30" s="11"/>
      <c r="UHL30" s="12"/>
      <c r="UHM30" s="12"/>
      <c r="UHN30" s="12"/>
      <c r="UHO30" s="13"/>
      <c r="UHP30" s="9"/>
      <c r="UHQ30" s="9"/>
      <c r="UHR30" s="9"/>
      <c r="UHS30" s="9"/>
      <c r="UHT30" s="10"/>
      <c r="UHU30" s="11"/>
      <c r="UHV30" s="12"/>
      <c r="UHW30" s="12"/>
      <c r="UHX30" s="12"/>
      <c r="UHY30" s="13"/>
      <c r="UHZ30" s="9"/>
      <c r="UIA30" s="9"/>
      <c r="UIB30" s="9"/>
      <c r="UIC30" s="9"/>
      <c r="UID30" s="10"/>
      <c r="UIE30" s="11"/>
      <c r="UIF30" s="12"/>
      <c r="UIG30" s="12"/>
      <c r="UIH30" s="12"/>
      <c r="UII30" s="13"/>
      <c r="UIJ30" s="9"/>
      <c r="UIK30" s="9"/>
      <c r="UIL30" s="9"/>
      <c r="UIM30" s="9"/>
      <c r="UIN30" s="10"/>
      <c r="UIO30" s="11"/>
      <c r="UIP30" s="12"/>
      <c r="UIQ30" s="12"/>
      <c r="UIR30" s="12"/>
      <c r="UIS30" s="13"/>
      <c r="UIT30" s="9"/>
      <c r="UIU30" s="9"/>
      <c r="UIV30" s="9"/>
      <c r="UIW30" s="9"/>
      <c r="UIX30" s="10"/>
      <c r="UIY30" s="11"/>
      <c r="UIZ30" s="12"/>
      <c r="UJA30" s="12"/>
      <c r="UJB30" s="12"/>
      <c r="UJC30" s="13"/>
      <c r="UJD30" s="9"/>
      <c r="UJE30" s="9"/>
      <c r="UJF30" s="9"/>
      <c r="UJG30" s="9"/>
      <c r="UJH30" s="10"/>
      <c r="UJI30" s="11"/>
      <c r="UJJ30" s="12"/>
      <c r="UJK30" s="12"/>
      <c r="UJL30" s="12"/>
      <c r="UJM30" s="13"/>
      <c r="UJN30" s="9"/>
      <c r="UJO30" s="9"/>
      <c r="UJP30" s="9"/>
      <c r="UJQ30" s="9"/>
      <c r="UJR30" s="10"/>
      <c r="UJS30" s="11"/>
      <c r="UJT30" s="12"/>
      <c r="UJU30" s="12"/>
      <c r="UJV30" s="12"/>
      <c r="UJW30" s="13"/>
      <c r="UJX30" s="9"/>
      <c r="UJY30" s="9"/>
      <c r="UJZ30" s="9"/>
      <c r="UKA30" s="9"/>
      <c r="UKB30" s="10"/>
      <c r="UKC30" s="11"/>
      <c r="UKD30" s="12"/>
      <c r="UKE30" s="12"/>
      <c r="UKF30" s="12"/>
      <c r="UKG30" s="13"/>
      <c r="UKH30" s="9"/>
      <c r="UKI30" s="9"/>
      <c r="UKJ30" s="9"/>
      <c r="UKK30" s="9"/>
      <c r="UKL30" s="10"/>
      <c r="UKM30" s="11"/>
      <c r="UKN30" s="12"/>
      <c r="UKO30" s="12"/>
      <c r="UKP30" s="12"/>
      <c r="UKQ30" s="13"/>
      <c r="UKR30" s="9"/>
      <c r="UKS30" s="9"/>
      <c r="UKT30" s="9"/>
      <c r="UKU30" s="9"/>
      <c r="UKV30" s="10"/>
      <c r="UKW30" s="11"/>
      <c r="UKX30" s="12"/>
      <c r="UKY30" s="12"/>
      <c r="UKZ30" s="12"/>
      <c r="ULA30" s="13"/>
      <c r="ULB30" s="9"/>
      <c r="ULC30" s="9"/>
      <c r="ULD30" s="9"/>
      <c r="ULE30" s="9"/>
      <c r="ULF30" s="10"/>
      <c r="ULG30" s="11"/>
      <c r="ULH30" s="12"/>
      <c r="ULI30" s="12"/>
      <c r="ULJ30" s="12"/>
      <c r="ULK30" s="13"/>
      <c r="ULL30" s="9"/>
      <c r="ULM30" s="9"/>
      <c r="ULN30" s="9"/>
      <c r="ULO30" s="9"/>
      <c r="ULP30" s="10"/>
      <c r="ULQ30" s="11"/>
      <c r="ULR30" s="12"/>
      <c r="ULS30" s="12"/>
      <c r="ULT30" s="12"/>
      <c r="ULU30" s="13"/>
      <c r="ULV30" s="9"/>
      <c r="ULW30" s="9"/>
      <c r="ULX30" s="9"/>
      <c r="ULY30" s="9"/>
      <c r="ULZ30" s="10"/>
      <c r="UMA30" s="11"/>
      <c r="UMB30" s="12"/>
      <c r="UMC30" s="12"/>
      <c r="UMD30" s="12"/>
      <c r="UME30" s="13"/>
      <c r="UMF30" s="9"/>
      <c r="UMG30" s="9"/>
      <c r="UMH30" s="9"/>
      <c r="UMI30" s="9"/>
      <c r="UMJ30" s="10"/>
      <c r="UMK30" s="11"/>
      <c r="UML30" s="12"/>
      <c r="UMM30" s="12"/>
      <c r="UMN30" s="12"/>
      <c r="UMO30" s="13"/>
      <c r="UMP30" s="9"/>
      <c r="UMQ30" s="9"/>
      <c r="UMR30" s="9"/>
      <c r="UMS30" s="9"/>
      <c r="UMT30" s="10"/>
      <c r="UMU30" s="11"/>
      <c r="UMV30" s="12"/>
      <c r="UMW30" s="12"/>
      <c r="UMX30" s="12"/>
      <c r="UMY30" s="13"/>
      <c r="UMZ30" s="9"/>
      <c r="UNA30" s="9"/>
      <c r="UNB30" s="9"/>
      <c r="UNC30" s="9"/>
      <c r="UND30" s="10"/>
      <c r="UNE30" s="11"/>
      <c r="UNF30" s="12"/>
      <c r="UNG30" s="12"/>
      <c r="UNH30" s="12"/>
      <c r="UNI30" s="13"/>
      <c r="UNJ30" s="9"/>
      <c r="UNK30" s="9"/>
      <c r="UNL30" s="9"/>
      <c r="UNM30" s="9"/>
      <c r="UNN30" s="10"/>
      <c r="UNO30" s="11"/>
      <c r="UNP30" s="12"/>
      <c r="UNQ30" s="12"/>
      <c r="UNR30" s="12"/>
      <c r="UNS30" s="13"/>
      <c r="UNT30" s="9"/>
      <c r="UNU30" s="9"/>
      <c r="UNV30" s="9"/>
      <c r="UNW30" s="9"/>
      <c r="UNX30" s="10"/>
      <c r="UNY30" s="11"/>
      <c r="UNZ30" s="12"/>
      <c r="UOA30" s="12"/>
      <c r="UOB30" s="12"/>
      <c r="UOC30" s="13"/>
      <c r="UOD30" s="9"/>
      <c r="UOE30" s="9"/>
      <c r="UOF30" s="9"/>
      <c r="UOG30" s="9"/>
      <c r="UOH30" s="10"/>
      <c r="UOI30" s="11"/>
      <c r="UOJ30" s="12"/>
      <c r="UOK30" s="12"/>
      <c r="UOL30" s="12"/>
      <c r="UOM30" s="13"/>
      <c r="UON30" s="9"/>
      <c r="UOO30" s="9"/>
      <c r="UOP30" s="9"/>
      <c r="UOQ30" s="9"/>
      <c r="UOR30" s="10"/>
      <c r="UOS30" s="11"/>
      <c r="UOT30" s="12"/>
      <c r="UOU30" s="12"/>
      <c r="UOV30" s="12"/>
      <c r="UOW30" s="13"/>
      <c r="UOX30" s="9"/>
      <c r="UOY30" s="9"/>
      <c r="UOZ30" s="9"/>
      <c r="UPA30" s="9"/>
      <c r="UPB30" s="10"/>
      <c r="UPC30" s="11"/>
      <c r="UPD30" s="12"/>
      <c r="UPE30" s="12"/>
      <c r="UPF30" s="12"/>
      <c r="UPG30" s="13"/>
      <c r="UPH30" s="9"/>
      <c r="UPI30" s="9"/>
      <c r="UPJ30" s="9"/>
      <c r="UPK30" s="9"/>
      <c r="UPL30" s="10"/>
      <c r="UPM30" s="11"/>
      <c r="UPN30" s="12"/>
      <c r="UPO30" s="12"/>
      <c r="UPP30" s="12"/>
      <c r="UPQ30" s="13"/>
      <c r="UPR30" s="9"/>
      <c r="UPS30" s="9"/>
      <c r="UPT30" s="9"/>
      <c r="UPU30" s="9"/>
      <c r="UPV30" s="10"/>
      <c r="UPW30" s="11"/>
      <c r="UPX30" s="12"/>
      <c r="UPY30" s="12"/>
      <c r="UPZ30" s="12"/>
      <c r="UQA30" s="13"/>
      <c r="UQB30" s="9"/>
      <c r="UQC30" s="9"/>
      <c r="UQD30" s="9"/>
      <c r="UQE30" s="9"/>
      <c r="UQF30" s="10"/>
      <c r="UQG30" s="11"/>
      <c r="UQH30" s="12"/>
      <c r="UQI30" s="12"/>
      <c r="UQJ30" s="12"/>
      <c r="UQK30" s="13"/>
      <c r="UQL30" s="9"/>
      <c r="UQM30" s="9"/>
      <c r="UQN30" s="9"/>
      <c r="UQO30" s="9"/>
      <c r="UQP30" s="10"/>
      <c r="UQQ30" s="11"/>
      <c r="UQR30" s="12"/>
      <c r="UQS30" s="12"/>
      <c r="UQT30" s="12"/>
      <c r="UQU30" s="13"/>
      <c r="UQV30" s="9"/>
      <c r="UQW30" s="9"/>
      <c r="UQX30" s="9"/>
      <c r="UQY30" s="9"/>
      <c r="UQZ30" s="10"/>
      <c r="URA30" s="11"/>
      <c r="URB30" s="12"/>
      <c r="URC30" s="12"/>
      <c r="URD30" s="12"/>
      <c r="URE30" s="13"/>
      <c r="URF30" s="9"/>
      <c r="URG30" s="9"/>
      <c r="URH30" s="9"/>
      <c r="URI30" s="9"/>
      <c r="URJ30" s="10"/>
      <c r="URK30" s="11"/>
      <c r="URL30" s="12"/>
      <c r="URM30" s="12"/>
      <c r="URN30" s="12"/>
      <c r="URO30" s="13"/>
      <c r="URP30" s="9"/>
      <c r="URQ30" s="9"/>
      <c r="URR30" s="9"/>
      <c r="URS30" s="9"/>
      <c r="URT30" s="10"/>
      <c r="URU30" s="11"/>
      <c r="URV30" s="12"/>
      <c r="URW30" s="12"/>
      <c r="URX30" s="12"/>
      <c r="URY30" s="13"/>
      <c r="URZ30" s="9"/>
      <c r="USA30" s="9"/>
      <c r="USB30" s="9"/>
      <c r="USC30" s="9"/>
      <c r="USD30" s="10"/>
      <c r="USE30" s="11"/>
      <c r="USF30" s="12"/>
      <c r="USG30" s="12"/>
      <c r="USH30" s="12"/>
      <c r="USI30" s="13"/>
      <c r="USJ30" s="9"/>
      <c r="USK30" s="9"/>
      <c r="USL30" s="9"/>
      <c r="USM30" s="9"/>
      <c r="USN30" s="10"/>
      <c r="USO30" s="11"/>
      <c r="USP30" s="12"/>
      <c r="USQ30" s="12"/>
      <c r="USR30" s="12"/>
      <c r="USS30" s="13"/>
      <c r="UST30" s="9"/>
      <c r="USU30" s="9"/>
      <c r="USV30" s="9"/>
      <c r="USW30" s="9"/>
      <c r="USX30" s="10"/>
      <c r="USY30" s="11"/>
      <c r="USZ30" s="12"/>
      <c r="UTA30" s="12"/>
      <c r="UTB30" s="12"/>
      <c r="UTC30" s="13"/>
      <c r="UTD30" s="9"/>
      <c r="UTE30" s="9"/>
      <c r="UTF30" s="9"/>
      <c r="UTG30" s="9"/>
      <c r="UTH30" s="10"/>
      <c r="UTI30" s="11"/>
      <c r="UTJ30" s="12"/>
      <c r="UTK30" s="12"/>
      <c r="UTL30" s="12"/>
      <c r="UTM30" s="13"/>
      <c r="UTN30" s="9"/>
      <c r="UTO30" s="9"/>
      <c r="UTP30" s="9"/>
      <c r="UTQ30" s="9"/>
      <c r="UTR30" s="10"/>
      <c r="UTS30" s="11"/>
      <c r="UTT30" s="12"/>
      <c r="UTU30" s="12"/>
      <c r="UTV30" s="12"/>
      <c r="UTW30" s="13"/>
      <c r="UTX30" s="9"/>
      <c r="UTY30" s="9"/>
      <c r="UTZ30" s="9"/>
      <c r="UUA30" s="9"/>
      <c r="UUB30" s="10"/>
      <c r="UUC30" s="11"/>
      <c r="UUD30" s="12"/>
      <c r="UUE30" s="12"/>
      <c r="UUF30" s="12"/>
      <c r="UUG30" s="13"/>
      <c r="UUH30" s="9"/>
      <c r="UUI30" s="9"/>
      <c r="UUJ30" s="9"/>
      <c r="UUK30" s="9"/>
      <c r="UUL30" s="10"/>
      <c r="UUM30" s="11"/>
      <c r="UUN30" s="12"/>
      <c r="UUO30" s="12"/>
      <c r="UUP30" s="12"/>
      <c r="UUQ30" s="13"/>
      <c r="UUR30" s="9"/>
      <c r="UUS30" s="9"/>
      <c r="UUT30" s="9"/>
      <c r="UUU30" s="9"/>
      <c r="UUV30" s="10"/>
      <c r="UUW30" s="11"/>
      <c r="UUX30" s="12"/>
      <c r="UUY30" s="12"/>
      <c r="UUZ30" s="12"/>
      <c r="UVA30" s="13"/>
      <c r="UVB30" s="9"/>
      <c r="UVC30" s="9"/>
      <c r="UVD30" s="9"/>
      <c r="UVE30" s="9"/>
      <c r="UVF30" s="10"/>
      <c r="UVG30" s="11"/>
      <c r="UVH30" s="12"/>
      <c r="UVI30" s="12"/>
      <c r="UVJ30" s="12"/>
      <c r="UVK30" s="13"/>
      <c r="UVL30" s="9"/>
      <c r="UVM30" s="9"/>
      <c r="UVN30" s="9"/>
      <c r="UVO30" s="9"/>
      <c r="UVP30" s="10"/>
      <c r="UVQ30" s="11"/>
      <c r="UVR30" s="12"/>
      <c r="UVS30" s="12"/>
      <c r="UVT30" s="12"/>
      <c r="UVU30" s="13"/>
      <c r="UVV30" s="9"/>
      <c r="UVW30" s="9"/>
      <c r="UVX30" s="9"/>
      <c r="UVY30" s="9"/>
      <c r="UVZ30" s="10"/>
      <c r="UWA30" s="11"/>
      <c r="UWB30" s="12"/>
      <c r="UWC30" s="12"/>
      <c r="UWD30" s="12"/>
      <c r="UWE30" s="13"/>
      <c r="UWF30" s="9"/>
      <c r="UWG30" s="9"/>
      <c r="UWH30" s="9"/>
      <c r="UWI30" s="9"/>
      <c r="UWJ30" s="10"/>
      <c r="UWK30" s="11"/>
      <c r="UWL30" s="12"/>
      <c r="UWM30" s="12"/>
      <c r="UWN30" s="12"/>
      <c r="UWO30" s="13"/>
      <c r="UWP30" s="9"/>
      <c r="UWQ30" s="9"/>
      <c r="UWR30" s="9"/>
      <c r="UWS30" s="9"/>
      <c r="UWT30" s="10"/>
      <c r="UWU30" s="11"/>
      <c r="UWV30" s="12"/>
      <c r="UWW30" s="12"/>
      <c r="UWX30" s="12"/>
      <c r="UWY30" s="13"/>
      <c r="UWZ30" s="9"/>
      <c r="UXA30" s="9"/>
      <c r="UXB30" s="9"/>
      <c r="UXC30" s="9"/>
      <c r="UXD30" s="10"/>
      <c r="UXE30" s="11"/>
      <c r="UXF30" s="12"/>
      <c r="UXG30" s="12"/>
      <c r="UXH30" s="12"/>
      <c r="UXI30" s="13"/>
      <c r="UXJ30" s="9"/>
      <c r="UXK30" s="9"/>
      <c r="UXL30" s="9"/>
      <c r="UXM30" s="9"/>
      <c r="UXN30" s="10"/>
      <c r="UXO30" s="11"/>
      <c r="UXP30" s="12"/>
      <c r="UXQ30" s="12"/>
      <c r="UXR30" s="12"/>
      <c r="UXS30" s="13"/>
      <c r="UXT30" s="9"/>
      <c r="UXU30" s="9"/>
      <c r="UXV30" s="9"/>
      <c r="UXW30" s="9"/>
      <c r="UXX30" s="10"/>
      <c r="UXY30" s="11"/>
      <c r="UXZ30" s="12"/>
      <c r="UYA30" s="12"/>
      <c r="UYB30" s="12"/>
      <c r="UYC30" s="13"/>
      <c r="UYD30" s="9"/>
      <c r="UYE30" s="9"/>
      <c r="UYF30" s="9"/>
      <c r="UYG30" s="9"/>
      <c r="UYH30" s="10"/>
      <c r="UYI30" s="11"/>
      <c r="UYJ30" s="12"/>
      <c r="UYK30" s="12"/>
      <c r="UYL30" s="12"/>
      <c r="UYM30" s="13"/>
      <c r="UYN30" s="9"/>
      <c r="UYO30" s="9"/>
      <c r="UYP30" s="9"/>
      <c r="UYQ30" s="9"/>
      <c r="UYR30" s="10"/>
      <c r="UYS30" s="11"/>
      <c r="UYT30" s="12"/>
      <c r="UYU30" s="12"/>
      <c r="UYV30" s="12"/>
      <c r="UYW30" s="13"/>
      <c r="UYX30" s="9"/>
      <c r="UYY30" s="9"/>
      <c r="UYZ30" s="9"/>
      <c r="UZA30" s="9"/>
      <c r="UZB30" s="10"/>
      <c r="UZC30" s="11"/>
      <c r="UZD30" s="12"/>
      <c r="UZE30" s="12"/>
      <c r="UZF30" s="12"/>
      <c r="UZG30" s="13"/>
      <c r="UZH30" s="9"/>
      <c r="UZI30" s="9"/>
      <c r="UZJ30" s="9"/>
      <c r="UZK30" s="9"/>
      <c r="UZL30" s="10"/>
      <c r="UZM30" s="11"/>
      <c r="UZN30" s="12"/>
      <c r="UZO30" s="12"/>
      <c r="UZP30" s="12"/>
      <c r="UZQ30" s="13"/>
      <c r="UZR30" s="9"/>
      <c r="UZS30" s="9"/>
      <c r="UZT30" s="9"/>
      <c r="UZU30" s="9"/>
      <c r="UZV30" s="10"/>
      <c r="UZW30" s="11"/>
      <c r="UZX30" s="12"/>
      <c r="UZY30" s="12"/>
      <c r="UZZ30" s="12"/>
      <c r="VAA30" s="13"/>
      <c r="VAB30" s="9"/>
      <c r="VAC30" s="9"/>
      <c r="VAD30" s="9"/>
      <c r="VAE30" s="9"/>
      <c r="VAF30" s="10"/>
      <c r="VAG30" s="11"/>
      <c r="VAH30" s="12"/>
      <c r="VAI30" s="12"/>
      <c r="VAJ30" s="12"/>
      <c r="VAK30" s="13"/>
      <c r="VAL30" s="9"/>
      <c r="VAM30" s="9"/>
      <c r="VAN30" s="9"/>
      <c r="VAO30" s="9"/>
      <c r="VAP30" s="10"/>
      <c r="VAQ30" s="11"/>
      <c r="VAR30" s="12"/>
      <c r="VAS30" s="12"/>
      <c r="VAT30" s="12"/>
      <c r="VAU30" s="13"/>
      <c r="VAV30" s="9"/>
      <c r="VAW30" s="9"/>
      <c r="VAX30" s="9"/>
      <c r="VAY30" s="9"/>
      <c r="VAZ30" s="10"/>
      <c r="VBA30" s="11"/>
      <c r="VBB30" s="12"/>
      <c r="VBC30" s="12"/>
      <c r="VBD30" s="12"/>
      <c r="VBE30" s="13"/>
      <c r="VBF30" s="9"/>
      <c r="VBG30" s="9"/>
      <c r="VBH30" s="9"/>
      <c r="VBI30" s="9"/>
      <c r="VBJ30" s="10"/>
      <c r="VBK30" s="11"/>
      <c r="VBL30" s="12"/>
      <c r="VBM30" s="12"/>
      <c r="VBN30" s="12"/>
      <c r="VBO30" s="13"/>
      <c r="VBP30" s="9"/>
      <c r="VBQ30" s="9"/>
      <c r="VBR30" s="9"/>
      <c r="VBS30" s="9"/>
      <c r="VBT30" s="10"/>
      <c r="VBU30" s="11"/>
      <c r="VBV30" s="12"/>
      <c r="VBW30" s="12"/>
      <c r="VBX30" s="12"/>
      <c r="VBY30" s="13"/>
      <c r="VBZ30" s="9"/>
      <c r="VCA30" s="9"/>
      <c r="VCB30" s="9"/>
      <c r="VCC30" s="9"/>
      <c r="VCD30" s="10"/>
      <c r="VCE30" s="11"/>
      <c r="VCF30" s="12"/>
      <c r="VCG30" s="12"/>
      <c r="VCH30" s="12"/>
      <c r="VCI30" s="13"/>
      <c r="VCJ30" s="9"/>
      <c r="VCK30" s="9"/>
      <c r="VCL30" s="9"/>
      <c r="VCM30" s="9"/>
      <c r="VCN30" s="10"/>
      <c r="VCO30" s="11"/>
      <c r="VCP30" s="12"/>
      <c r="VCQ30" s="12"/>
      <c r="VCR30" s="12"/>
      <c r="VCS30" s="13"/>
      <c r="VCT30" s="9"/>
      <c r="VCU30" s="9"/>
      <c r="VCV30" s="9"/>
      <c r="VCW30" s="9"/>
      <c r="VCX30" s="10"/>
      <c r="VCY30" s="11"/>
      <c r="VCZ30" s="12"/>
      <c r="VDA30" s="12"/>
      <c r="VDB30" s="12"/>
      <c r="VDC30" s="13"/>
      <c r="VDD30" s="9"/>
      <c r="VDE30" s="9"/>
      <c r="VDF30" s="9"/>
      <c r="VDG30" s="9"/>
      <c r="VDH30" s="10"/>
      <c r="VDI30" s="11"/>
      <c r="VDJ30" s="12"/>
      <c r="VDK30" s="12"/>
      <c r="VDL30" s="12"/>
      <c r="VDM30" s="13"/>
      <c r="VDN30" s="9"/>
      <c r="VDO30" s="9"/>
      <c r="VDP30" s="9"/>
      <c r="VDQ30" s="9"/>
      <c r="VDR30" s="10"/>
      <c r="VDS30" s="11"/>
      <c r="VDT30" s="12"/>
      <c r="VDU30" s="12"/>
      <c r="VDV30" s="12"/>
      <c r="VDW30" s="13"/>
      <c r="VDX30" s="9"/>
      <c r="VDY30" s="9"/>
      <c r="VDZ30" s="9"/>
      <c r="VEA30" s="9"/>
      <c r="VEB30" s="10"/>
      <c r="VEC30" s="11"/>
      <c r="VED30" s="12"/>
      <c r="VEE30" s="12"/>
      <c r="VEF30" s="12"/>
      <c r="VEG30" s="13"/>
      <c r="VEH30" s="9"/>
      <c r="VEI30" s="9"/>
      <c r="VEJ30" s="9"/>
      <c r="VEK30" s="9"/>
      <c r="VEL30" s="10"/>
      <c r="VEM30" s="11"/>
      <c r="VEN30" s="12"/>
      <c r="VEO30" s="12"/>
      <c r="VEP30" s="12"/>
      <c r="VEQ30" s="13"/>
      <c r="VER30" s="9"/>
      <c r="VES30" s="9"/>
      <c r="VET30" s="9"/>
      <c r="VEU30" s="9"/>
      <c r="VEV30" s="10"/>
      <c r="VEW30" s="11"/>
      <c r="VEX30" s="12"/>
      <c r="VEY30" s="12"/>
      <c r="VEZ30" s="12"/>
      <c r="VFA30" s="13"/>
      <c r="VFB30" s="9"/>
      <c r="VFC30" s="9"/>
      <c r="VFD30" s="9"/>
      <c r="VFE30" s="9"/>
      <c r="VFF30" s="10"/>
      <c r="VFG30" s="11"/>
      <c r="VFH30" s="12"/>
      <c r="VFI30" s="12"/>
      <c r="VFJ30" s="12"/>
      <c r="VFK30" s="13"/>
      <c r="VFL30" s="9"/>
      <c r="VFM30" s="9"/>
      <c r="VFN30" s="9"/>
      <c r="VFO30" s="9"/>
      <c r="VFP30" s="10"/>
      <c r="VFQ30" s="11"/>
      <c r="VFR30" s="12"/>
      <c r="VFS30" s="12"/>
      <c r="VFT30" s="12"/>
      <c r="VFU30" s="13"/>
      <c r="VFV30" s="9"/>
      <c r="VFW30" s="9"/>
      <c r="VFX30" s="9"/>
      <c r="VFY30" s="9"/>
      <c r="VFZ30" s="10"/>
      <c r="VGA30" s="11"/>
      <c r="VGB30" s="12"/>
      <c r="VGC30" s="12"/>
      <c r="VGD30" s="12"/>
      <c r="VGE30" s="13"/>
      <c r="VGF30" s="9"/>
      <c r="VGG30" s="9"/>
      <c r="VGH30" s="9"/>
      <c r="VGI30" s="9"/>
      <c r="VGJ30" s="10"/>
      <c r="VGK30" s="11"/>
      <c r="VGL30" s="12"/>
      <c r="VGM30" s="12"/>
      <c r="VGN30" s="12"/>
      <c r="VGO30" s="13"/>
      <c r="VGP30" s="9"/>
      <c r="VGQ30" s="9"/>
      <c r="VGR30" s="9"/>
      <c r="VGS30" s="9"/>
      <c r="VGT30" s="10"/>
      <c r="VGU30" s="11"/>
      <c r="VGV30" s="12"/>
      <c r="VGW30" s="12"/>
      <c r="VGX30" s="12"/>
      <c r="VGY30" s="13"/>
      <c r="VGZ30" s="9"/>
      <c r="VHA30" s="9"/>
      <c r="VHB30" s="9"/>
      <c r="VHC30" s="9"/>
      <c r="VHD30" s="10"/>
      <c r="VHE30" s="11"/>
      <c r="VHF30" s="12"/>
      <c r="VHG30" s="12"/>
      <c r="VHH30" s="12"/>
      <c r="VHI30" s="13"/>
      <c r="VHJ30" s="9"/>
      <c r="VHK30" s="9"/>
      <c r="VHL30" s="9"/>
      <c r="VHM30" s="9"/>
      <c r="VHN30" s="10"/>
      <c r="VHO30" s="11"/>
      <c r="VHP30" s="12"/>
      <c r="VHQ30" s="12"/>
      <c r="VHR30" s="12"/>
      <c r="VHS30" s="13"/>
      <c r="VHT30" s="9"/>
      <c r="VHU30" s="9"/>
      <c r="VHV30" s="9"/>
      <c r="VHW30" s="9"/>
      <c r="VHX30" s="10"/>
      <c r="VHY30" s="11"/>
      <c r="VHZ30" s="12"/>
      <c r="VIA30" s="12"/>
      <c r="VIB30" s="12"/>
      <c r="VIC30" s="13"/>
      <c r="VID30" s="9"/>
      <c r="VIE30" s="9"/>
      <c r="VIF30" s="9"/>
      <c r="VIG30" s="9"/>
      <c r="VIH30" s="10"/>
      <c r="VII30" s="11"/>
      <c r="VIJ30" s="12"/>
      <c r="VIK30" s="12"/>
      <c r="VIL30" s="12"/>
      <c r="VIM30" s="13"/>
      <c r="VIN30" s="9"/>
      <c r="VIO30" s="9"/>
      <c r="VIP30" s="9"/>
      <c r="VIQ30" s="9"/>
      <c r="VIR30" s="10"/>
      <c r="VIS30" s="11"/>
      <c r="VIT30" s="12"/>
      <c r="VIU30" s="12"/>
      <c r="VIV30" s="12"/>
      <c r="VIW30" s="13"/>
      <c r="VIX30" s="9"/>
      <c r="VIY30" s="9"/>
      <c r="VIZ30" s="9"/>
      <c r="VJA30" s="9"/>
      <c r="VJB30" s="10"/>
      <c r="VJC30" s="11"/>
      <c r="VJD30" s="12"/>
      <c r="VJE30" s="12"/>
      <c r="VJF30" s="12"/>
      <c r="VJG30" s="13"/>
      <c r="VJH30" s="9"/>
      <c r="VJI30" s="9"/>
      <c r="VJJ30" s="9"/>
      <c r="VJK30" s="9"/>
      <c r="VJL30" s="10"/>
      <c r="VJM30" s="11"/>
      <c r="VJN30" s="12"/>
      <c r="VJO30" s="12"/>
      <c r="VJP30" s="12"/>
      <c r="VJQ30" s="13"/>
      <c r="VJR30" s="9"/>
      <c r="VJS30" s="9"/>
      <c r="VJT30" s="9"/>
      <c r="VJU30" s="9"/>
      <c r="VJV30" s="10"/>
      <c r="VJW30" s="11"/>
      <c r="VJX30" s="12"/>
      <c r="VJY30" s="12"/>
      <c r="VJZ30" s="12"/>
      <c r="VKA30" s="13"/>
      <c r="VKB30" s="9"/>
      <c r="VKC30" s="9"/>
      <c r="VKD30" s="9"/>
      <c r="VKE30" s="9"/>
      <c r="VKF30" s="10"/>
      <c r="VKG30" s="11"/>
      <c r="VKH30" s="12"/>
      <c r="VKI30" s="12"/>
      <c r="VKJ30" s="12"/>
      <c r="VKK30" s="13"/>
      <c r="VKL30" s="9"/>
      <c r="VKM30" s="9"/>
      <c r="VKN30" s="9"/>
      <c r="VKO30" s="9"/>
      <c r="VKP30" s="10"/>
      <c r="VKQ30" s="11"/>
      <c r="VKR30" s="12"/>
      <c r="VKS30" s="12"/>
      <c r="VKT30" s="12"/>
      <c r="VKU30" s="13"/>
      <c r="VKV30" s="9"/>
      <c r="VKW30" s="9"/>
      <c r="VKX30" s="9"/>
      <c r="VKY30" s="9"/>
      <c r="VKZ30" s="10"/>
      <c r="VLA30" s="11"/>
      <c r="VLB30" s="12"/>
      <c r="VLC30" s="12"/>
      <c r="VLD30" s="12"/>
      <c r="VLE30" s="13"/>
      <c r="VLF30" s="9"/>
      <c r="VLG30" s="9"/>
      <c r="VLH30" s="9"/>
      <c r="VLI30" s="9"/>
      <c r="VLJ30" s="10"/>
      <c r="VLK30" s="11"/>
      <c r="VLL30" s="12"/>
      <c r="VLM30" s="12"/>
      <c r="VLN30" s="12"/>
      <c r="VLO30" s="13"/>
      <c r="VLP30" s="9"/>
      <c r="VLQ30" s="9"/>
      <c r="VLR30" s="9"/>
      <c r="VLS30" s="9"/>
      <c r="VLT30" s="10"/>
      <c r="VLU30" s="11"/>
      <c r="VLV30" s="12"/>
      <c r="VLW30" s="12"/>
      <c r="VLX30" s="12"/>
      <c r="VLY30" s="13"/>
      <c r="VLZ30" s="9"/>
      <c r="VMA30" s="9"/>
      <c r="VMB30" s="9"/>
      <c r="VMC30" s="9"/>
      <c r="VMD30" s="10"/>
      <c r="VME30" s="11"/>
      <c r="VMF30" s="12"/>
      <c r="VMG30" s="12"/>
      <c r="VMH30" s="12"/>
      <c r="VMI30" s="13"/>
      <c r="VMJ30" s="9"/>
      <c r="VMK30" s="9"/>
      <c r="VML30" s="9"/>
      <c r="VMM30" s="9"/>
      <c r="VMN30" s="10"/>
      <c r="VMO30" s="11"/>
      <c r="VMP30" s="12"/>
      <c r="VMQ30" s="12"/>
      <c r="VMR30" s="12"/>
      <c r="VMS30" s="13"/>
      <c r="VMT30" s="9"/>
      <c r="VMU30" s="9"/>
      <c r="VMV30" s="9"/>
      <c r="VMW30" s="9"/>
      <c r="VMX30" s="10"/>
      <c r="VMY30" s="11"/>
      <c r="VMZ30" s="12"/>
      <c r="VNA30" s="12"/>
      <c r="VNB30" s="12"/>
      <c r="VNC30" s="13"/>
      <c r="VND30" s="9"/>
      <c r="VNE30" s="9"/>
      <c r="VNF30" s="9"/>
      <c r="VNG30" s="9"/>
      <c r="VNH30" s="10"/>
      <c r="VNI30" s="11"/>
      <c r="VNJ30" s="12"/>
      <c r="VNK30" s="12"/>
      <c r="VNL30" s="12"/>
      <c r="VNM30" s="13"/>
      <c r="VNN30" s="9"/>
      <c r="VNO30" s="9"/>
      <c r="VNP30" s="9"/>
      <c r="VNQ30" s="9"/>
      <c r="VNR30" s="10"/>
      <c r="VNS30" s="11"/>
      <c r="VNT30" s="12"/>
      <c r="VNU30" s="12"/>
      <c r="VNV30" s="12"/>
      <c r="VNW30" s="13"/>
      <c r="VNX30" s="9"/>
      <c r="VNY30" s="9"/>
      <c r="VNZ30" s="9"/>
      <c r="VOA30" s="9"/>
      <c r="VOB30" s="10"/>
      <c r="VOC30" s="11"/>
      <c r="VOD30" s="12"/>
      <c r="VOE30" s="12"/>
      <c r="VOF30" s="12"/>
      <c r="VOG30" s="13"/>
      <c r="VOH30" s="9"/>
      <c r="VOI30" s="9"/>
      <c r="VOJ30" s="9"/>
      <c r="VOK30" s="9"/>
      <c r="VOL30" s="10"/>
      <c r="VOM30" s="11"/>
      <c r="VON30" s="12"/>
      <c r="VOO30" s="12"/>
      <c r="VOP30" s="12"/>
      <c r="VOQ30" s="13"/>
      <c r="VOR30" s="9"/>
      <c r="VOS30" s="9"/>
      <c r="VOT30" s="9"/>
      <c r="VOU30" s="9"/>
      <c r="VOV30" s="10"/>
      <c r="VOW30" s="11"/>
      <c r="VOX30" s="12"/>
      <c r="VOY30" s="12"/>
      <c r="VOZ30" s="12"/>
      <c r="VPA30" s="13"/>
      <c r="VPB30" s="9"/>
      <c r="VPC30" s="9"/>
      <c r="VPD30" s="9"/>
      <c r="VPE30" s="9"/>
      <c r="VPF30" s="10"/>
      <c r="VPG30" s="11"/>
      <c r="VPH30" s="12"/>
      <c r="VPI30" s="12"/>
      <c r="VPJ30" s="12"/>
      <c r="VPK30" s="13"/>
      <c r="VPL30" s="9"/>
      <c r="VPM30" s="9"/>
      <c r="VPN30" s="9"/>
      <c r="VPO30" s="9"/>
      <c r="VPP30" s="10"/>
      <c r="VPQ30" s="11"/>
      <c r="VPR30" s="12"/>
      <c r="VPS30" s="12"/>
      <c r="VPT30" s="12"/>
      <c r="VPU30" s="13"/>
      <c r="VPV30" s="9"/>
      <c r="VPW30" s="9"/>
      <c r="VPX30" s="9"/>
      <c r="VPY30" s="9"/>
      <c r="VPZ30" s="10"/>
      <c r="VQA30" s="11"/>
      <c r="VQB30" s="12"/>
      <c r="VQC30" s="12"/>
      <c r="VQD30" s="12"/>
      <c r="VQE30" s="13"/>
      <c r="VQF30" s="9"/>
      <c r="VQG30" s="9"/>
      <c r="VQH30" s="9"/>
      <c r="VQI30" s="9"/>
      <c r="VQJ30" s="10"/>
      <c r="VQK30" s="11"/>
      <c r="VQL30" s="12"/>
      <c r="VQM30" s="12"/>
      <c r="VQN30" s="12"/>
      <c r="VQO30" s="13"/>
      <c r="VQP30" s="9"/>
      <c r="VQQ30" s="9"/>
      <c r="VQR30" s="9"/>
      <c r="VQS30" s="9"/>
      <c r="VQT30" s="10"/>
      <c r="VQU30" s="11"/>
      <c r="VQV30" s="12"/>
      <c r="VQW30" s="12"/>
      <c r="VQX30" s="12"/>
      <c r="VQY30" s="13"/>
      <c r="VQZ30" s="9"/>
      <c r="VRA30" s="9"/>
      <c r="VRB30" s="9"/>
      <c r="VRC30" s="9"/>
      <c r="VRD30" s="10"/>
      <c r="VRE30" s="11"/>
      <c r="VRF30" s="12"/>
      <c r="VRG30" s="12"/>
      <c r="VRH30" s="12"/>
      <c r="VRI30" s="13"/>
      <c r="VRJ30" s="9"/>
      <c r="VRK30" s="9"/>
      <c r="VRL30" s="9"/>
      <c r="VRM30" s="9"/>
      <c r="VRN30" s="10"/>
      <c r="VRO30" s="11"/>
      <c r="VRP30" s="12"/>
      <c r="VRQ30" s="12"/>
      <c r="VRR30" s="12"/>
      <c r="VRS30" s="13"/>
      <c r="VRT30" s="9"/>
      <c r="VRU30" s="9"/>
      <c r="VRV30" s="9"/>
      <c r="VRW30" s="9"/>
      <c r="VRX30" s="10"/>
      <c r="VRY30" s="11"/>
      <c r="VRZ30" s="12"/>
      <c r="VSA30" s="12"/>
      <c r="VSB30" s="12"/>
      <c r="VSC30" s="13"/>
      <c r="VSD30" s="9"/>
      <c r="VSE30" s="9"/>
      <c r="VSF30" s="9"/>
      <c r="VSG30" s="9"/>
      <c r="VSH30" s="10"/>
      <c r="VSI30" s="11"/>
      <c r="VSJ30" s="12"/>
      <c r="VSK30" s="12"/>
      <c r="VSL30" s="12"/>
      <c r="VSM30" s="13"/>
      <c r="VSN30" s="9"/>
      <c r="VSO30" s="9"/>
      <c r="VSP30" s="9"/>
      <c r="VSQ30" s="9"/>
      <c r="VSR30" s="10"/>
      <c r="VSS30" s="11"/>
      <c r="VST30" s="12"/>
      <c r="VSU30" s="12"/>
      <c r="VSV30" s="12"/>
      <c r="VSW30" s="13"/>
      <c r="VSX30" s="9"/>
      <c r="VSY30" s="9"/>
      <c r="VSZ30" s="9"/>
      <c r="VTA30" s="9"/>
      <c r="VTB30" s="10"/>
      <c r="VTC30" s="11"/>
      <c r="VTD30" s="12"/>
      <c r="VTE30" s="12"/>
      <c r="VTF30" s="12"/>
      <c r="VTG30" s="13"/>
      <c r="VTH30" s="9"/>
      <c r="VTI30" s="9"/>
      <c r="VTJ30" s="9"/>
      <c r="VTK30" s="9"/>
      <c r="VTL30" s="10"/>
      <c r="VTM30" s="11"/>
      <c r="VTN30" s="12"/>
      <c r="VTO30" s="12"/>
      <c r="VTP30" s="12"/>
      <c r="VTQ30" s="13"/>
      <c r="VTR30" s="9"/>
      <c r="VTS30" s="9"/>
      <c r="VTT30" s="9"/>
      <c r="VTU30" s="9"/>
      <c r="VTV30" s="10"/>
      <c r="VTW30" s="11"/>
      <c r="VTX30" s="12"/>
      <c r="VTY30" s="12"/>
      <c r="VTZ30" s="12"/>
      <c r="VUA30" s="13"/>
      <c r="VUB30" s="9"/>
      <c r="VUC30" s="9"/>
      <c r="VUD30" s="9"/>
      <c r="VUE30" s="9"/>
      <c r="VUF30" s="10"/>
      <c r="VUG30" s="11"/>
      <c r="VUH30" s="12"/>
      <c r="VUI30" s="12"/>
      <c r="VUJ30" s="12"/>
      <c r="VUK30" s="13"/>
      <c r="VUL30" s="9"/>
      <c r="VUM30" s="9"/>
      <c r="VUN30" s="9"/>
      <c r="VUO30" s="9"/>
      <c r="VUP30" s="10"/>
      <c r="VUQ30" s="11"/>
      <c r="VUR30" s="12"/>
      <c r="VUS30" s="12"/>
      <c r="VUT30" s="12"/>
      <c r="VUU30" s="13"/>
      <c r="VUV30" s="9"/>
      <c r="VUW30" s="9"/>
      <c r="VUX30" s="9"/>
      <c r="VUY30" s="9"/>
      <c r="VUZ30" s="10"/>
      <c r="VVA30" s="11"/>
      <c r="VVB30" s="12"/>
      <c r="VVC30" s="12"/>
      <c r="VVD30" s="12"/>
      <c r="VVE30" s="13"/>
      <c r="VVF30" s="9"/>
      <c r="VVG30" s="9"/>
      <c r="VVH30" s="9"/>
      <c r="VVI30" s="9"/>
      <c r="VVJ30" s="10"/>
      <c r="VVK30" s="11"/>
      <c r="VVL30" s="12"/>
      <c r="VVM30" s="12"/>
      <c r="VVN30" s="12"/>
      <c r="VVO30" s="13"/>
      <c r="VVP30" s="9"/>
      <c r="VVQ30" s="9"/>
      <c r="VVR30" s="9"/>
      <c r="VVS30" s="9"/>
      <c r="VVT30" s="10"/>
      <c r="VVU30" s="11"/>
      <c r="VVV30" s="12"/>
      <c r="VVW30" s="12"/>
      <c r="VVX30" s="12"/>
      <c r="VVY30" s="13"/>
      <c r="VVZ30" s="9"/>
      <c r="VWA30" s="9"/>
      <c r="VWB30" s="9"/>
      <c r="VWC30" s="9"/>
      <c r="VWD30" s="10"/>
      <c r="VWE30" s="11"/>
      <c r="VWF30" s="12"/>
      <c r="VWG30" s="12"/>
      <c r="VWH30" s="12"/>
      <c r="VWI30" s="13"/>
      <c r="VWJ30" s="9"/>
      <c r="VWK30" s="9"/>
      <c r="VWL30" s="9"/>
      <c r="VWM30" s="9"/>
      <c r="VWN30" s="10"/>
      <c r="VWO30" s="11"/>
      <c r="VWP30" s="12"/>
      <c r="VWQ30" s="12"/>
      <c r="VWR30" s="12"/>
      <c r="VWS30" s="13"/>
      <c r="VWT30" s="9"/>
      <c r="VWU30" s="9"/>
      <c r="VWV30" s="9"/>
      <c r="VWW30" s="9"/>
      <c r="VWX30" s="10"/>
      <c r="VWY30" s="11"/>
      <c r="VWZ30" s="12"/>
      <c r="VXA30" s="12"/>
      <c r="VXB30" s="12"/>
      <c r="VXC30" s="13"/>
      <c r="VXD30" s="9"/>
      <c r="VXE30" s="9"/>
      <c r="VXF30" s="9"/>
      <c r="VXG30" s="9"/>
      <c r="VXH30" s="10"/>
      <c r="VXI30" s="11"/>
      <c r="VXJ30" s="12"/>
      <c r="VXK30" s="12"/>
      <c r="VXL30" s="12"/>
      <c r="VXM30" s="13"/>
      <c r="VXN30" s="9"/>
      <c r="VXO30" s="9"/>
      <c r="VXP30" s="9"/>
      <c r="VXQ30" s="9"/>
      <c r="VXR30" s="10"/>
      <c r="VXS30" s="11"/>
      <c r="VXT30" s="12"/>
      <c r="VXU30" s="12"/>
      <c r="VXV30" s="12"/>
      <c r="VXW30" s="13"/>
      <c r="VXX30" s="9"/>
      <c r="VXY30" s="9"/>
      <c r="VXZ30" s="9"/>
      <c r="VYA30" s="9"/>
      <c r="VYB30" s="10"/>
      <c r="VYC30" s="11"/>
      <c r="VYD30" s="12"/>
      <c r="VYE30" s="12"/>
      <c r="VYF30" s="12"/>
      <c r="VYG30" s="13"/>
      <c r="VYH30" s="9"/>
      <c r="VYI30" s="9"/>
      <c r="VYJ30" s="9"/>
      <c r="VYK30" s="9"/>
      <c r="VYL30" s="10"/>
      <c r="VYM30" s="11"/>
      <c r="VYN30" s="12"/>
      <c r="VYO30" s="12"/>
      <c r="VYP30" s="12"/>
      <c r="VYQ30" s="13"/>
      <c r="VYR30" s="9"/>
      <c r="VYS30" s="9"/>
      <c r="VYT30" s="9"/>
      <c r="VYU30" s="9"/>
      <c r="VYV30" s="10"/>
      <c r="VYW30" s="11"/>
      <c r="VYX30" s="12"/>
      <c r="VYY30" s="12"/>
      <c r="VYZ30" s="12"/>
      <c r="VZA30" s="13"/>
      <c r="VZB30" s="9"/>
      <c r="VZC30" s="9"/>
      <c r="VZD30" s="9"/>
      <c r="VZE30" s="9"/>
      <c r="VZF30" s="10"/>
      <c r="VZG30" s="11"/>
      <c r="VZH30" s="12"/>
      <c r="VZI30" s="12"/>
      <c r="VZJ30" s="12"/>
      <c r="VZK30" s="13"/>
      <c r="VZL30" s="9"/>
      <c r="VZM30" s="9"/>
      <c r="VZN30" s="9"/>
      <c r="VZO30" s="9"/>
      <c r="VZP30" s="10"/>
      <c r="VZQ30" s="11"/>
      <c r="VZR30" s="12"/>
      <c r="VZS30" s="12"/>
      <c r="VZT30" s="12"/>
      <c r="VZU30" s="13"/>
      <c r="VZV30" s="9"/>
      <c r="VZW30" s="9"/>
      <c r="VZX30" s="9"/>
      <c r="VZY30" s="9"/>
      <c r="VZZ30" s="10"/>
      <c r="WAA30" s="11"/>
      <c r="WAB30" s="12"/>
      <c r="WAC30" s="12"/>
      <c r="WAD30" s="12"/>
      <c r="WAE30" s="13"/>
      <c r="WAF30" s="9"/>
      <c r="WAG30" s="9"/>
      <c r="WAH30" s="9"/>
      <c r="WAI30" s="9"/>
      <c r="WAJ30" s="10"/>
      <c r="WAK30" s="11"/>
      <c r="WAL30" s="12"/>
      <c r="WAM30" s="12"/>
      <c r="WAN30" s="12"/>
      <c r="WAO30" s="13"/>
      <c r="WAP30" s="9"/>
      <c r="WAQ30" s="9"/>
      <c r="WAR30" s="9"/>
      <c r="WAS30" s="9"/>
      <c r="WAT30" s="10"/>
      <c r="WAU30" s="11"/>
      <c r="WAV30" s="12"/>
      <c r="WAW30" s="12"/>
      <c r="WAX30" s="12"/>
      <c r="WAY30" s="13"/>
      <c r="WAZ30" s="9"/>
      <c r="WBA30" s="9"/>
      <c r="WBB30" s="9"/>
      <c r="WBC30" s="9"/>
      <c r="WBD30" s="10"/>
      <c r="WBE30" s="11"/>
      <c r="WBF30" s="12"/>
      <c r="WBG30" s="12"/>
      <c r="WBH30" s="12"/>
      <c r="WBI30" s="13"/>
      <c r="WBJ30" s="9"/>
      <c r="WBK30" s="9"/>
      <c r="WBL30" s="9"/>
      <c r="WBM30" s="9"/>
      <c r="WBN30" s="10"/>
      <c r="WBO30" s="11"/>
      <c r="WBP30" s="12"/>
      <c r="WBQ30" s="12"/>
      <c r="WBR30" s="12"/>
      <c r="WBS30" s="13"/>
      <c r="WBT30" s="9"/>
      <c r="WBU30" s="9"/>
      <c r="WBV30" s="9"/>
      <c r="WBW30" s="9"/>
      <c r="WBX30" s="10"/>
      <c r="WBY30" s="11"/>
      <c r="WBZ30" s="12"/>
      <c r="WCA30" s="12"/>
      <c r="WCB30" s="12"/>
      <c r="WCC30" s="13"/>
      <c r="WCD30" s="9"/>
      <c r="WCE30" s="9"/>
      <c r="WCF30" s="9"/>
      <c r="WCG30" s="9"/>
      <c r="WCH30" s="10"/>
      <c r="WCI30" s="11"/>
      <c r="WCJ30" s="12"/>
      <c r="WCK30" s="12"/>
      <c r="WCL30" s="12"/>
      <c r="WCM30" s="13"/>
      <c r="WCN30" s="9"/>
      <c r="WCO30" s="9"/>
      <c r="WCP30" s="9"/>
      <c r="WCQ30" s="9"/>
      <c r="WCR30" s="10"/>
      <c r="WCS30" s="11"/>
      <c r="WCT30" s="12"/>
      <c r="WCU30" s="12"/>
      <c r="WCV30" s="12"/>
      <c r="WCW30" s="13"/>
      <c r="WCX30" s="9"/>
      <c r="WCY30" s="9"/>
      <c r="WCZ30" s="9"/>
      <c r="WDA30" s="9"/>
      <c r="WDB30" s="10"/>
      <c r="WDC30" s="11"/>
      <c r="WDD30" s="12"/>
      <c r="WDE30" s="12"/>
      <c r="WDF30" s="12"/>
      <c r="WDG30" s="13"/>
      <c r="WDH30" s="9"/>
      <c r="WDI30" s="9"/>
      <c r="WDJ30" s="9"/>
      <c r="WDK30" s="9"/>
      <c r="WDL30" s="10"/>
      <c r="WDM30" s="11"/>
      <c r="WDN30" s="12"/>
      <c r="WDO30" s="12"/>
      <c r="WDP30" s="12"/>
      <c r="WDQ30" s="13"/>
      <c r="WDR30" s="9"/>
      <c r="WDS30" s="9"/>
      <c r="WDT30" s="9"/>
      <c r="WDU30" s="9"/>
      <c r="WDV30" s="10"/>
      <c r="WDW30" s="11"/>
      <c r="WDX30" s="12"/>
      <c r="WDY30" s="12"/>
      <c r="WDZ30" s="12"/>
      <c r="WEA30" s="13"/>
      <c r="WEB30" s="9"/>
      <c r="WEC30" s="9"/>
      <c r="WED30" s="9"/>
      <c r="WEE30" s="9"/>
      <c r="WEF30" s="10"/>
      <c r="WEG30" s="11"/>
      <c r="WEH30" s="12"/>
      <c r="WEI30" s="12"/>
      <c r="WEJ30" s="12"/>
      <c r="WEK30" s="13"/>
      <c r="WEL30" s="9"/>
      <c r="WEM30" s="9"/>
      <c r="WEN30" s="9"/>
      <c r="WEO30" s="9"/>
      <c r="WEP30" s="10"/>
      <c r="WEQ30" s="11"/>
      <c r="WER30" s="12"/>
      <c r="WES30" s="12"/>
      <c r="WET30" s="12"/>
      <c r="WEU30" s="13"/>
      <c r="WEV30" s="9"/>
      <c r="WEW30" s="9"/>
      <c r="WEX30" s="9"/>
      <c r="WEY30" s="9"/>
      <c r="WEZ30" s="10"/>
      <c r="WFA30" s="11"/>
      <c r="WFB30" s="12"/>
      <c r="WFC30" s="12"/>
      <c r="WFD30" s="12"/>
      <c r="WFE30" s="13"/>
      <c r="WFF30" s="9"/>
      <c r="WFG30" s="9"/>
      <c r="WFH30" s="9"/>
      <c r="WFI30" s="9"/>
      <c r="WFJ30" s="10"/>
      <c r="WFK30" s="11"/>
      <c r="WFL30" s="12"/>
      <c r="WFM30" s="12"/>
      <c r="WFN30" s="12"/>
      <c r="WFO30" s="13"/>
      <c r="WFP30" s="9"/>
      <c r="WFQ30" s="9"/>
      <c r="WFR30" s="9"/>
      <c r="WFS30" s="9"/>
      <c r="WFT30" s="10"/>
      <c r="WFU30" s="11"/>
      <c r="WFV30" s="12"/>
      <c r="WFW30" s="12"/>
      <c r="WFX30" s="12"/>
      <c r="WFY30" s="13"/>
      <c r="WFZ30" s="9"/>
      <c r="WGA30" s="9"/>
      <c r="WGB30" s="9"/>
      <c r="WGC30" s="9"/>
      <c r="WGD30" s="10"/>
      <c r="WGE30" s="11"/>
      <c r="WGF30" s="12"/>
      <c r="WGG30" s="12"/>
      <c r="WGH30" s="12"/>
      <c r="WGI30" s="13"/>
      <c r="WGJ30" s="9"/>
      <c r="WGK30" s="9"/>
      <c r="WGL30" s="9"/>
      <c r="WGM30" s="9"/>
      <c r="WGN30" s="10"/>
      <c r="WGO30" s="11"/>
      <c r="WGP30" s="12"/>
      <c r="WGQ30" s="12"/>
      <c r="WGR30" s="12"/>
      <c r="WGS30" s="13"/>
      <c r="WGT30" s="9"/>
      <c r="WGU30" s="9"/>
      <c r="WGV30" s="9"/>
      <c r="WGW30" s="9"/>
      <c r="WGX30" s="10"/>
      <c r="WGY30" s="11"/>
      <c r="WGZ30" s="12"/>
      <c r="WHA30" s="12"/>
      <c r="WHB30" s="12"/>
      <c r="WHC30" s="13"/>
      <c r="WHD30" s="9"/>
      <c r="WHE30" s="9"/>
      <c r="WHF30" s="9"/>
      <c r="WHG30" s="9"/>
      <c r="WHH30" s="10"/>
      <c r="WHI30" s="11"/>
      <c r="WHJ30" s="12"/>
      <c r="WHK30" s="12"/>
      <c r="WHL30" s="12"/>
      <c r="WHM30" s="13"/>
      <c r="WHN30" s="9"/>
      <c r="WHO30" s="9"/>
      <c r="WHP30" s="9"/>
      <c r="WHQ30" s="9"/>
      <c r="WHR30" s="10"/>
      <c r="WHS30" s="11"/>
      <c r="WHT30" s="12"/>
      <c r="WHU30" s="12"/>
      <c r="WHV30" s="12"/>
      <c r="WHW30" s="13"/>
      <c r="WHX30" s="9"/>
      <c r="WHY30" s="9"/>
      <c r="WHZ30" s="9"/>
      <c r="WIA30" s="9"/>
      <c r="WIB30" s="10"/>
      <c r="WIC30" s="11"/>
      <c r="WID30" s="12"/>
      <c r="WIE30" s="12"/>
      <c r="WIF30" s="12"/>
      <c r="WIG30" s="13"/>
      <c r="WIH30" s="9"/>
      <c r="WII30" s="9"/>
      <c r="WIJ30" s="9"/>
      <c r="WIK30" s="9"/>
      <c r="WIL30" s="10"/>
      <c r="WIM30" s="11"/>
      <c r="WIN30" s="12"/>
      <c r="WIO30" s="12"/>
      <c r="WIP30" s="12"/>
      <c r="WIQ30" s="13"/>
      <c r="WIR30" s="9"/>
      <c r="WIS30" s="9"/>
      <c r="WIT30" s="9"/>
      <c r="WIU30" s="9"/>
      <c r="WIV30" s="10"/>
      <c r="WIW30" s="11"/>
      <c r="WIX30" s="12"/>
      <c r="WIY30" s="12"/>
      <c r="WIZ30" s="12"/>
      <c r="WJA30" s="13"/>
      <c r="WJB30" s="9"/>
      <c r="WJC30" s="9"/>
      <c r="WJD30" s="9"/>
      <c r="WJE30" s="9"/>
      <c r="WJF30" s="10"/>
      <c r="WJG30" s="11"/>
      <c r="WJH30" s="12"/>
      <c r="WJI30" s="12"/>
      <c r="WJJ30" s="12"/>
      <c r="WJK30" s="13"/>
      <c r="WJL30" s="9"/>
      <c r="WJM30" s="9"/>
      <c r="WJN30" s="9"/>
      <c r="WJO30" s="9"/>
      <c r="WJP30" s="10"/>
      <c r="WJQ30" s="11"/>
      <c r="WJR30" s="12"/>
      <c r="WJS30" s="12"/>
      <c r="WJT30" s="12"/>
      <c r="WJU30" s="13"/>
      <c r="WJV30" s="9"/>
      <c r="WJW30" s="9"/>
      <c r="WJX30" s="9"/>
      <c r="WJY30" s="9"/>
      <c r="WJZ30" s="10"/>
      <c r="WKA30" s="11"/>
      <c r="WKB30" s="12"/>
      <c r="WKC30" s="12"/>
      <c r="WKD30" s="12"/>
      <c r="WKE30" s="13"/>
      <c r="WKF30" s="9"/>
      <c r="WKG30" s="9"/>
      <c r="WKH30" s="9"/>
      <c r="WKI30" s="9"/>
      <c r="WKJ30" s="10"/>
      <c r="WKK30" s="11"/>
      <c r="WKL30" s="12"/>
      <c r="WKM30" s="12"/>
      <c r="WKN30" s="12"/>
      <c r="WKO30" s="13"/>
      <c r="WKP30" s="9"/>
      <c r="WKQ30" s="9"/>
      <c r="WKR30" s="9"/>
      <c r="WKS30" s="9"/>
      <c r="WKT30" s="10"/>
      <c r="WKU30" s="11"/>
      <c r="WKV30" s="12"/>
      <c r="WKW30" s="12"/>
      <c r="WKX30" s="12"/>
      <c r="WKY30" s="13"/>
      <c r="WKZ30" s="9"/>
      <c r="WLA30" s="9"/>
      <c r="WLB30" s="9"/>
      <c r="WLC30" s="9"/>
      <c r="WLD30" s="10"/>
      <c r="WLE30" s="11"/>
      <c r="WLF30" s="12"/>
      <c r="WLG30" s="12"/>
      <c r="WLH30" s="12"/>
      <c r="WLI30" s="13"/>
      <c r="WLJ30" s="9"/>
      <c r="WLK30" s="9"/>
      <c r="WLL30" s="9"/>
      <c r="WLM30" s="9"/>
      <c r="WLN30" s="10"/>
      <c r="WLO30" s="11"/>
      <c r="WLP30" s="12"/>
      <c r="WLQ30" s="12"/>
      <c r="WLR30" s="12"/>
      <c r="WLS30" s="13"/>
      <c r="WLT30" s="9"/>
      <c r="WLU30" s="9"/>
      <c r="WLV30" s="9"/>
      <c r="WLW30" s="9"/>
      <c r="WLX30" s="10"/>
      <c r="WLY30" s="11"/>
      <c r="WLZ30" s="12"/>
      <c r="WMA30" s="12"/>
      <c r="WMB30" s="12"/>
      <c r="WMC30" s="13"/>
      <c r="WMD30" s="9"/>
      <c r="WME30" s="9"/>
      <c r="WMF30" s="9"/>
      <c r="WMG30" s="9"/>
      <c r="WMH30" s="10"/>
      <c r="WMI30" s="11"/>
      <c r="WMJ30" s="12"/>
      <c r="WMK30" s="12"/>
      <c r="WML30" s="12"/>
      <c r="WMM30" s="13"/>
      <c r="WMN30" s="9"/>
      <c r="WMO30" s="9"/>
      <c r="WMP30" s="9"/>
      <c r="WMQ30" s="9"/>
      <c r="WMR30" s="10"/>
      <c r="WMS30" s="11"/>
      <c r="WMT30" s="12"/>
      <c r="WMU30" s="12"/>
      <c r="WMV30" s="12"/>
      <c r="WMW30" s="13"/>
      <c r="WMX30" s="9"/>
      <c r="WMY30" s="9"/>
      <c r="WMZ30" s="9"/>
      <c r="WNA30" s="9"/>
      <c r="WNB30" s="10"/>
      <c r="WNC30" s="11"/>
      <c r="WND30" s="12"/>
      <c r="WNE30" s="12"/>
      <c r="WNF30" s="12"/>
      <c r="WNG30" s="13"/>
      <c r="WNH30" s="9"/>
      <c r="WNI30" s="9"/>
      <c r="WNJ30" s="9"/>
      <c r="WNK30" s="9"/>
      <c r="WNL30" s="10"/>
      <c r="WNM30" s="11"/>
      <c r="WNN30" s="12"/>
      <c r="WNO30" s="12"/>
      <c r="WNP30" s="12"/>
      <c r="WNQ30" s="13"/>
      <c r="WNR30" s="9"/>
      <c r="WNS30" s="9"/>
      <c r="WNT30" s="9"/>
      <c r="WNU30" s="9"/>
      <c r="WNV30" s="10"/>
      <c r="WNW30" s="11"/>
      <c r="WNX30" s="12"/>
      <c r="WNY30" s="12"/>
      <c r="WNZ30" s="12"/>
      <c r="WOA30" s="13"/>
      <c r="WOB30" s="9"/>
      <c r="WOC30" s="9"/>
      <c r="WOD30" s="9"/>
      <c r="WOE30" s="9"/>
      <c r="WOF30" s="10"/>
      <c r="WOG30" s="11"/>
      <c r="WOH30" s="12"/>
      <c r="WOI30" s="12"/>
      <c r="WOJ30" s="12"/>
      <c r="WOK30" s="13"/>
      <c r="WOL30" s="9"/>
      <c r="WOM30" s="9"/>
      <c r="WON30" s="9"/>
      <c r="WOO30" s="9"/>
      <c r="WOP30" s="10"/>
      <c r="WOQ30" s="11"/>
      <c r="WOR30" s="12"/>
      <c r="WOS30" s="12"/>
      <c r="WOT30" s="12"/>
      <c r="WOU30" s="13"/>
      <c r="WOV30" s="9"/>
      <c r="WOW30" s="9"/>
      <c r="WOX30" s="9"/>
      <c r="WOY30" s="9"/>
      <c r="WOZ30" s="10"/>
      <c r="WPA30" s="11"/>
      <c r="WPB30" s="12"/>
      <c r="WPC30" s="12"/>
      <c r="WPD30" s="12"/>
      <c r="WPE30" s="13"/>
      <c r="WPF30" s="9"/>
      <c r="WPG30" s="9"/>
      <c r="WPH30" s="9"/>
      <c r="WPI30" s="9"/>
      <c r="WPJ30" s="10"/>
      <c r="WPK30" s="11"/>
      <c r="WPL30" s="12"/>
      <c r="WPM30" s="12"/>
      <c r="WPN30" s="12"/>
      <c r="WPO30" s="13"/>
      <c r="WPP30" s="9"/>
      <c r="WPQ30" s="9"/>
      <c r="WPR30" s="9"/>
      <c r="WPS30" s="9"/>
      <c r="WPT30" s="10"/>
      <c r="WPU30" s="11"/>
      <c r="WPV30" s="12"/>
      <c r="WPW30" s="12"/>
      <c r="WPX30" s="12"/>
      <c r="WPY30" s="13"/>
      <c r="WPZ30" s="9"/>
      <c r="WQA30" s="9"/>
      <c r="WQB30" s="9"/>
      <c r="WQC30" s="9"/>
      <c r="WQD30" s="10"/>
      <c r="WQE30" s="11"/>
      <c r="WQF30" s="12"/>
      <c r="WQG30" s="12"/>
      <c r="WQH30" s="12"/>
      <c r="WQI30" s="13"/>
      <c r="WQJ30" s="9"/>
      <c r="WQK30" s="9"/>
      <c r="WQL30" s="9"/>
      <c r="WQM30" s="9"/>
      <c r="WQN30" s="10"/>
      <c r="WQO30" s="11"/>
      <c r="WQP30" s="12"/>
      <c r="WQQ30" s="12"/>
      <c r="WQR30" s="12"/>
      <c r="WQS30" s="13"/>
      <c r="WQT30" s="9"/>
      <c r="WQU30" s="9"/>
      <c r="WQV30" s="9"/>
      <c r="WQW30" s="9"/>
      <c r="WQX30" s="10"/>
      <c r="WQY30" s="11"/>
      <c r="WQZ30" s="12"/>
      <c r="WRA30" s="12"/>
      <c r="WRB30" s="12"/>
      <c r="WRC30" s="13"/>
      <c r="WRD30" s="9"/>
      <c r="WRE30" s="9"/>
      <c r="WRF30" s="9"/>
      <c r="WRG30" s="9"/>
      <c r="WRH30" s="10"/>
      <c r="WRI30" s="11"/>
      <c r="WRJ30" s="12"/>
      <c r="WRK30" s="12"/>
      <c r="WRL30" s="12"/>
      <c r="WRM30" s="13"/>
      <c r="WRN30" s="9"/>
      <c r="WRO30" s="9"/>
      <c r="WRP30" s="9"/>
      <c r="WRQ30" s="9"/>
      <c r="WRR30" s="10"/>
      <c r="WRS30" s="11"/>
      <c r="WRT30" s="12"/>
      <c r="WRU30" s="12"/>
      <c r="WRV30" s="12"/>
      <c r="WRW30" s="13"/>
      <c r="WRX30" s="9"/>
      <c r="WRY30" s="9"/>
      <c r="WRZ30" s="9"/>
      <c r="WSA30" s="9"/>
      <c r="WSB30" s="10"/>
      <c r="WSC30" s="11"/>
      <c r="WSD30" s="12"/>
      <c r="WSE30" s="12"/>
      <c r="WSF30" s="12"/>
      <c r="WSG30" s="13"/>
      <c r="WSH30" s="9"/>
      <c r="WSI30" s="9"/>
      <c r="WSJ30" s="9"/>
      <c r="WSK30" s="9"/>
      <c r="WSL30" s="10"/>
      <c r="WSM30" s="11"/>
      <c r="WSN30" s="12"/>
      <c r="WSO30" s="12"/>
      <c r="WSP30" s="12"/>
      <c r="WSQ30" s="13"/>
      <c r="WSR30" s="9"/>
      <c r="WSS30" s="9"/>
      <c r="WST30" s="9"/>
      <c r="WSU30" s="9"/>
      <c r="WSV30" s="10"/>
      <c r="WSW30" s="11"/>
      <c r="WSX30" s="12"/>
      <c r="WSY30" s="12"/>
      <c r="WSZ30" s="12"/>
      <c r="WTA30" s="13"/>
      <c r="WTB30" s="9"/>
      <c r="WTC30" s="9"/>
      <c r="WTD30" s="9"/>
      <c r="WTE30" s="9"/>
      <c r="WTF30" s="10"/>
      <c r="WTG30" s="11"/>
      <c r="WTH30" s="12"/>
      <c r="WTI30" s="12"/>
      <c r="WTJ30" s="12"/>
      <c r="WTK30" s="13"/>
      <c r="WTL30" s="9"/>
      <c r="WTM30" s="9"/>
      <c r="WTN30" s="9"/>
      <c r="WTO30" s="9"/>
      <c r="WTP30" s="10"/>
      <c r="WTQ30" s="11"/>
      <c r="WTR30" s="12"/>
      <c r="WTS30" s="12"/>
      <c r="WTT30" s="12"/>
      <c r="WTU30" s="13"/>
      <c r="WTV30" s="9"/>
      <c r="WTW30" s="9"/>
      <c r="WTX30" s="9"/>
      <c r="WTY30" s="9"/>
      <c r="WTZ30" s="10"/>
      <c r="WUA30" s="11"/>
      <c r="WUB30" s="12"/>
      <c r="WUC30" s="12"/>
      <c r="WUD30" s="12"/>
      <c r="WUE30" s="13"/>
      <c r="WUF30" s="9"/>
      <c r="WUG30" s="9"/>
      <c r="WUH30" s="9"/>
      <c r="WUI30" s="9"/>
      <c r="WUJ30" s="10"/>
      <c r="WUK30" s="11"/>
      <c r="WUL30" s="12"/>
      <c r="WUM30" s="12"/>
      <c r="WUN30" s="12"/>
      <c r="WUO30" s="13"/>
      <c r="WUP30" s="9"/>
      <c r="WUQ30" s="9"/>
      <c r="WUR30" s="9"/>
      <c r="WUS30" s="9"/>
      <c r="WUT30" s="10"/>
      <c r="WUU30" s="11"/>
      <c r="WUV30" s="12"/>
      <c r="WUW30" s="12"/>
      <c r="WUX30" s="12"/>
      <c r="WUY30" s="13"/>
      <c r="WUZ30" s="9"/>
      <c r="WVA30" s="9"/>
      <c r="WVB30" s="9"/>
      <c r="WVC30" s="9"/>
      <c r="WVD30" s="10"/>
      <c r="WVE30" s="11"/>
      <c r="WVF30" s="12"/>
      <c r="WVG30" s="12"/>
      <c r="WVH30" s="12"/>
      <c r="WVI30" s="13"/>
      <c r="WVJ30" s="9"/>
      <c r="WVK30" s="9"/>
      <c r="WVL30" s="9"/>
      <c r="WVM30" s="9"/>
      <c r="WVN30" s="10"/>
      <c r="WVO30" s="11"/>
      <c r="WVP30" s="12"/>
      <c r="WVQ30" s="12"/>
      <c r="WVR30" s="12"/>
      <c r="WVS30" s="13"/>
      <c r="WVT30" s="9"/>
      <c r="WVU30" s="9"/>
      <c r="WVV30" s="9"/>
      <c r="WVW30" s="9"/>
      <c r="WVX30" s="10"/>
      <c r="WVY30" s="11"/>
      <c r="WVZ30" s="12"/>
      <c r="WWA30" s="12"/>
      <c r="WWB30" s="12"/>
      <c r="WWC30" s="13"/>
      <c r="WWD30" s="9"/>
      <c r="WWE30" s="9"/>
      <c r="WWF30" s="9"/>
      <c r="WWG30" s="9"/>
      <c r="WWH30" s="10"/>
      <c r="WWI30" s="11"/>
      <c r="WWJ30" s="12"/>
      <c r="WWK30" s="12"/>
      <c r="WWL30" s="12"/>
      <c r="WWM30" s="13"/>
      <c r="WWN30" s="9"/>
      <c r="WWO30" s="9"/>
      <c r="WWP30" s="9"/>
      <c r="WWQ30" s="9"/>
      <c r="WWR30" s="10"/>
      <c r="WWS30" s="11"/>
      <c r="WWT30" s="12"/>
      <c r="WWU30" s="12"/>
      <c r="WWV30" s="12"/>
      <c r="WWW30" s="13"/>
      <c r="WWX30" s="9"/>
      <c r="WWY30" s="9"/>
      <c r="WWZ30" s="9"/>
      <c r="WXA30" s="9"/>
      <c r="WXB30" s="10"/>
      <c r="WXC30" s="11"/>
      <c r="WXD30" s="12"/>
      <c r="WXE30" s="12"/>
      <c r="WXF30" s="12"/>
      <c r="WXG30" s="13"/>
      <c r="WXH30" s="9"/>
      <c r="WXI30" s="9"/>
      <c r="WXJ30" s="9"/>
      <c r="WXK30" s="9"/>
      <c r="WXL30" s="10"/>
      <c r="WXM30" s="11"/>
      <c r="WXN30" s="12"/>
      <c r="WXO30" s="12"/>
      <c r="WXP30" s="12"/>
      <c r="WXQ30" s="13"/>
      <c r="WXR30" s="9"/>
      <c r="WXS30" s="9"/>
      <c r="WXT30" s="9"/>
      <c r="WXU30" s="9"/>
      <c r="WXV30" s="10"/>
      <c r="WXW30" s="11"/>
      <c r="WXX30" s="12"/>
      <c r="WXY30" s="12"/>
      <c r="WXZ30" s="12"/>
      <c r="WYA30" s="13"/>
      <c r="WYB30" s="9"/>
      <c r="WYC30" s="9"/>
      <c r="WYD30" s="9"/>
      <c r="WYE30" s="9"/>
      <c r="WYF30" s="10"/>
      <c r="WYG30" s="11"/>
      <c r="WYH30" s="12"/>
      <c r="WYI30" s="12"/>
      <c r="WYJ30" s="12"/>
      <c r="WYK30" s="13"/>
      <c r="WYL30" s="9"/>
      <c r="WYM30" s="9"/>
      <c r="WYN30" s="9"/>
      <c r="WYO30" s="9"/>
      <c r="WYP30" s="10"/>
      <c r="WYQ30" s="11"/>
      <c r="WYR30" s="12"/>
      <c r="WYS30" s="12"/>
      <c r="WYT30" s="12"/>
      <c r="WYU30" s="13"/>
      <c r="WYV30" s="9"/>
      <c r="WYW30" s="9"/>
      <c r="WYX30" s="9"/>
      <c r="WYY30" s="9"/>
      <c r="WYZ30" s="10"/>
      <c r="WZA30" s="11"/>
      <c r="WZB30" s="12"/>
      <c r="WZC30" s="12"/>
      <c r="WZD30" s="12"/>
      <c r="WZE30" s="13"/>
      <c r="WZF30" s="9"/>
      <c r="WZG30" s="9"/>
      <c r="WZH30" s="9"/>
      <c r="WZI30" s="9"/>
      <c r="WZJ30" s="10"/>
      <c r="WZK30" s="11"/>
      <c r="WZL30" s="12"/>
      <c r="WZM30" s="12"/>
      <c r="WZN30" s="12"/>
      <c r="WZO30" s="13"/>
      <c r="WZP30" s="9"/>
      <c r="WZQ30" s="9"/>
      <c r="WZR30" s="9"/>
      <c r="WZS30" s="9"/>
      <c r="WZT30" s="10"/>
      <c r="WZU30" s="11"/>
      <c r="WZV30" s="12"/>
      <c r="WZW30" s="12"/>
      <c r="WZX30" s="12"/>
      <c r="WZY30" s="13"/>
      <c r="WZZ30" s="9"/>
      <c r="XAA30" s="9"/>
      <c r="XAB30" s="9"/>
      <c r="XAC30" s="9"/>
      <c r="XAD30" s="10"/>
      <c r="XAE30" s="11"/>
      <c r="XAF30" s="12"/>
      <c r="XAG30" s="12"/>
      <c r="XAH30" s="12"/>
      <c r="XAI30" s="13"/>
      <c r="XAJ30" s="9"/>
      <c r="XAK30" s="9"/>
      <c r="XAL30" s="9"/>
      <c r="XAM30" s="9"/>
      <c r="XAN30" s="10"/>
      <c r="XAO30" s="11"/>
      <c r="XAP30" s="12"/>
      <c r="XAQ30" s="12"/>
      <c r="XAR30" s="12"/>
      <c r="XAS30" s="13"/>
      <c r="XAT30" s="9"/>
      <c r="XAU30" s="9"/>
      <c r="XAV30" s="9"/>
      <c r="XAW30" s="9"/>
      <c r="XAX30" s="10"/>
      <c r="XAY30" s="11"/>
      <c r="XAZ30" s="12"/>
      <c r="XBA30" s="12"/>
      <c r="XBB30" s="12"/>
      <c r="XBC30" s="13"/>
      <c r="XBD30" s="9"/>
      <c r="XBE30" s="9"/>
      <c r="XBF30" s="9"/>
      <c r="XBG30" s="9"/>
      <c r="XBH30" s="10"/>
      <c r="XBI30" s="11"/>
      <c r="XBJ30" s="12"/>
      <c r="XBK30" s="12"/>
      <c r="XBL30" s="12"/>
      <c r="XBM30" s="13"/>
      <c r="XBN30" s="9"/>
      <c r="XBO30" s="9"/>
      <c r="XBP30" s="9"/>
      <c r="XBQ30" s="9"/>
      <c r="XBR30" s="10"/>
      <c r="XBS30" s="11"/>
      <c r="XBT30" s="12"/>
      <c r="XBU30" s="12"/>
      <c r="XBV30" s="12"/>
      <c r="XBW30" s="13"/>
      <c r="XBX30" s="9"/>
      <c r="XBY30" s="9"/>
      <c r="XBZ30" s="9"/>
      <c r="XCA30" s="9"/>
      <c r="XCB30" s="10"/>
      <c r="XCC30" s="11"/>
      <c r="XCD30" s="12"/>
      <c r="XCE30" s="12"/>
      <c r="XCF30" s="12"/>
      <c r="XCG30" s="13"/>
      <c r="XCH30" s="9"/>
      <c r="XCI30" s="9"/>
      <c r="XCJ30" s="9"/>
      <c r="XCK30" s="9"/>
      <c r="XCL30" s="10"/>
      <c r="XCM30" s="11"/>
      <c r="XCN30" s="12"/>
      <c r="XCO30" s="12"/>
      <c r="XCP30" s="12"/>
      <c r="XCQ30" s="13"/>
      <c r="XCR30" s="9"/>
      <c r="XCS30" s="9"/>
      <c r="XCT30" s="9"/>
      <c r="XCU30" s="9"/>
      <c r="XCV30" s="10"/>
      <c r="XCW30" s="11"/>
      <c r="XCX30" s="12"/>
      <c r="XCY30" s="12"/>
      <c r="XCZ30" s="12"/>
      <c r="XDA30" s="13"/>
      <c r="XDB30" s="9"/>
      <c r="XDC30" s="9"/>
      <c r="XDD30" s="9"/>
      <c r="XDE30" s="9"/>
      <c r="XDF30" s="10"/>
      <c r="XDG30" s="11"/>
      <c r="XDH30" s="12"/>
      <c r="XDI30" s="12"/>
      <c r="XDJ30" s="12"/>
      <c r="XDK30" s="13"/>
      <c r="XDL30" s="9"/>
      <c r="XDM30" s="9"/>
      <c r="XDN30" s="9"/>
      <c r="XDO30" s="9"/>
      <c r="XDP30" s="10"/>
      <c r="XDQ30" s="11"/>
      <c r="XDR30" s="12"/>
      <c r="XDS30" s="12"/>
      <c r="XDT30" s="12"/>
      <c r="XDU30" s="13"/>
      <c r="XDV30" s="9"/>
      <c r="XDW30" s="9"/>
      <c r="XDX30" s="9"/>
      <c r="XDY30" s="9"/>
      <c r="XDZ30" s="10"/>
      <c r="XEA30" s="11"/>
      <c r="XEB30" s="12"/>
      <c r="XEC30" s="12"/>
      <c r="XED30" s="12"/>
      <c r="XEE30" s="13"/>
      <c r="XEF30" s="9"/>
      <c r="XEG30" s="9"/>
      <c r="XEH30" s="9"/>
      <c r="XEI30" s="9"/>
      <c r="XEJ30" s="10"/>
      <c r="XEK30" s="11"/>
      <c r="XEL30" s="12"/>
      <c r="XEM30" s="12"/>
      <c r="XEN30" s="12"/>
      <c r="XEO30" s="13"/>
      <c r="XEP30" s="9"/>
      <c r="XEQ30" s="9"/>
      <c r="XER30" s="9"/>
      <c r="XES30" s="9"/>
      <c r="XET30" s="10"/>
      <c r="XEU30" s="11"/>
      <c r="XEV30" s="12"/>
      <c r="XEW30" s="12"/>
      <c r="XEX30" s="12"/>
      <c r="XEY30" s="13"/>
      <c r="XEZ30" s="9"/>
      <c r="XFA30" s="9"/>
      <c r="XFB30" s="9"/>
      <c r="XFC30" s="9"/>
      <c r="XFD30" s="10"/>
    </row>
    <row r="31" spans="1:16384" x14ac:dyDescent="0.25">
      <c r="A31" t="s">
        <v>60</v>
      </c>
      <c r="B31" t="s">
        <v>61</v>
      </c>
      <c r="C31" t="s">
        <v>93</v>
      </c>
      <c r="D31" s="1">
        <v>4</v>
      </c>
      <c r="E31" s="5">
        <v>11</v>
      </c>
      <c r="F31" s="8" t="s">
        <v>131</v>
      </c>
      <c r="G31" s="8" t="s">
        <v>118</v>
      </c>
      <c r="H31" s="8" t="s">
        <v>130</v>
      </c>
      <c r="I31" s="5">
        <v>9</v>
      </c>
      <c r="J31" t="s">
        <v>108</v>
      </c>
      <c r="K31" s="5">
        <f t="shared" si="0"/>
        <v>10</v>
      </c>
    </row>
    <row r="32" spans="1:16384" x14ac:dyDescent="0.25">
      <c r="A32" t="s">
        <v>62</v>
      </c>
      <c r="B32" t="s">
        <v>63</v>
      </c>
      <c r="C32" t="s">
        <v>103</v>
      </c>
      <c r="D32" s="1">
        <v>8</v>
      </c>
      <c r="E32" s="5">
        <v>11</v>
      </c>
      <c r="F32" s="8" t="s">
        <v>123</v>
      </c>
      <c r="G32" s="8" t="s">
        <v>122</v>
      </c>
      <c r="H32" s="8" t="s">
        <v>116</v>
      </c>
      <c r="I32" s="5">
        <v>9</v>
      </c>
      <c r="J32" t="s">
        <v>108</v>
      </c>
      <c r="K32" s="5">
        <f t="shared" si="0"/>
        <v>10</v>
      </c>
    </row>
    <row r="33" spans="1:16384" x14ac:dyDescent="0.25">
      <c r="A33" t="s">
        <v>64</v>
      </c>
      <c r="B33" t="s">
        <v>65</v>
      </c>
      <c r="C33" s="3" t="s">
        <v>89</v>
      </c>
      <c r="D33" s="4">
        <v>3</v>
      </c>
      <c r="E33" s="5">
        <v>12</v>
      </c>
      <c r="F33" s="8" t="s">
        <v>125</v>
      </c>
      <c r="G33" s="8" t="s">
        <v>120</v>
      </c>
      <c r="H33" s="8" t="s">
        <v>116</v>
      </c>
      <c r="I33" s="5">
        <v>10</v>
      </c>
      <c r="J33" t="s">
        <v>108</v>
      </c>
      <c r="K33" s="5">
        <f t="shared" si="0"/>
        <v>10</v>
      </c>
    </row>
    <row r="34" spans="1:16384" x14ac:dyDescent="0.25">
      <c r="A34" t="s">
        <v>66</v>
      </c>
      <c r="B34" t="s">
        <v>67</v>
      </c>
      <c r="C34" t="s">
        <v>98</v>
      </c>
      <c r="D34" s="1">
        <v>10</v>
      </c>
      <c r="E34" s="5">
        <v>9</v>
      </c>
      <c r="F34" s="8" t="s">
        <v>128</v>
      </c>
      <c r="G34" s="8" t="s">
        <v>126</v>
      </c>
      <c r="H34" s="8" t="s">
        <v>127</v>
      </c>
      <c r="I34" s="5">
        <v>9</v>
      </c>
      <c r="J34" t="s">
        <v>108</v>
      </c>
      <c r="K34" s="5">
        <f t="shared" si="0"/>
        <v>9</v>
      </c>
    </row>
    <row r="35" spans="1:16384" x14ac:dyDescent="0.25">
      <c r="A35" s="9" t="s">
        <v>68</v>
      </c>
      <c r="B35" s="9" t="s">
        <v>69</v>
      </c>
      <c r="C35" s="9" t="s">
        <v>69</v>
      </c>
      <c r="D35" s="10">
        <v>3</v>
      </c>
      <c r="E35" s="13">
        <v>12</v>
      </c>
      <c r="F35" s="8" t="s">
        <v>125</v>
      </c>
      <c r="G35" s="8" t="s">
        <v>120</v>
      </c>
      <c r="H35" s="8" t="s">
        <v>116</v>
      </c>
      <c r="I35" s="13">
        <v>10</v>
      </c>
      <c r="J35" s="9" t="s">
        <v>108</v>
      </c>
      <c r="K35" s="13">
        <f t="shared" si="0"/>
        <v>10</v>
      </c>
      <c r="L35" s="9"/>
      <c r="M35" s="9"/>
      <c r="N35" s="10"/>
      <c r="O35" s="11"/>
      <c r="P35" s="12"/>
      <c r="Q35" s="12"/>
      <c r="R35" s="12"/>
      <c r="S35" s="13"/>
      <c r="T35" s="9"/>
      <c r="U35" s="9"/>
      <c r="V35" s="9"/>
      <c r="W35" s="9"/>
      <c r="X35" s="10"/>
      <c r="Y35" s="11"/>
      <c r="Z35" s="12"/>
      <c r="AA35" s="12"/>
      <c r="AB35" s="12"/>
      <c r="AC35" s="13"/>
      <c r="AD35" s="9"/>
      <c r="AE35" s="9"/>
      <c r="AF35" s="9"/>
      <c r="AG35" s="9"/>
      <c r="AH35" s="10"/>
      <c r="AI35" s="11"/>
      <c r="AJ35" s="12"/>
      <c r="AK35" s="12"/>
      <c r="AL35" s="12"/>
      <c r="AM35" s="13"/>
      <c r="AN35" s="9"/>
      <c r="AO35" s="9"/>
      <c r="AP35" s="9"/>
      <c r="AQ35" s="9"/>
      <c r="AR35" s="10"/>
      <c r="AS35" s="11"/>
      <c r="AT35" s="12"/>
      <c r="AU35" s="12"/>
      <c r="AV35" s="12"/>
      <c r="AW35" s="13"/>
      <c r="AX35" s="9"/>
      <c r="AY35" s="9"/>
      <c r="AZ35" s="9"/>
      <c r="BA35" s="9"/>
      <c r="BB35" s="10"/>
      <c r="BC35" s="11"/>
      <c r="BD35" s="12"/>
      <c r="BE35" s="12"/>
      <c r="BF35" s="12"/>
      <c r="BG35" s="13"/>
      <c r="BH35" s="9"/>
      <c r="BI35" s="9"/>
      <c r="BJ35" s="9"/>
      <c r="BK35" s="9"/>
      <c r="BL35" s="10"/>
      <c r="BM35" s="11"/>
      <c r="BN35" s="12"/>
      <c r="BO35" s="12"/>
      <c r="BP35" s="12"/>
      <c r="BQ35" s="13"/>
      <c r="BR35" s="9"/>
      <c r="BS35" s="9"/>
      <c r="BT35" s="9"/>
      <c r="BU35" s="9"/>
      <c r="BV35" s="10"/>
      <c r="BW35" s="11"/>
      <c r="BX35" s="12"/>
      <c r="BY35" s="12"/>
      <c r="BZ35" s="12"/>
      <c r="CA35" s="13"/>
      <c r="CB35" s="9"/>
      <c r="CC35" s="9"/>
      <c r="CD35" s="9"/>
      <c r="CE35" s="9"/>
      <c r="CF35" s="10"/>
      <c r="CG35" s="11"/>
      <c r="CH35" s="12"/>
      <c r="CI35" s="12"/>
      <c r="CJ35" s="12"/>
      <c r="CK35" s="13"/>
      <c r="CL35" s="9"/>
      <c r="CM35" s="9"/>
      <c r="CN35" s="9"/>
      <c r="CO35" s="9"/>
      <c r="CP35" s="10"/>
      <c r="CQ35" s="11"/>
      <c r="CR35" s="12"/>
      <c r="CS35" s="12"/>
      <c r="CT35" s="12"/>
      <c r="CU35" s="13"/>
      <c r="CV35" s="9"/>
      <c r="CW35" s="9"/>
      <c r="CX35" s="9"/>
      <c r="CY35" s="9"/>
      <c r="CZ35" s="10"/>
      <c r="DA35" s="11"/>
      <c r="DB35" s="12"/>
      <c r="DC35" s="12"/>
      <c r="DD35" s="12"/>
      <c r="DE35" s="13"/>
      <c r="DF35" s="9"/>
      <c r="DG35" s="9"/>
      <c r="DH35" s="9"/>
      <c r="DI35" s="9"/>
      <c r="DJ35" s="10"/>
      <c r="DK35" s="11"/>
      <c r="DL35" s="12"/>
      <c r="DM35" s="12"/>
      <c r="DN35" s="12"/>
      <c r="DO35" s="13"/>
      <c r="DP35" s="9"/>
      <c r="DQ35" s="9"/>
      <c r="DR35" s="9"/>
      <c r="DS35" s="9"/>
      <c r="DT35" s="10"/>
      <c r="DU35" s="11"/>
      <c r="DV35" s="12"/>
      <c r="DW35" s="12"/>
      <c r="DX35" s="12"/>
      <c r="DY35" s="13"/>
      <c r="DZ35" s="9"/>
      <c r="EA35" s="9"/>
      <c r="EB35" s="9"/>
      <c r="EC35" s="9"/>
      <c r="ED35" s="10"/>
      <c r="EE35" s="11"/>
      <c r="EF35" s="12"/>
      <c r="EG35" s="12"/>
      <c r="EH35" s="12"/>
      <c r="EI35" s="13"/>
      <c r="EJ35" s="9"/>
      <c r="EK35" s="9"/>
      <c r="EL35" s="9"/>
      <c r="EM35" s="9"/>
      <c r="EN35" s="10"/>
      <c r="EO35" s="11"/>
      <c r="EP35" s="12"/>
      <c r="EQ35" s="12"/>
      <c r="ER35" s="12"/>
      <c r="ES35" s="13"/>
      <c r="ET35" s="9"/>
      <c r="EU35" s="9"/>
      <c r="EV35" s="9"/>
      <c r="EW35" s="9"/>
      <c r="EX35" s="10"/>
      <c r="EY35" s="11"/>
      <c r="EZ35" s="12"/>
      <c r="FA35" s="12"/>
      <c r="FB35" s="12"/>
      <c r="FC35" s="13"/>
      <c r="FD35" s="9"/>
      <c r="FE35" s="9"/>
      <c r="FF35" s="9"/>
      <c r="FG35" s="9"/>
      <c r="FH35" s="10"/>
      <c r="FI35" s="11"/>
      <c r="FJ35" s="12"/>
      <c r="FK35" s="12"/>
      <c r="FL35" s="12"/>
      <c r="FM35" s="13"/>
      <c r="FN35" s="9"/>
      <c r="FO35" s="9"/>
      <c r="FP35" s="9"/>
      <c r="FQ35" s="9"/>
      <c r="FR35" s="10"/>
      <c r="FS35" s="11"/>
      <c r="FT35" s="12"/>
      <c r="FU35" s="12"/>
      <c r="FV35" s="12"/>
      <c r="FW35" s="13"/>
      <c r="FX35" s="9"/>
      <c r="FY35" s="9"/>
      <c r="FZ35" s="9"/>
      <c r="GA35" s="9"/>
      <c r="GB35" s="10"/>
      <c r="GC35" s="11"/>
      <c r="GD35" s="12"/>
      <c r="GE35" s="12"/>
      <c r="GF35" s="12"/>
      <c r="GG35" s="13"/>
      <c r="GH35" s="9"/>
      <c r="GI35" s="9"/>
      <c r="GJ35" s="9"/>
      <c r="GK35" s="9"/>
      <c r="GL35" s="10"/>
      <c r="GM35" s="11"/>
      <c r="GN35" s="12"/>
      <c r="GO35" s="12"/>
      <c r="GP35" s="12"/>
      <c r="GQ35" s="13"/>
      <c r="GR35" s="9"/>
      <c r="GS35" s="9"/>
      <c r="GT35" s="9"/>
      <c r="GU35" s="9"/>
      <c r="GV35" s="10"/>
      <c r="GW35" s="11"/>
      <c r="GX35" s="12"/>
      <c r="GY35" s="12"/>
      <c r="GZ35" s="12"/>
      <c r="HA35" s="13"/>
      <c r="HB35" s="9"/>
      <c r="HC35" s="9"/>
      <c r="HD35" s="9"/>
      <c r="HE35" s="9"/>
      <c r="HF35" s="10"/>
      <c r="HG35" s="11"/>
      <c r="HH35" s="12"/>
      <c r="HI35" s="12"/>
      <c r="HJ35" s="12"/>
      <c r="HK35" s="13"/>
      <c r="HL35" s="9"/>
      <c r="HM35" s="9"/>
      <c r="HN35" s="9"/>
      <c r="HO35" s="9"/>
      <c r="HP35" s="10"/>
      <c r="HQ35" s="11"/>
      <c r="HR35" s="12"/>
      <c r="HS35" s="12"/>
      <c r="HT35" s="12"/>
      <c r="HU35" s="13"/>
      <c r="HV35" s="9"/>
      <c r="HW35" s="9"/>
      <c r="HX35" s="9"/>
      <c r="HY35" s="9"/>
      <c r="HZ35" s="10"/>
      <c r="IA35" s="11"/>
      <c r="IB35" s="12"/>
      <c r="IC35" s="12"/>
      <c r="ID35" s="12"/>
      <c r="IE35" s="13"/>
      <c r="IF35" s="9"/>
      <c r="IG35" s="9"/>
      <c r="IH35" s="9"/>
      <c r="II35" s="9"/>
      <c r="IJ35" s="10"/>
      <c r="IK35" s="11"/>
      <c r="IL35" s="12"/>
      <c r="IM35" s="12"/>
      <c r="IN35" s="12"/>
      <c r="IO35" s="13"/>
      <c r="IP35" s="9"/>
      <c r="IQ35" s="9"/>
      <c r="IR35" s="9"/>
      <c r="IS35" s="9"/>
      <c r="IT35" s="10"/>
      <c r="IU35" s="11"/>
      <c r="IV35" s="12"/>
      <c r="IW35" s="12"/>
      <c r="IX35" s="12"/>
      <c r="IY35" s="13"/>
      <c r="IZ35" s="9"/>
      <c r="JA35" s="9"/>
      <c r="JB35" s="9"/>
      <c r="JC35" s="9"/>
      <c r="JD35" s="10"/>
      <c r="JE35" s="11"/>
      <c r="JF35" s="12"/>
      <c r="JG35" s="12"/>
      <c r="JH35" s="12"/>
      <c r="JI35" s="13"/>
      <c r="JJ35" s="9"/>
      <c r="JK35" s="9"/>
      <c r="JL35" s="9"/>
      <c r="JM35" s="9"/>
      <c r="JN35" s="10"/>
      <c r="JO35" s="11"/>
      <c r="JP35" s="12"/>
      <c r="JQ35" s="12"/>
      <c r="JR35" s="12"/>
      <c r="JS35" s="13"/>
      <c r="JT35" s="9"/>
      <c r="JU35" s="9"/>
      <c r="JV35" s="9"/>
      <c r="JW35" s="9"/>
      <c r="JX35" s="10"/>
      <c r="JY35" s="11"/>
      <c r="JZ35" s="12"/>
      <c r="KA35" s="12"/>
      <c r="KB35" s="12"/>
      <c r="KC35" s="13"/>
      <c r="KD35" s="9"/>
      <c r="KE35" s="9"/>
      <c r="KF35" s="9"/>
      <c r="KG35" s="9"/>
      <c r="KH35" s="10"/>
      <c r="KI35" s="11"/>
      <c r="KJ35" s="12"/>
      <c r="KK35" s="12"/>
      <c r="KL35" s="12"/>
      <c r="KM35" s="13"/>
      <c r="KN35" s="9"/>
      <c r="KO35" s="9"/>
      <c r="KP35" s="9"/>
      <c r="KQ35" s="9"/>
      <c r="KR35" s="10"/>
      <c r="KS35" s="11"/>
      <c r="KT35" s="12"/>
      <c r="KU35" s="12"/>
      <c r="KV35" s="12"/>
      <c r="KW35" s="13"/>
      <c r="KX35" s="9"/>
      <c r="KY35" s="9"/>
      <c r="KZ35" s="9"/>
      <c r="LA35" s="9"/>
      <c r="LB35" s="10"/>
      <c r="LC35" s="11"/>
      <c r="LD35" s="12"/>
      <c r="LE35" s="12"/>
      <c r="LF35" s="12"/>
      <c r="LG35" s="13"/>
      <c r="LH35" s="9"/>
      <c r="LI35" s="9"/>
      <c r="LJ35" s="9"/>
      <c r="LK35" s="9"/>
      <c r="LL35" s="10"/>
      <c r="LM35" s="11"/>
      <c r="LN35" s="12"/>
      <c r="LO35" s="12"/>
      <c r="LP35" s="12"/>
      <c r="LQ35" s="13"/>
      <c r="LR35" s="9"/>
      <c r="LS35" s="9"/>
      <c r="LT35" s="9"/>
      <c r="LU35" s="9"/>
      <c r="LV35" s="10"/>
      <c r="LW35" s="11"/>
      <c r="LX35" s="12"/>
      <c r="LY35" s="12"/>
      <c r="LZ35" s="12"/>
      <c r="MA35" s="13"/>
      <c r="MB35" s="9"/>
      <c r="MC35" s="9"/>
      <c r="MD35" s="9"/>
      <c r="ME35" s="9"/>
      <c r="MF35" s="10"/>
      <c r="MG35" s="11"/>
      <c r="MH35" s="12"/>
      <c r="MI35" s="12"/>
      <c r="MJ35" s="12"/>
      <c r="MK35" s="13"/>
      <c r="ML35" s="9"/>
      <c r="MM35" s="9"/>
      <c r="MN35" s="9"/>
      <c r="MO35" s="9"/>
      <c r="MP35" s="10"/>
      <c r="MQ35" s="11"/>
      <c r="MR35" s="12"/>
      <c r="MS35" s="12"/>
      <c r="MT35" s="12"/>
      <c r="MU35" s="13"/>
      <c r="MV35" s="9"/>
      <c r="MW35" s="9"/>
      <c r="MX35" s="9"/>
      <c r="MY35" s="9"/>
      <c r="MZ35" s="10"/>
      <c r="NA35" s="11"/>
      <c r="NB35" s="12"/>
      <c r="NC35" s="12"/>
      <c r="ND35" s="12"/>
      <c r="NE35" s="13"/>
      <c r="NF35" s="9"/>
      <c r="NG35" s="9"/>
      <c r="NH35" s="9"/>
      <c r="NI35" s="9"/>
      <c r="NJ35" s="10"/>
      <c r="NK35" s="11"/>
      <c r="NL35" s="12"/>
      <c r="NM35" s="12"/>
      <c r="NN35" s="12"/>
      <c r="NO35" s="13"/>
      <c r="NP35" s="9"/>
      <c r="NQ35" s="9"/>
      <c r="NR35" s="9"/>
      <c r="NS35" s="9"/>
      <c r="NT35" s="10"/>
      <c r="NU35" s="11"/>
      <c r="NV35" s="12"/>
      <c r="NW35" s="12"/>
      <c r="NX35" s="12"/>
      <c r="NY35" s="13"/>
      <c r="NZ35" s="9"/>
      <c r="OA35" s="9"/>
      <c r="OB35" s="9"/>
      <c r="OC35" s="9"/>
      <c r="OD35" s="10"/>
      <c r="OE35" s="11"/>
      <c r="OF35" s="12"/>
      <c r="OG35" s="12"/>
      <c r="OH35" s="12"/>
      <c r="OI35" s="13"/>
      <c r="OJ35" s="9"/>
      <c r="OK35" s="9"/>
      <c r="OL35" s="9"/>
      <c r="OM35" s="9"/>
      <c r="ON35" s="10"/>
      <c r="OO35" s="11"/>
      <c r="OP35" s="12"/>
      <c r="OQ35" s="12"/>
      <c r="OR35" s="12"/>
      <c r="OS35" s="13"/>
      <c r="OT35" s="9"/>
      <c r="OU35" s="9"/>
      <c r="OV35" s="9"/>
      <c r="OW35" s="9"/>
      <c r="OX35" s="10"/>
      <c r="OY35" s="11"/>
      <c r="OZ35" s="12"/>
      <c r="PA35" s="12"/>
      <c r="PB35" s="12"/>
      <c r="PC35" s="13"/>
      <c r="PD35" s="9"/>
      <c r="PE35" s="9"/>
      <c r="PF35" s="9"/>
      <c r="PG35" s="9"/>
      <c r="PH35" s="10"/>
      <c r="PI35" s="11"/>
      <c r="PJ35" s="12"/>
      <c r="PK35" s="12"/>
      <c r="PL35" s="12"/>
      <c r="PM35" s="13"/>
      <c r="PN35" s="9"/>
      <c r="PO35" s="9"/>
      <c r="PP35" s="9"/>
      <c r="PQ35" s="9"/>
      <c r="PR35" s="10"/>
      <c r="PS35" s="11"/>
      <c r="PT35" s="12"/>
      <c r="PU35" s="12"/>
      <c r="PV35" s="12"/>
      <c r="PW35" s="13"/>
      <c r="PX35" s="9"/>
      <c r="PY35" s="9"/>
      <c r="PZ35" s="9"/>
      <c r="QA35" s="9"/>
      <c r="QB35" s="10"/>
      <c r="QC35" s="11"/>
      <c r="QD35" s="12"/>
      <c r="QE35" s="12"/>
      <c r="QF35" s="12"/>
      <c r="QG35" s="13"/>
      <c r="QH35" s="9"/>
      <c r="QI35" s="9"/>
      <c r="QJ35" s="9"/>
      <c r="QK35" s="9"/>
      <c r="QL35" s="10"/>
      <c r="QM35" s="11"/>
      <c r="QN35" s="12"/>
      <c r="QO35" s="12"/>
      <c r="QP35" s="12"/>
      <c r="QQ35" s="13"/>
      <c r="QR35" s="9"/>
      <c r="QS35" s="9"/>
      <c r="QT35" s="9"/>
      <c r="QU35" s="9"/>
      <c r="QV35" s="10"/>
      <c r="QW35" s="11"/>
      <c r="QX35" s="12"/>
      <c r="QY35" s="12"/>
      <c r="QZ35" s="12"/>
      <c r="RA35" s="13"/>
      <c r="RB35" s="9"/>
      <c r="RC35" s="9"/>
      <c r="RD35" s="9"/>
      <c r="RE35" s="9"/>
      <c r="RF35" s="10"/>
      <c r="RG35" s="11"/>
      <c r="RH35" s="12"/>
      <c r="RI35" s="12"/>
      <c r="RJ35" s="12"/>
      <c r="RK35" s="13"/>
      <c r="RL35" s="9"/>
      <c r="RM35" s="9"/>
      <c r="RN35" s="9"/>
      <c r="RO35" s="9"/>
      <c r="RP35" s="10"/>
      <c r="RQ35" s="11"/>
      <c r="RR35" s="12"/>
      <c r="RS35" s="12"/>
      <c r="RT35" s="12"/>
      <c r="RU35" s="13"/>
      <c r="RV35" s="9"/>
      <c r="RW35" s="9"/>
      <c r="RX35" s="9"/>
      <c r="RY35" s="9"/>
      <c r="RZ35" s="10"/>
      <c r="SA35" s="11"/>
      <c r="SB35" s="12"/>
      <c r="SC35" s="12"/>
      <c r="SD35" s="12"/>
      <c r="SE35" s="13"/>
      <c r="SF35" s="9"/>
      <c r="SG35" s="9"/>
      <c r="SH35" s="9"/>
      <c r="SI35" s="9"/>
      <c r="SJ35" s="10"/>
      <c r="SK35" s="11"/>
      <c r="SL35" s="12"/>
      <c r="SM35" s="12"/>
      <c r="SN35" s="12"/>
      <c r="SO35" s="13"/>
      <c r="SP35" s="9"/>
      <c r="SQ35" s="9"/>
      <c r="SR35" s="9"/>
      <c r="SS35" s="9"/>
      <c r="ST35" s="10"/>
      <c r="SU35" s="11"/>
      <c r="SV35" s="12"/>
      <c r="SW35" s="12"/>
      <c r="SX35" s="12"/>
      <c r="SY35" s="13"/>
      <c r="SZ35" s="9"/>
      <c r="TA35" s="9"/>
      <c r="TB35" s="9"/>
      <c r="TC35" s="9"/>
      <c r="TD35" s="10"/>
      <c r="TE35" s="11"/>
      <c r="TF35" s="12"/>
      <c r="TG35" s="12"/>
      <c r="TH35" s="12"/>
      <c r="TI35" s="13"/>
      <c r="TJ35" s="9"/>
      <c r="TK35" s="9"/>
      <c r="TL35" s="9"/>
      <c r="TM35" s="9"/>
      <c r="TN35" s="10"/>
      <c r="TO35" s="11"/>
      <c r="TP35" s="12"/>
      <c r="TQ35" s="12"/>
      <c r="TR35" s="12"/>
      <c r="TS35" s="13"/>
      <c r="TT35" s="9"/>
      <c r="TU35" s="9"/>
      <c r="TV35" s="9"/>
      <c r="TW35" s="9"/>
      <c r="TX35" s="10"/>
      <c r="TY35" s="11"/>
      <c r="TZ35" s="12"/>
      <c r="UA35" s="12"/>
      <c r="UB35" s="12"/>
      <c r="UC35" s="13"/>
      <c r="UD35" s="9"/>
      <c r="UE35" s="9"/>
      <c r="UF35" s="9"/>
      <c r="UG35" s="9"/>
      <c r="UH35" s="10"/>
      <c r="UI35" s="11"/>
      <c r="UJ35" s="12"/>
      <c r="UK35" s="12"/>
      <c r="UL35" s="12"/>
      <c r="UM35" s="13"/>
      <c r="UN35" s="9"/>
      <c r="UO35" s="9"/>
      <c r="UP35" s="9"/>
      <c r="UQ35" s="9"/>
      <c r="UR35" s="10"/>
      <c r="US35" s="11"/>
      <c r="UT35" s="12"/>
      <c r="UU35" s="12"/>
      <c r="UV35" s="12"/>
      <c r="UW35" s="13"/>
      <c r="UX35" s="9"/>
      <c r="UY35" s="9"/>
      <c r="UZ35" s="9"/>
      <c r="VA35" s="9"/>
      <c r="VB35" s="10"/>
      <c r="VC35" s="11"/>
      <c r="VD35" s="12"/>
      <c r="VE35" s="12"/>
      <c r="VF35" s="12"/>
      <c r="VG35" s="13"/>
      <c r="VH35" s="9"/>
      <c r="VI35" s="9"/>
      <c r="VJ35" s="9"/>
      <c r="VK35" s="9"/>
      <c r="VL35" s="10"/>
      <c r="VM35" s="11"/>
      <c r="VN35" s="12"/>
      <c r="VO35" s="12"/>
      <c r="VP35" s="12"/>
      <c r="VQ35" s="13"/>
      <c r="VR35" s="9"/>
      <c r="VS35" s="9"/>
      <c r="VT35" s="9"/>
      <c r="VU35" s="9"/>
      <c r="VV35" s="10"/>
      <c r="VW35" s="11"/>
      <c r="VX35" s="12"/>
      <c r="VY35" s="12"/>
      <c r="VZ35" s="12"/>
      <c r="WA35" s="13"/>
      <c r="WB35" s="9"/>
      <c r="WC35" s="9"/>
      <c r="WD35" s="9"/>
      <c r="WE35" s="9"/>
      <c r="WF35" s="10"/>
      <c r="WG35" s="11"/>
      <c r="WH35" s="12"/>
      <c r="WI35" s="12"/>
      <c r="WJ35" s="12"/>
      <c r="WK35" s="13"/>
      <c r="WL35" s="9"/>
      <c r="WM35" s="9"/>
      <c r="WN35" s="9"/>
      <c r="WO35" s="9"/>
      <c r="WP35" s="10"/>
      <c r="WQ35" s="11"/>
      <c r="WR35" s="12"/>
      <c r="WS35" s="12"/>
      <c r="WT35" s="12"/>
      <c r="WU35" s="13"/>
      <c r="WV35" s="9"/>
      <c r="WW35" s="9"/>
      <c r="WX35" s="9"/>
      <c r="WY35" s="9"/>
      <c r="WZ35" s="10"/>
      <c r="XA35" s="11"/>
      <c r="XB35" s="12"/>
      <c r="XC35" s="12"/>
      <c r="XD35" s="12"/>
      <c r="XE35" s="13"/>
      <c r="XF35" s="9"/>
      <c r="XG35" s="9"/>
      <c r="XH35" s="9"/>
      <c r="XI35" s="9"/>
      <c r="XJ35" s="10"/>
      <c r="XK35" s="11"/>
      <c r="XL35" s="12"/>
      <c r="XM35" s="12"/>
      <c r="XN35" s="12"/>
      <c r="XO35" s="13"/>
      <c r="XP35" s="9"/>
      <c r="XQ35" s="9"/>
      <c r="XR35" s="9"/>
      <c r="XS35" s="9"/>
      <c r="XT35" s="10"/>
      <c r="XU35" s="11"/>
      <c r="XV35" s="12"/>
      <c r="XW35" s="12"/>
      <c r="XX35" s="12"/>
      <c r="XY35" s="13"/>
      <c r="XZ35" s="9"/>
      <c r="YA35" s="9"/>
      <c r="YB35" s="9"/>
      <c r="YC35" s="9"/>
      <c r="YD35" s="10"/>
      <c r="YE35" s="11"/>
      <c r="YF35" s="12"/>
      <c r="YG35" s="12"/>
      <c r="YH35" s="12"/>
      <c r="YI35" s="13"/>
      <c r="YJ35" s="9"/>
      <c r="YK35" s="9"/>
      <c r="YL35" s="9"/>
      <c r="YM35" s="9"/>
      <c r="YN35" s="10"/>
      <c r="YO35" s="11"/>
      <c r="YP35" s="12"/>
      <c r="YQ35" s="12"/>
      <c r="YR35" s="12"/>
      <c r="YS35" s="13"/>
      <c r="YT35" s="9"/>
      <c r="YU35" s="9"/>
      <c r="YV35" s="9"/>
      <c r="YW35" s="9"/>
      <c r="YX35" s="10"/>
      <c r="YY35" s="11"/>
      <c r="YZ35" s="12"/>
      <c r="ZA35" s="12"/>
      <c r="ZB35" s="12"/>
      <c r="ZC35" s="13"/>
      <c r="ZD35" s="9"/>
      <c r="ZE35" s="9"/>
      <c r="ZF35" s="9"/>
      <c r="ZG35" s="9"/>
      <c r="ZH35" s="10"/>
      <c r="ZI35" s="11"/>
      <c r="ZJ35" s="12"/>
      <c r="ZK35" s="12"/>
      <c r="ZL35" s="12"/>
      <c r="ZM35" s="13"/>
      <c r="ZN35" s="9"/>
      <c r="ZO35" s="9"/>
      <c r="ZP35" s="9"/>
      <c r="ZQ35" s="9"/>
      <c r="ZR35" s="10"/>
      <c r="ZS35" s="11"/>
      <c r="ZT35" s="12"/>
      <c r="ZU35" s="12"/>
      <c r="ZV35" s="12"/>
      <c r="ZW35" s="13"/>
      <c r="ZX35" s="9"/>
      <c r="ZY35" s="9"/>
      <c r="ZZ35" s="9"/>
      <c r="AAA35" s="9"/>
      <c r="AAB35" s="10"/>
      <c r="AAC35" s="11"/>
      <c r="AAD35" s="12"/>
      <c r="AAE35" s="12"/>
      <c r="AAF35" s="12"/>
      <c r="AAG35" s="13"/>
      <c r="AAH35" s="9"/>
      <c r="AAI35" s="9"/>
      <c r="AAJ35" s="9"/>
      <c r="AAK35" s="9"/>
      <c r="AAL35" s="10"/>
      <c r="AAM35" s="11"/>
      <c r="AAN35" s="12"/>
      <c r="AAO35" s="12"/>
      <c r="AAP35" s="12"/>
      <c r="AAQ35" s="13"/>
      <c r="AAR35" s="9"/>
      <c r="AAS35" s="9"/>
      <c r="AAT35" s="9"/>
      <c r="AAU35" s="9"/>
      <c r="AAV35" s="10"/>
      <c r="AAW35" s="11"/>
      <c r="AAX35" s="12"/>
      <c r="AAY35" s="12"/>
      <c r="AAZ35" s="12"/>
      <c r="ABA35" s="13"/>
      <c r="ABB35" s="9"/>
      <c r="ABC35" s="9"/>
      <c r="ABD35" s="9"/>
      <c r="ABE35" s="9"/>
      <c r="ABF35" s="10"/>
      <c r="ABG35" s="11"/>
      <c r="ABH35" s="12"/>
      <c r="ABI35" s="12"/>
      <c r="ABJ35" s="12"/>
      <c r="ABK35" s="13"/>
      <c r="ABL35" s="9"/>
      <c r="ABM35" s="9"/>
      <c r="ABN35" s="9"/>
      <c r="ABO35" s="9"/>
      <c r="ABP35" s="10"/>
      <c r="ABQ35" s="11"/>
      <c r="ABR35" s="12"/>
      <c r="ABS35" s="12"/>
      <c r="ABT35" s="12"/>
      <c r="ABU35" s="13"/>
      <c r="ABV35" s="9"/>
      <c r="ABW35" s="9"/>
      <c r="ABX35" s="9"/>
      <c r="ABY35" s="9"/>
      <c r="ABZ35" s="10"/>
      <c r="ACA35" s="11"/>
      <c r="ACB35" s="12"/>
      <c r="ACC35" s="12"/>
      <c r="ACD35" s="12"/>
      <c r="ACE35" s="13"/>
      <c r="ACF35" s="9"/>
      <c r="ACG35" s="9"/>
      <c r="ACH35" s="9"/>
      <c r="ACI35" s="9"/>
      <c r="ACJ35" s="10"/>
      <c r="ACK35" s="11"/>
      <c r="ACL35" s="12"/>
      <c r="ACM35" s="12"/>
      <c r="ACN35" s="12"/>
      <c r="ACO35" s="13"/>
      <c r="ACP35" s="9"/>
      <c r="ACQ35" s="9"/>
      <c r="ACR35" s="9"/>
      <c r="ACS35" s="9"/>
      <c r="ACT35" s="10"/>
      <c r="ACU35" s="11"/>
      <c r="ACV35" s="12"/>
      <c r="ACW35" s="12"/>
      <c r="ACX35" s="12"/>
      <c r="ACY35" s="13"/>
      <c r="ACZ35" s="9"/>
      <c r="ADA35" s="9"/>
      <c r="ADB35" s="9"/>
      <c r="ADC35" s="9"/>
      <c r="ADD35" s="10"/>
      <c r="ADE35" s="11"/>
      <c r="ADF35" s="12"/>
      <c r="ADG35" s="12"/>
      <c r="ADH35" s="12"/>
      <c r="ADI35" s="13"/>
      <c r="ADJ35" s="9"/>
      <c r="ADK35" s="9"/>
      <c r="ADL35" s="9"/>
      <c r="ADM35" s="9"/>
      <c r="ADN35" s="10"/>
      <c r="ADO35" s="11"/>
      <c r="ADP35" s="12"/>
      <c r="ADQ35" s="12"/>
      <c r="ADR35" s="12"/>
      <c r="ADS35" s="13"/>
      <c r="ADT35" s="9"/>
      <c r="ADU35" s="9"/>
      <c r="ADV35" s="9"/>
      <c r="ADW35" s="9"/>
      <c r="ADX35" s="10"/>
      <c r="ADY35" s="11"/>
      <c r="ADZ35" s="12"/>
      <c r="AEA35" s="12"/>
      <c r="AEB35" s="12"/>
      <c r="AEC35" s="13"/>
      <c r="AED35" s="9"/>
      <c r="AEE35" s="9"/>
      <c r="AEF35" s="9"/>
      <c r="AEG35" s="9"/>
      <c r="AEH35" s="10"/>
      <c r="AEI35" s="11"/>
      <c r="AEJ35" s="12"/>
      <c r="AEK35" s="12"/>
      <c r="AEL35" s="12"/>
      <c r="AEM35" s="13"/>
      <c r="AEN35" s="9"/>
      <c r="AEO35" s="9"/>
      <c r="AEP35" s="9"/>
      <c r="AEQ35" s="9"/>
      <c r="AER35" s="10"/>
      <c r="AES35" s="11"/>
      <c r="AET35" s="12"/>
      <c r="AEU35" s="12"/>
      <c r="AEV35" s="12"/>
      <c r="AEW35" s="13"/>
      <c r="AEX35" s="9"/>
      <c r="AEY35" s="9"/>
      <c r="AEZ35" s="9"/>
      <c r="AFA35" s="9"/>
      <c r="AFB35" s="10"/>
      <c r="AFC35" s="11"/>
      <c r="AFD35" s="12"/>
      <c r="AFE35" s="12"/>
      <c r="AFF35" s="12"/>
      <c r="AFG35" s="13"/>
      <c r="AFH35" s="9"/>
      <c r="AFI35" s="9"/>
      <c r="AFJ35" s="9"/>
      <c r="AFK35" s="9"/>
      <c r="AFL35" s="10"/>
      <c r="AFM35" s="11"/>
      <c r="AFN35" s="12"/>
      <c r="AFO35" s="12"/>
      <c r="AFP35" s="12"/>
      <c r="AFQ35" s="13"/>
      <c r="AFR35" s="9"/>
      <c r="AFS35" s="9"/>
      <c r="AFT35" s="9"/>
      <c r="AFU35" s="9"/>
      <c r="AFV35" s="10"/>
      <c r="AFW35" s="11"/>
      <c r="AFX35" s="12"/>
      <c r="AFY35" s="12"/>
      <c r="AFZ35" s="12"/>
      <c r="AGA35" s="13"/>
      <c r="AGB35" s="9"/>
      <c r="AGC35" s="9"/>
      <c r="AGD35" s="9"/>
      <c r="AGE35" s="9"/>
      <c r="AGF35" s="10"/>
      <c r="AGG35" s="11"/>
      <c r="AGH35" s="12"/>
      <c r="AGI35" s="12"/>
      <c r="AGJ35" s="12"/>
      <c r="AGK35" s="13"/>
      <c r="AGL35" s="9"/>
      <c r="AGM35" s="9"/>
      <c r="AGN35" s="9"/>
      <c r="AGO35" s="9"/>
      <c r="AGP35" s="10"/>
      <c r="AGQ35" s="11"/>
      <c r="AGR35" s="12"/>
      <c r="AGS35" s="12"/>
      <c r="AGT35" s="12"/>
      <c r="AGU35" s="13"/>
      <c r="AGV35" s="9"/>
      <c r="AGW35" s="9"/>
      <c r="AGX35" s="9"/>
      <c r="AGY35" s="9"/>
      <c r="AGZ35" s="10"/>
      <c r="AHA35" s="11"/>
      <c r="AHB35" s="12"/>
      <c r="AHC35" s="12"/>
      <c r="AHD35" s="12"/>
      <c r="AHE35" s="13"/>
      <c r="AHF35" s="9"/>
      <c r="AHG35" s="9"/>
      <c r="AHH35" s="9"/>
      <c r="AHI35" s="9"/>
      <c r="AHJ35" s="10"/>
      <c r="AHK35" s="11"/>
      <c r="AHL35" s="12"/>
      <c r="AHM35" s="12"/>
      <c r="AHN35" s="12"/>
      <c r="AHO35" s="13"/>
      <c r="AHP35" s="9"/>
      <c r="AHQ35" s="9"/>
      <c r="AHR35" s="9"/>
      <c r="AHS35" s="9"/>
      <c r="AHT35" s="10"/>
      <c r="AHU35" s="11"/>
      <c r="AHV35" s="12"/>
      <c r="AHW35" s="12"/>
      <c r="AHX35" s="12"/>
      <c r="AHY35" s="13"/>
      <c r="AHZ35" s="9"/>
      <c r="AIA35" s="9"/>
      <c r="AIB35" s="9"/>
      <c r="AIC35" s="9"/>
      <c r="AID35" s="10"/>
      <c r="AIE35" s="11"/>
      <c r="AIF35" s="12"/>
      <c r="AIG35" s="12"/>
      <c r="AIH35" s="12"/>
      <c r="AII35" s="13"/>
      <c r="AIJ35" s="9"/>
      <c r="AIK35" s="9"/>
      <c r="AIL35" s="9"/>
      <c r="AIM35" s="9"/>
      <c r="AIN35" s="10"/>
      <c r="AIO35" s="11"/>
      <c r="AIP35" s="12"/>
      <c r="AIQ35" s="12"/>
      <c r="AIR35" s="12"/>
      <c r="AIS35" s="13"/>
      <c r="AIT35" s="9"/>
      <c r="AIU35" s="9"/>
      <c r="AIV35" s="9"/>
      <c r="AIW35" s="9"/>
      <c r="AIX35" s="10"/>
      <c r="AIY35" s="11"/>
      <c r="AIZ35" s="12"/>
      <c r="AJA35" s="12"/>
      <c r="AJB35" s="12"/>
      <c r="AJC35" s="13"/>
      <c r="AJD35" s="9"/>
      <c r="AJE35" s="9"/>
      <c r="AJF35" s="9"/>
      <c r="AJG35" s="9"/>
      <c r="AJH35" s="10"/>
      <c r="AJI35" s="11"/>
      <c r="AJJ35" s="12"/>
      <c r="AJK35" s="12"/>
      <c r="AJL35" s="12"/>
      <c r="AJM35" s="13"/>
      <c r="AJN35" s="9"/>
      <c r="AJO35" s="9"/>
      <c r="AJP35" s="9"/>
      <c r="AJQ35" s="9"/>
      <c r="AJR35" s="10"/>
      <c r="AJS35" s="11"/>
      <c r="AJT35" s="12"/>
      <c r="AJU35" s="12"/>
      <c r="AJV35" s="12"/>
      <c r="AJW35" s="13"/>
      <c r="AJX35" s="9"/>
      <c r="AJY35" s="9"/>
      <c r="AJZ35" s="9"/>
      <c r="AKA35" s="9"/>
      <c r="AKB35" s="10"/>
      <c r="AKC35" s="11"/>
      <c r="AKD35" s="12"/>
      <c r="AKE35" s="12"/>
      <c r="AKF35" s="12"/>
      <c r="AKG35" s="13"/>
      <c r="AKH35" s="9"/>
      <c r="AKI35" s="9"/>
      <c r="AKJ35" s="9"/>
      <c r="AKK35" s="9"/>
      <c r="AKL35" s="10"/>
      <c r="AKM35" s="11"/>
      <c r="AKN35" s="12"/>
      <c r="AKO35" s="12"/>
      <c r="AKP35" s="12"/>
      <c r="AKQ35" s="13"/>
      <c r="AKR35" s="9"/>
      <c r="AKS35" s="9"/>
      <c r="AKT35" s="9"/>
      <c r="AKU35" s="9"/>
      <c r="AKV35" s="10"/>
      <c r="AKW35" s="11"/>
      <c r="AKX35" s="12"/>
      <c r="AKY35" s="12"/>
      <c r="AKZ35" s="12"/>
      <c r="ALA35" s="13"/>
      <c r="ALB35" s="9"/>
      <c r="ALC35" s="9"/>
      <c r="ALD35" s="9"/>
      <c r="ALE35" s="9"/>
      <c r="ALF35" s="10"/>
      <c r="ALG35" s="11"/>
      <c r="ALH35" s="12"/>
      <c r="ALI35" s="12"/>
      <c r="ALJ35" s="12"/>
      <c r="ALK35" s="13"/>
      <c r="ALL35" s="9"/>
      <c r="ALM35" s="9"/>
      <c r="ALN35" s="9"/>
      <c r="ALO35" s="9"/>
      <c r="ALP35" s="10"/>
      <c r="ALQ35" s="11"/>
      <c r="ALR35" s="12"/>
      <c r="ALS35" s="12"/>
      <c r="ALT35" s="12"/>
      <c r="ALU35" s="13"/>
      <c r="ALV35" s="9"/>
      <c r="ALW35" s="9"/>
      <c r="ALX35" s="9"/>
      <c r="ALY35" s="9"/>
      <c r="ALZ35" s="10"/>
      <c r="AMA35" s="11"/>
      <c r="AMB35" s="12"/>
      <c r="AMC35" s="12"/>
      <c r="AMD35" s="12"/>
      <c r="AME35" s="13"/>
      <c r="AMF35" s="9"/>
      <c r="AMG35" s="9"/>
      <c r="AMH35" s="9"/>
      <c r="AMI35" s="9"/>
      <c r="AMJ35" s="10"/>
      <c r="AMK35" s="11"/>
      <c r="AML35" s="12"/>
      <c r="AMM35" s="12"/>
      <c r="AMN35" s="12"/>
      <c r="AMO35" s="13"/>
      <c r="AMP35" s="9"/>
      <c r="AMQ35" s="9"/>
      <c r="AMR35" s="9"/>
      <c r="AMS35" s="9"/>
      <c r="AMT35" s="10"/>
      <c r="AMU35" s="11"/>
      <c r="AMV35" s="12"/>
      <c r="AMW35" s="12"/>
      <c r="AMX35" s="12"/>
      <c r="AMY35" s="13"/>
      <c r="AMZ35" s="9"/>
      <c r="ANA35" s="9"/>
      <c r="ANB35" s="9"/>
      <c r="ANC35" s="9"/>
      <c r="AND35" s="10"/>
      <c r="ANE35" s="11"/>
      <c r="ANF35" s="12"/>
      <c r="ANG35" s="12"/>
      <c r="ANH35" s="12"/>
      <c r="ANI35" s="13"/>
      <c r="ANJ35" s="9"/>
      <c r="ANK35" s="9"/>
      <c r="ANL35" s="9"/>
      <c r="ANM35" s="9"/>
      <c r="ANN35" s="10"/>
      <c r="ANO35" s="11"/>
      <c r="ANP35" s="12"/>
      <c r="ANQ35" s="12"/>
      <c r="ANR35" s="12"/>
      <c r="ANS35" s="13"/>
      <c r="ANT35" s="9"/>
      <c r="ANU35" s="9"/>
      <c r="ANV35" s="9"/>
      <c r="ANW35" s="9"/>
      <c r="ANX35" s="10"/>
      <c r="ANY35" s="11"/>
      <c r="ANZ35" s="12"/>
      <c r="AOA35" s="12"/>
      <c r="AOB35" s="12"/>
      <c r="AOC35" s="13"/>
      <c r="AOD35" s="9"/>
      <c r="AOE35" s="9"/>
      <c r="AOF35" s="9"/>
      <c r="AOG35" s="9"/>
      <c r="AOH35" s="10"/>
      <c r="AOI35" s="11"/>
      <c r="AOJ35" s="12"/>
      <c r="AOK35" s="12"/>
      <c r="AOL35" s="12"/>
      <c r="AOM35" s="13"/>
      <c r="AON35" s="9"/>
      <c r="AOO35" s="9"/>
      <c r="AOP35" s="9"/>
      <c r="AOQ35" s="9"/>
      <c r="AOR35" s="10"/>
      <c r="AOS35" s="11"/>
      <c r="AOT35" s="12"/>
      <c r="AOU35" s="12"/>
      <c r="AOV35" s="12"/>
      <c r="AOW35" s="13"/>
      <c r="AOX35" s="9"/>
      <c r="AOY35" s="9"/>
      <c r="AOZ35" s="9"/>
      <c r="APA35" s="9"/>
      <c r="APB35" s="10"/>
      <c r="APC35" s="11"/>
      <c r="APD35" s="12"/>
      <c r="APE35" s="12"/>
      <c r="APF35" s="12"/>
      <c r="APG35" s="13"/>
      <c r="APH35" s="9"/>
      <c r="API35" s="9"/>
      <c r="APJ35" s="9"/>
      <c r="APK35" s="9"/>
      <c r="APL35" s="10"/>
      <c r="APM35" s="11"/>
      <c r="APN35" s="12"/>
      <c r="APO35" s="12"/>
      <c r="APP35" s="12"/>
      <c r="APQ35" s="13"/>
      <c r="APR35" s="9"/>
      <c r="APS35" s="9"/>
      <c r="APT35" s="9"/>
      <c r="APU35" s="9"/>
      <c r="APV35" s="10"/>
      <c r="APW35" s="11"/>
      <c r="APX35" s="12"/>
      <c r="APY35" s="12"/>
      <c r="APZ35" s="12"/>
      <c r="AQA35" s="13"/>
      <c r="AQB35" s="9"/>
      <c r="AQC35" s="9"/>
      <c r="AQD35" s="9"/>
      <c r="AQE35" s="9"/>
      <c r="AQF35" s="10"/>
      <c r="AQG35" s="11"/>
      <c r="AQH35" s="12"/>
      <c r="AQI35" s="12"/>
      <c r="AQJ35" s="12"/>
      <c r="AQK35" s="13"/>
      <c r="AQL35" s="9"/>
      <c r="AQM35" s="9"/>
      <c r="AQN35" s="9"/>
      <c r="AQO35" s="9"/>
      <c r="AQP35" s="10"/>
      <c r="AQQ35" s="11"/>
      <c r="AQR35" s="12"/>
      <c r="AQS35" s="12"/>
      <c r="AQT35" s="12"/>
      <c r="AQU35" s="13"/>
      <c r="AQV35" s="9"/>
      <c r="AQW35" s="9"/>
      <c r="AQX35" s="9"/>
      <c r="AQY35" s="9"/>
      <c r="AQZ35" s="10"/>
      <c r="ARA35" s="11"/>
      <c r="ARB35" s="12"/>
      <c r="ARC35" s="12"/>
      <c r="ARD35" s="12"/>
      <c r="ARE35" s="13"/>
      <c r="ARF35" s="9"/>
      <c r="ARG35" s="9"/>
      <c r="ARH35" s="9"/>
      <c r="ARI35" s="9"/>
      <c r="ARJ35" s="10"/>
      <c r="ARK35" s="11"/>
      <c r="ARL35" s="12"/>
      <c r="ARM35" s="12"/>
      <c r="ARN35" s="12"/>
      <c r="ARO35" s="13"/>
      <c r="ARP35" s="9"/>
      <c r="ARQ35" s="9"/>
      <c r="ARR35" s="9"/>
      <c r="ARS35" s="9"/>
      <c r="ART35" s="10"/>
      <c r="ARU35" s="11"/>
      <c r="ARV35" s="12"/>
      <c r="ARW35" s="12"/>
      <c r="ARX35" s="12"/>
      <c r="ARY35" s="13"/>
      <c r="ARZ35" s="9"/>
      <c r="ASA35" s="9"/>
      <c r="ASB35" s="9"/>
      <c r="ASC35" s="9"/>
      <c r="ASD35" s="10"/>
      <c r="ASE35" s="11"/>
      <c r="ASF35" s="12"/>
      <c r="ASG35" s="12"/>
      <c r="ASH35" s="12"/>
      <c r="ASI35" s="13"/>
      <c r="ASJ35" s="9"/>
      <c r="ASK35" s="9"/>
      <c r="ASL35" s="9"/>
      <c r="ASM35" s="9"/>
      <c r="ASN35" s="10"/>
      <c r="ASO35" s="11"/>
      <c r="ASP35" s="12"/>
      <c r="ASQ35" s="12"/>
      <c r="ASR35" s="12"/>
      <c r="ASS35" s="13"/>
      <c r="AST35" s="9"/>
      <c r="ASU35" s="9"/>
      <c r="ASV35" s="9"/>
      <c r="ASW35" s="9"/>
      <c r="ASX35" s="10"/>
      <c r="ASY35" s="11"/>
      <c r="ASZ35" s="12"/>
      <c r="ATA35" s="12"/>
      <c r="ATB35" s="12"/>
      <c r="ATC35" s="13"/>
      <c r="ATD35" s="9"/>
      <c r="ATE35" s="9"/>
      <c r="ATF35" s="9"/>
      <c r="ATG35" s="9"/>
      <c r="ATH35" s="10"/>
      <c r="ATI35" s="11"/>
      <c r="ATJ35" s="12"/>
      <c r="ATK35" s="12"/>
      <c r="ATL35" s="12"/>
      <c r="ATM35" s="13"/>
      <c r="ATN35" s="9"/>
      <c r="ATO35" s="9"/>
      <c r="ATP35" s="9"/>
      <c r="ATQ35" s="9"/>
      <c r="ATR35" s="10"/>
      <c r="ATS35" s="11"/>
      <c r="ATT35" s="12"/>
      <c r="ATU35" s="12"/>
      <c r="ATV35" s="12"/>
      <c r="ATW35" s="13"/>
      <c r="ATX35" s="9"/>
      <c r="ATY35" s="9"/>
      <c r="ATZ35" s="9"/>
      <c r="AUA35" s="9"/>
      <c r="AUB35" s="10"/>
      <c r="AUC35" s="11"/>
      <c r="AUD35" s="12"/>
      <c r="AUE35" s="12"/>
      <c r="AUF35" s="12"/>
      <c r="AUG35" s="13"/>
      <c r="AUH35" s="9"/>
      <c r="AUI35" s="9"/>
      <c r="AUJ35" s="9"/>
      <c r="AUK35" s="9"/>
      <c r="AUL35" s="10"/>
      <c r="AUM35" s="11"/>
      <c r="AUN35" s="12"/>
      <c r="AUO35" s="12"/>
      <c r="AUP35" s="12"/>
      <c r="AUQ35" s="13"/>
      <c r="AUR35" s="9"/>
      <c r="AUS35" s="9"/>
      <c r="AUT35" s="9"/>
      <c r="AUU35" s="9"/>
      <c r="AUV35" s="10"/>
      <c r="AUW35" s="11"/>
      <c r="AUX35" s="12"/>
      <c r="AUY35" s="12"/>
      <c r="AUZ35" s="12"/>
      <c r="AVA35" s="13"/>
      <c r="AVB35" s="9"/>
      <c r="AVC35" s="9"/>
      <c r="AVD35" s="9"/>
      <c r="AVE35" s="9"/>
      <c r="AVF35" s="10"/>
      <c r="AVG35" s="11"/>
      <c r="AVH35" s="12"/>
      <c r="AVI35" s="12"/>
      <c r="AVJ35" s="12"/>
      <c r="AVK35" s="13"/>
      <c r="AVL35" s="9"/>
      <c r="AVM35" s="9"/>
      <c r="AVN35" s="9"/>
      <c r="AVO35" s="9"/>
      <c r="AVP35" s="10"/>
      <c r="AVQ35" s="11"/>
      <c r="AVR35" s="12"/>
      <c r="AVS35" s="12"/>
      <c r="AVT35" s="12"/>
      <c r="AVU35" s="13"/>
      <c r="AVV35" s="9"/>
      <c r="AVW35" s="9"/>
      <c r="AVX35" s="9"/>
      <c r="AVY35" s="9"/>
      <c r="AVZ35" s="10"/>
      <c r="AWA35" s="11"/>
      <c r="AWB35" s="12"/>
      <c r="AWC35" s="12"/>
      <c r="AWD35" s="12"/>
      <c r="AWE35" s="13"/>
      <c r="AWF35" s="9"/>
      <c r="AWG35" s="9"/>
      <c r="AWH35" s="9"/>
      <c r="AWI35" s="9"/>
      <c r="AWJ35" s="10"/>
      <c r="AWK35" s="11"/>
      <c r="AWL35" s="12"/>
      <c r="AWM35" s="12"/>
      <c r="AWN35" s="12"/>
      <c r="AWO35" s="13"/>
      <c r="AWP35" s="9"/>
      <c r="AWQ35" s="9"/>
      <c r="AWR35" s="9"/>
      <c r="AWS35" s="9"/>
      <c r="AWT35" s="10"/>
      <c r="AWU35" s="11"/>
      <c r="AWV35" s="12"/>
      <c r="AWW35" s="12"/>
      <c r="AWX35" s="12"/>
      <c r="AWY35" s="13"/>
      <c r="AWZ35" s="9"/>
      <c r="AXA35" s="9"/>
      <c r="AXB35" s="9"/>
      <c r="AXC35" s="9"/>
      <c r="AXD35" s="10"/>
      <c r="AXE35" s="11"/>
      <c r="AXF35" s="12"/>
      <c r="AXG35" s="12"/>
      <c r="AXH35" s="12"/>
      <c r="AXI35" s="13"/>
      <c r="AXJ35" s="9"/>
      <c r="AXK35" s="9"/>
      <c r="AXL35" s="9"/>
      <c r="AXM35" s="9"/>
      <c r="AXN35" s="10"/>
      <c r="AXO35" s="11"/>
      <c r="AXP35" s="12"/>
      <c r="AXQ35" s="12"/>
      <c r="AXR35" s="12"/>
      <c r="AXS35" s="13"/>
      <c r="AXT35" s="9"/>
      <c r="AXU35" s="9"/>
      <c r="AXV35" s="9"/>
      <c r="AXW35" s="9"/>
      <c r="AXX35" s="10"/>
      <c r="AXY35" s="11"/>
      <c r="AXZ35" s="12"/>
      <c r="AYA35" s="12"/>
      <c r="AYB35" s="12"/>
      <c r="AYC35" s="13"/>
      <c r="AYD35" s="9"/>
      <c r="AYE35" s="9"/>
      <c r="AYF35" s="9"/>
      <c r="AYG35" s="9"/>
      <c r="AYH35" s="10"/>
      <c r="AYI35" s="11"/>
      <c r="AYJ35" s="12"/>
      <c r="AYK35" s="12"/>
      <c r="AYL35" s="12"/>
      <c r="AYM35" s="13"/>
      <c r="AYN35" s="9"/>
      <c r="AYO35" s="9"/>
      <c r="AYP35" s="9"/>
      <c r="AYQ35" s="9"/>
      <c r="AYR35" s="10"/>
      <c r="AYS35" s="11"/>
      <c r="AYT35" s="12"/>
      <c r="AYU35" s="12"/>
      <c r="AYV35" s="12"/>
      <c r="AYW35" s="13"/>
      <c r="AYX35" s="9"/>
      <c r="AYY35" s="9"/>
      <c r="AYZ35" s="9"/>
      <c r="AZA35" s="9"/>
      <c r="AZB35" s="10"/>
      <c r="AZC35" s="11"/>
      <c r="AZD35" s="12"/>
      <c r="AZE35" s="12"/>
      <c r="AZF35" s="12"/>
      <c r="AZG35" s="13"/>
      <c r="AZH35" s="9"/>
      <c r="AZI35" s="9"/>
      <c r="AZJ35" s="9"/>
      <c r="AZK35" s="9"/>
      <c r="AZL35" s="10"/>
      <c r="AZM35" s="11"/>
      <c r="AZN35" s="12"/>
      <c r="AZO35" s="12"/>
      <c r="AZP35" s="12"/>
      <c r="AZQ35" s="13"/>
      <c r="AZR35" s="9"/>
      <c r="AZS35" s="9"/>
      <c r="AZT35" s="9"/>
      <c r="AZU35" s="9"/>
      <c r="AZV35" s="10"/>
      <c r="AZW35" s="11"/>
      <c r="AZX35" s="12"/>
      <c r="AZY35" s="12"/>
      <c r="AZZ35" s="12"/>
      <c r="BAA35" s="13"/>
      <c r="BAB35" s="9"/>
      <c r="BAC35" s="9"/>
      <c r="BAD35" s="9"/>
      <c r="BAE35" s="9"/>
      <c r="BAF35" s="10"/>
      <c r="BAG35" s="11"/>
      <c r="BAH35" s="12"/>
      <c r="BAI35" s="12"/>
      <c r="BAJ35" s="12"/>
      <c r="BAK35" s="13"/>
      <c r="BAL35" s="9"/>
      <c r="BAM35" s="9"/>
      <c r="BAN35" s="9"/>
      <c r="BAO35" s="9"/>
      <c r="BAP35" s="10"/>
      <c r="BAQ35" s="11"/>
      <c r="BAR35" s="12"/>
      <c r="BAS35" s="12"/>
      <c r="BAT35" s="12"/>
      <c r="BAU35" s="13"/>
      <c r="BAV35" s="9"/>
      <c r="BAW35" s="9"/>
      <c r="BAX35" s="9"/>
      <c r="BAY35" s="9"/>
      <c r="BAZ35" s="10"/>
      <c r="BBA35" s="11"/>
      <c r="BBB35" s="12"/>
      <c r="BBC35" s="12"/>
      <c r="BBD35" s="12"/>
      <c r="BBE35" s="13"/>
      <c r="BBF35" s="9"/>
      <c r="BBG35" s="9"/>
      <c r="BBH35" s="9"/>
      <c r="BBI35" s="9"/>
      <c r="BBJ35" s="10"/>
      <c r="BBK35" s="11"/>
      <c r="BBL35" s="12"/>
      <c r="BBM35" s="12"/>
      <c r="BBN35" s="12"/>
      <c r="BBO35" s="13"/>
      <c r="BBP35" s="9"/>
      <c r="BBQ35" s="9"/>
      <c r="BBR35" s="9"/>
      <c r="BBS35" s="9"/>
      <c r="BBT35" s="10"/>
      <c r="BBU35" s="11"/>
      <c r="BBV35" s="12"/>
      <c r="BBW35" s="12"/>
      <c r="BBX35" s="12"/>
      <c r="BBY35" s="13"/>
      <c r="BBZ35" s="9"/>
      <c r="BCA35" s="9"/>
      <c r="BCB35" s="9"/>
      <c r="BCC35" s="9"/>
      <c r="BCD35" s="10"/>
      <c r="BCE35" s="11"/>
      <c r="BCF35" s="12"/>
      <c r="BCG35" s="12"/>
      <c r="BCH35" s="12"/>
      <c r="BCI35" s="13"/>
      <c r="BCJ35" s="9"/>
      <c r="BCK35" s="9"/>
      <c r="BCL35" s="9"/>
      <c r="BCM35" s="9"/>
      <c r="BCN35" s="10"/>
      <c r="BCO35" s="11"/>
      <c r="BCP35" s="12"/>
      <c r="BCQ35" s="12"/>
      <c r="BCR35" s="12"/>
      <c r="BCS35" s="13"/>
      <c r="BCT35" s="9"/>
      <c r="BCU35" s="9"/>
      <c r="BCV35" s="9"/>
      <c r="BCW35" s="9"/>
      <c r="BCX35" s="10"/>
      <c r="BCY35" s="11"/>
      <c r="BCZ35" s="12"/>
      <c r="BDA35" s="12"/>
      <c r="BDB35" s="12"/>
      <c r="BDC35" s="13"/>
      <c r="BDD35" s="9"/>
      <c r="BDE35" s="9"/>
      <c r="BDF35" s="9"/>
      <c r="BDG35" s="9"/>
      <c r="BDH35" s="10"/>
      <c r="BDI35" s="11"/>
      <c r="BDJ35" s="12"/>
      <c r="BDK35" s="12"/>
      <c r="BDL35" s="12"/>
      <c r="BDM35" s="13"/>
      <c r="BDN35" s="9"/>
      <c r="BDO35" s="9"/>
      <c r="BDP35" s="9"/>
      <c r="BDQ35" s="9"/>
      <c r="BDR35" s="10"/>
      <c r="BDS35" s="11"/>
      <c r="BDT35" s="12"/>
      <c r="BDU35" s="12"/>
      <c r="BDV35" s="12"/>
      <c r="BDW35" s="13"/>
      <c r="BDX35" s="9"/>
      <c r="BDY35" s="9"/>
      <c r="BDZ35" s="9"/>
      <c r="BEA35" s="9"/>
      <c r="BEB35" s="10"/>
      <c r="BEC35" s="11"/>
      <c r="BED35" s="12"/>
      <c r="BEE35" s="12"/>
      <c r="BEF35" s="12"/>
      <c r="BEG35" s="13"/>
      <c r="BEH35" s="9"/>
      <c r="BEI35" s="9"/>
      <c r="BEJ35" s="9"/>
      <c r="BEK35" s="9"/>
      <c r="BEL35" s="10"/>
      <c r="BEM35" s="11"/>
      <c r="BEN35" s="12"/>
      <c r="BEO35" s="12"/>
      <c r="BEP35" s="12"/>
      <c r="BEQ35" s="13"/>
      <c r="BER35" s="9"/>
      <c r="BES35" s="9"/>
      <c r="BET35" s="9"/>
      <c r="BEU35" s="9"/>
      <c r="BEV35" s="10"/>
      <c r="BEW35" s="11"/>
      <c r="BEX35" s="12"/>
      <c r="BEY35" s="12"/>
      <c r="BEZ35" s="12"/>
      <c r="BFA35" s="13"/>
      <c r="BFB35" s="9"/>
      <c r="BFC35" s="9"/>
      <c r="BFD35" s="9"/>
      <c r="BFE35" s="9"/>
      <c r="BFF35" s="10"/>
      <c r="BFG35" s="11"/>
      <c r="BFH35" s="12"/>
      <c r="BFI35" s="12"/>
      <c r="BFJ35" s="12"/>
      <c r="BFK35" s="13"/>
      <c r="BFL35" s="9"/>
      <c r="BFM35" s="9"/>
      <c r="BFN35" s="9"/>
      <c r="BFO35" s="9"/>
      <c r="BFP35" s="10"/>
      <c r="BFQ35" s="11"/>
      <c r="BFR35" s="12"/>
      <c r="BFS35" s="12"/>
      <c r="BFT35" s="12"/>
      <c r="BFU35" s="13"/>
      <c r="BFV35" s="9"/>
      <c r="BFW35" s="9"/>
      <c r="BFX35" s="9"/>
      <c r="BFY35" s="9"/>
      <c r="BFZ35" s="10"/>
      <c r="BGA35" s="11"/>
      <c r="BGB35" s="12"/>
      <c r="BGC35" s="12"/>
      <c r="BGD35" s="12"/>
      <c r="BGE35" s="13"/>
      <c r="BGF35" s="9"/>
      <c r="BGG35" s="9"/>
      <c r="BGH35" s="9"/>
      <c r="BGI35" s="9"/>
      <c r="BGJ35" s="10"/>
      <c r="BGK35" s="11"/>
      <c r="BGL35" s="12"/>
      <c r="BGM35" s="12"/>
      <c r="BGN35" s="12"/>
      <c r="BGO35" s="13"/>
      <c r="BGP35" s="9"/>
      <c r="BGQ35" s="9"/>
      <c r="BGR35" s="9"/>
      <c r="BGS35" s="9"/>
      <c r="BGT35" s="10"/>
      <c r="BGU35" s="11"/>
      <c r="BGV35" s="12"/>
      <c r="BGW35" s="12"/>
      <c r="BGX35" s="12"/>
      <c r="BGY35" s="13"/>
      <c r="BGZ35" s="9"/>
      <c r="BHA35" s="9"/>
      <c r="BHB35" s="9"/>
      <c r="BHC35" s="9"/>
      <c r="BHD35" s="10"/>
      <c r="BHE35" s="11"/>
      <c r="BHF35" s="12"/>
      <c r="BHG35" s="12"/>
      <c r="BHH35" s="12"/>
      <c r="BHI35" s="13"/>
      <c r="BHJ35" s="9"/>
      <c r="BHK35" s="9"/>
      <c r="BHL35" s="9"/>
      <c r="BHM35" s="9"/>
      <c r="BHN35" s="10"/>
      <c r="BHO35" s="11"/>
      <c r="BHP35" s="12"/>
      <c r="BHQ35" s="12"/>
      <c r="BHR35" s="12"/>
      <c r="BHS35" s="13"/>
      <c r="BHT35" s="9"/>
      <c r="BHU35" s="9"/>
      <c r="BHV35" s="9"/>
      <c r="BHW35" s="9"/>
      <c r="BHX35" s="10"/>
      <c r="BHY35" s="11"/>
      <c r="BHZ35" s="12"/>
      <c r="BIA35" s="12"/>
      <c r="BIB35" s="12"/>
      <c r="BIC35" s="13"/>
      <c r="BID35" s="9"/>
      <c r="BIE35" s="9"/>
      <c r="BIF35" s="9"/>
      <c r="BIG35" s="9"/>
      <c r="BIH35" s="10"/>
      <c r="BII35" s="11"/>
      <c r="BIJ35" s="12"/>
      <c r="BIK35" s="12"/>
      <c r="BIL35" s="12"/>
      <c r="BIM35" s="13"/>
      <c r="BIN35" s="9"/>
      <c r="BIO35" s="9"/>
      <c r="BIP35" s="9"/>
      <c r="BIQ35" s="9"/>
      <c r="BIR35" s="10"/>
      <c r="BIS35" s="11"/>
      <c r="BIT35" s="12"/>
      <c r="BIU35" s="12"/>
      <c r="BIV35" s="12"/>
      <c r="BIW35" s="13"/>
      <c r="BIX35" s="9"/>
      <c r="BIY35" s="9"/>
      <c r="BIZ35" s="9"/>
      <c r="BJA35" s="9"/>
      <c r="BJB35" s="10"/>
      <c r="BJC35" s="11"/>
      <c r="BJD35" s="12"/>
      <c r="BJE35" s="12"/>
      <c r="BJF35" s="12"/>
      <c r="BJG35" s="13"/>
      <c r="BJH35" s="9"/>
      <c r="BJI35" s="9"/>
      <c r="BJJ35" s="9"/>
      <c r="BJK35" s="9"/>
      <c r="BJL35" s="10"/>
      <c r="BJM35" s="11"/>
      <c r="BJN35" s="12"/>
      <c r="BJO35" s="12"/>
      <c r="BJP35" s="12"/>
      <c r="BJQ35" s="13"/>
      <c r="BJR35" s="9"/>
      <c r="BJS35" s="9"/>
      <c r="BJT35" s="9"/>
      <c r="BJU35" s="9"/>
      <c r="BJV35" s="10"/>
      <c r="BJW35" s="11"/>
      <c r="BJX35" s="12"/>
      <c r="BJY35" s="12"/>
      <c r="BJZ35" s="12"/>
      <c r="BKA35" s="13"/>
      <c r="BKB35" s="9"/>
      <c r="BKC35" s="9"/>
      <c r="BKD35" s="9"/>
      <c r="BKE35" s="9"/>
      <c r="BKF35" s="10"/>
      <c r="BKG35" s="11"/>
      <c r="BKH35" s="12"/>
      <c r="BKI35" s="12"/>
      <c r="BKJ35" s="12"/>
      <c r="BKK35" s="13"/>
      <c r="BKL35" s="9"/>
      <c r="BKM35" s="9"/>
      <c r="BKN35" s="9"/>
      <c r="BKO35" s="9"/>
      <c r="BKP35" s="10"/>
      <c r="BKQ35" s="11"/>
      <c r="BKR35" s="12"/>
      <c r="BKS35" s="12"/>
      <c r="BKT35" s="12"/>
      <c r="BKU35" s="13"/>
      <c r="BKV35" s="9"/>
      <c r="BKW35" s="9"/>
      <c r="BKX35" s="9"/>
      <c r="BKY35" s="9"/>
      <c r="BKZ35" s="10"/>
      <c r="BLA35" s="11"/>
      <c r="BLB35" s="12"/>
      <c r="BLC35" s="12"/>
      <c r="BLD35" s="12"/>
      <c r="BLE35" s="13"/>
      <c r="BLF35" s="9"/>
      <c r="BLG35" s="9"/>
      <c r="BLH35" s="9"/>
      <c r="BLI35" s="9"/>
      <c r="BLJ35" s="10"/>
      <c r="BLK35" s="11"/>
      <c r="BLL35" s="12"/>
      <c r="BLM35" s="12"/>
      <c r="BLN35" s="12"/>
      <c r="BLO35" s="13"/>
      <c r="BLP35" s="9"/>
      <c r="BLQ35" s="9"/>
      <c r="BLR35" s="9"/>
      <c r="BLS35" s="9"/>
      <c r="BLT35" s="10"/>
      <c r="BLU35" s="11"/>
      <c r="BLV35" s="12"/>
      <c r="BLW35" s="12"/>
      <c r="BLX35" s="12"/>
      <c r="BLY35" s="13"/>
      <c r="BLZ35" s="9"/>
      <c r="BMA35" s="9"/>
      <c r="BMB35" s="9"/>
      <c r="BMC35" s="9"/>
      <c r="BMD35" s="10"/>
      <c r="BME35" s="11"/>
      <c r="BMF35" s="12"/>
      <c r="BMG35" s="12"/>
      <c r="BMH35" s="12"/>
      <c r="BMI35" s="13"/>
      <c r="BMJ35" s="9"/>
      <c r="BMK35" s="9"/>
      <c r="BML35" s="9"/>
      <c r="BMM35" s="9"/>
      <c r="BMN35" s="10"/>
      <c r="BMO35" s="11"/>
      <c r="BMP35" s="12"/>
      <c r="BMQ35" s="12"/>
      <c r="BMR35" s="12"/>
      <c r="BMS35" s="13"/>
      <c r="BMT35" s="9"/>
      <c r="BMU35" s="9"/>
      <c r="BMV35" s="9"/>
      <c r="BMW35" s="9"/>
      <c r="BMX35" s="10"/>
      <c r="BMY35" s="11"/>
      <c r="BMZ35" s="12"/>
      <c r="BNA35" s="12"/>
      <c r="BNB35" s="12"/>
      <c r="BNC35" s="13"/>
      <c r="BND35" s="9"/>
      <c r="BNE35" s="9"/>
      <c r="BNF35" s="9"/>
      <c r="BNG35" s="9"/>
      <c r="BNH35" s="10"/>
      <c r="BNI35" s="11"/>
      <c r="BNJ35" s="12"/>
      <c r="BNK35" s="12"/>
      <c r="BNL35" s="12"/>
      <c r="BNM35" s="13"/>
      <c r="BNN35" s="9"/>
      <c r="BNO35" s="9"/>
      <c r="BNP35" s="9"/>
      <c r="BNQ35" s="9"/>
      <c r="BNR35" s="10"/>
      <c r="BNS35" s="11"/>
      <c r="BNT35" s="12"/>
      <c r="BNU35" s="12"/>
      <c r="BNV35" s="12"/>
      <c r="BNW35" s="13"/>
      <c r="BNX35" s="9"/>
      <c r="BNY35" s="9"/>
      <c r="BNZ35" s="9"/>
      <c r="BOA35" s="9"/>
      <c r="BOB35" s="10"/>
      <c r="BOC35" s="11"/>
      <c r="BOD35" s="12"/>
      <c r="BOE35" s="12"/>
      <c r="BOF35" s="12"/>
      <c r="BOG35" s="13"/>
      <c r="BOH35" s="9"/>
      <c r="BOI35" s="9"/>
      <c r="BOJ35" s="9"/>
      <c r="BOK35" s="9"/>
      <c r="BOL35" s="10"/>
      <c r="BOM35" s="11"/>
      <c r="BON35" s="12"/>
      <c r="BOO35" s="12"/>
      <c r="BOP35" s="12"/>
      <c r="BOQ35" s="13"/>
      <c r="BOR35" s="9"/>
      <c r="BOS35" s="9"/>
      <c r="BOT35" s="9"/>
      <c r="BOU35" s="9"/>
      <c r="BOV35" s="10"/>
      <c r="BOW35" s="11"/>
      <c r="BOX35" s="12"/>
      <c r="BOY35" s="12"/>
      <c r="BOZ35" s="12"/>
      <c r="BPA35" s="13"/>
      <c r="BPB35" s="9"/>
      <c r="BPC35" s="9"/>
      <c r="BPD35" s="9"/>
      <c r="BPE35" s="9"/>
      <c r="BPF35" s="10"/>
      <c r="BPG35" s="11"/>
      <c r="BPH35" s="12"/>
      <c r="BPI35" s="12"/>
      <c r="BPJ35" s="12"/>
      <c r="BPK35" s="13"/>
      <c r="BPL35" s="9"/>
      <c r="BPM35" s="9"/>
      <c r="BPN35" s="9"/>
      <c r="BPO35" s="9"/>
      <c r="BPP35" s="10"/>
      <c r="BPQ35" s="11"/>
      <c r="BPR35" s="12"/>
      <c r="BPS35" s="12"/>
      <c r="BPT35" s="12"/>
      <c r="BPU35" s="13"/>
      <c r="BPV35" s="9"/>
      <c r="BPW35" s="9"/>
      <c r="BPX35" s="9"/>
      <c r="BPY35" s="9"/>
      <c r="BPZ35" s="10"/>
      <c r="BQA35" s="11"/>
      <c r="BQB35" s="12"/>
      <c r="BQC35" s="12"/>
      <c r="BQD35" s="12"/>
      <c r="BQE35" s="13"/>
      <c r="BQF35" s="9"/>
      <c r="BQG35" s="9"/>
      <c r="BQH35" s="9"/>
      <c r="BQI35" s="9"/>
      <c r="BQJ35" s="10"/>
      <c r="BQK35" s="11"/>
      <c r="BQL35" s="12"/>
      <c r="BQM35" s="12"/>
      <c r="BQN35" s="12"/>
      <c r="BQO35" s="13"/>
      <c r="BQP35" s="9"/>
      <c r="BQQ35" s="9"/>
      <c r="BQR35" s="9"/>
      <c r="BQS35" s="9"/>
      <c r="BQT35" s="10"/>
      <c r="BQU35" s="11"/>
      <c r="BQV35" s="12"/>
      <c r="BQW35" s="12"/>
      <c r="BQX35" s="12"/>
      <c r="BQY35" s="13"/>
      <c r="BQZ35" s="9"/>
      <c r="BRA35" s="9"/>
      <c r="BRB35" s="9"/>
      <c r="BRC35" s="9"/>
      <c r="BRD35" s="10"/>
      <c r="BRE35" s="11"/>
      <c r="BRF35" s="12"/>
      <c r="BRG35" s="12"/>
      <c r="BRH35" s="12"/>
      <c r="BRI35" s="13"/>
      <c r="BRJ35" s="9"/>
      <c r="BRK35" s="9"/>
      <c r="BRL35" s="9"/>
      <c r="BRM35" s="9"/>
      <c r="BRN35" s="10"/>
      <c r="BRO35" s="11"/>
      <c r="BRP35" s="12"/>
      <c r="BRQ35" s="12"/>
      <c r="BRR35" s="12"/>
      <c r="BRS35" s="13"/>
      <c r="BRT35" s="9"/>
      <c r="BRU35" s="9"/>
      <c r="BRV35" s="9"/>
      <c r="BRW35" s="9"/>
      <c r="BRX35" s="10"/>
      <c r="BRY35" s="11"/>
      <c r="BRZ35" s="12"/>
      <c r="BSA35" s="12"/>
      <c r="BSB35" s="12"/>
      <c r="BSC35" s="13"/>
      <c r="BSD35" s="9"/>
      <c r="BSE35" s="9"/>
      <c r="BSF35" s="9"/>
      <c r="BSG35" s="9"/>
      <c r="BSH35" s="10"/>
      <c r="BSI35" s="11"/>
      <c r="BSJ35" s="12"/>
      <c r="BSK35" s="12"/>
      <c r="BSL35" s="12"/>
      <c r="BSM35" s="13"/>
      <c r="BSN35" s="9"/>
      <c r="BSO35" s="9"/>
      <c r="BSP35" s="9"/>
      <c r="BSQ35" s="9"/>
      <c r="BSR35" s="10"/>
      <c r="BSS35" s="11"/>
      <c r="BST35" s="12"/>
      <c r="BSU35" s="12"/>
      <c r="BSV35" s="12"/>
      <c r="BSW35" s="13"/>
      <c r="BSX35" s="9"/>
      <c r="BSY35" s="9"/>
      <c r="BSZ35" s="9"/>
      <c r="BTA35" s="9"/>
      <c r="BTB35" s="10"/>
      <c r="BTC35" s="11"/>
      <c r="BTD35" s="12"/>
      <c r="BTE35" s="12"/>
      <c r="BTF35" s="12"/>
      <c r="BTG35" s="13"/>
      <c r="BTH35" s="9"/>
      <c r="BTI35" s="9"/>
      <c r="BTJ35" s="9"/>
      <c r="BTK35" s="9"/>
      <c r="BTL35" s="10"/>
      <c r="BTM35" s="11"/>
      <c r="BTN35" s="12"/>
      <c r="BTO35" s="12"/>
      <c r="BTP35" s="12"/>
      <c r="BTQ35" s="13"/>
      <c r="BTR35" s="9"/>
      <c r="BTS35" s="9"/>
      <c r="BTT35" s="9"/>
      <c r="BTU35" s="9"/>
      <c r="BTV35" s="10"/>
      <c r="BTW35" s="11"/>
      <c r="BTX35" s="12"/>
      <c r="BTY35" s="12"/>
      <c r="BTZ35" s="12"/>
      <c r="BUA35" s="13"/>
      <c r="BUB35" s="9"/>
      <c r="BUC35" s="9"/>
      <c r="BUD35" s="9"/>
      <c r="BUE35" s="9"/>
      <c r="BUF35" s="10"/>
      <c r="BUG35" s="11"/>
      <c r="BUH35" s="12"/>
      <c r="BUI35" s="12"/>
      <c r="BUJ35" s="12"/>
      <c r="BUK35" s="13"/>
      <c r="BUL35" s="9"/>
      <c r="BUM35" s="9"/>
      <c r="BUN35" s="9"/>
      <c r="BUO35" s="9"/>
      <c r="BUP35" s="10"/>
      <c r="BUQ35" s="11"/>
      <c r="BUR35" s="12"/>
      <c r="BUS35" s="12"/>
      <c r="BUT35" s="12"/>
      <c r="BUU35" s="13"/>
      <c r="BUV35" s="9"/>
      <c r="BUW35" s="9"/>
      <c r="BUX35" s="9"/>
      <c r="BUY35" s="9"/>
      <c r="BUZ35" s="10"/>
      <c r="BVA35" s="11"/>
      <c r="BVB35" s="12"/>
      <c r="BVC35" s="12"/>
      <c r="BVD35" s="12"/>
      <c r="BVE35" s="13"/>
      <c r="BVF35" s="9"/>
      <c r="BVG35" s="9"/>
      <c r="BVH35" s="9"/>
      <c r="BVI35" s="9"/>
      <c r="BVJ35" s="10"/>
      <c r="BVK35" s="11"/>
      <c r="BVL35" s="12"/>
      <c r="BVM35" s="12"/>
      <c r="BVN35" s="12"/>
      <c r="BVO35" s="13"/>
      <c r="BVP35" s="9"/>
      <c r="BVQ35" s="9"/>
      <c r="BVR35" s="9"/>
      <c r="BVS35" s="9"/>
      <c r="BVT35" s="10"/>
      <c r="BVU35" s="11"/>
      <c r="BVV35" s="12"/>
      <c r="BVW35" s="12"/>
      <c r="BVX35" s="12"/>
      <c r="BVY35" s="13"/>
      <c r="BVZ35" s="9"/>
      <c r="BWA35" s="9"/>
      <c r="BWB35" s="9"/>
      <c r="BWC35" s="9"/>
      <c r="BWD35" s="10"/>
      <c r="BWE35" s="11"/>
      <c r="BWF35" s="12"/>
      <c r="BWG35" s="12"/>
      <c r="BWH35" s="12"/>
      <c r="BWI35" s="13"/>
      <c r="BWJ35" s="9"/>
      <c r="BWK35" s="9"/>
      <c r="BWL35" s="9"/>
      <c r="BWM35" s="9"/>
      <c r="BWN35" s="10"/>
      <c r="BWO35" s="11"/>
      <c r="BWP35" s="12"/>
      <c r="BWQ35" s="12"/>
      <c r="BWR35" s="12"/>
      <c r="BWS35" s="13"/>
      <c r="BWT35" s="9"/>
      <c r="BWU35" s="9"/>
      <c r="BWV35" s="9"/>
      <c r="BWW35" s="9"/>
      <c r="BWX35" s="10"/>
      <c r="BWY35" s="11"/>
      <c r="BWZ35" s="12"/>
      <c r="BXA35" s="12"/>
      <c r="BXB35" s="12"/>
      <c r="BXC35" s="13"/>
      <c r="BXD35" s="9"/>
      <c r="BXE35" s="9"/>
      <c r="BXF35" s="9"/>
      <c r="BXG35" s="9"/>
      <c r="BXH35" s="10"/>
      <c r="BXI35" s="11"/>
      <c r="BXJ35" s="12"/>
      <c r="BXK35" s="12"/>
      <c r="BXL35" s="12"/>
      <c r="BXM35" s="13"/>
      <c r="BXN35" s="9"/>
      <c r="BXO35" s="9"/>
      <c r="BXP35" s="9"/>
      <c r="BXQ35" s="9"/>
      <c r="BXR35" s="10"/>
      <c r="BXS35" s="11"/>
      <c r="BXT35" s="12"/>
      <c r="BXU35" s="12"/>
      <c r="BXV35" s="12"/>
      <c r="BXW35" s="13"/>
      <c r="BXX35" s="9"/>
      <c r="BXY35" s="9"/>
      <c r="BXZ35" s="9"/>
      <c r="BYA35" s="9"/>
      <c r="BYB35" s="10"/>
      <c r="BYC35" s="11"/>
      <c r="BYD35" s="12"/>
      <c r="BYE35" s="12"/>
      <c r="BYF35" s="12"/>
      <c r="BYG35" s="13"/>
      <c r="BYH35" s="9"/>
      <c r="BYI35" s="9"/>
      <c r="BYJ35" s="9"/>
      <c r="BYK35" s="9"/>
      <c r="BYL35" s="10"/>
      <c r="BYM35" s="11"/>
      <c r="BYN35" s="12"/>
      <c r="BYO35" s="12"/>
      <c r="BYP35" s="12"/>
      <c r="BYQ35" s="13"/>
      <c r="BYR35" s="9"/>
      <c r="BYS35" s="9"/>
      <c r="BYT35" s="9"/>
      <c r="BYU35" s="9"/>
      <c r="BYV35" s="10"/>
      <c r="BYW35" s="11"/>
      <c r="BYX35" s="12"/>
      <c r="BYY35" s="12"/>
      <c r="BYZ35" s="12"/>
      <c r="BZA35" s="13"/>
      <c r="BZB35" s="9"/>
      <c r="BZC35" s="9"/>
      <c r="BZD35" s="9"/>
      <c r="BZE35" s="9"/>
      <c r="BZF35" s="10"/>
      <c r="BZG35" s="11"/>
      <c r="BZH35" s="12"/>
      <c r="BZI35" s="12"/>
      <c r="BZJ35" s="12"/>
      <c r="BZK35" s="13"/>
      <c r="BZL35" s="9"/>
      <c r="BZM35" s="9"/>
      <c r="BZN35" s="9"/>
      <c r="BZO35" s="9"/>
      <c r="BZP35" s="10"/>
      <c r="BZQ35" s="11"/>
      <c r="BZR35" s="12"/>
      <c r="BZS35" s="12"/>
      <c r="BZT35" s="12"/>
      <c r="BZU35" s="13"/>
      <c r="BZV35" s="9"/>
      <c r="BZW35" s="9"/>
      <c r="BZX35" s="9"/>
      <c r="BZY35" s="9"/>
      <c r="BZZ35" s="10"/>
      <c r="CAA35" s="11"/>
      <c r="CAB35" s="12"/>
      <c r="CAC35" s="12"/>
      <c r="CAD35" s="12"/>
      <c r="CAE35" s="13"/>
      <c r="CAF35" s="9"/>
      <c r="CAG35" s="9"/>
      <c r="CAH35" s="9"/>
      <c r="CAI35" s="9"/>
      <c r="CAJ35" s="10"/>
      <c r="CAK35" s="11"/>
      <c r="CAL35" s="12"/>
      <c r="CAM35" s="12"/>
      <c r="CAN35" s="12"/>
      <c r="CAO35" s="13"/>
      <c r="CAP35" s="9"/>
      <c r="CAQ35" s="9"/>
      <c r="CAR35" s="9"/>
      <c r="CAS35" s="9"/>
      <c r="CAT35" s="10"/>
      <c r="CAU35" s="11"/>
      <c r="CAV35" s="12"/>
      <c r="CAW35" s="12"/>
      <c r="CAX35" s="12"/>
      <c r="CAY35" s="13"/>
      <c r="CAZ35" s="9"/>
      <c r="CBA35" s="9"/>
      <c r="CBB35" s="9"/>
      <c r="CBC35" s="9"/>
      <c r="CBD35" s="10"/>
      <c r="CBE35" s="11"/>
      <c r="CBF35" s="12"/>
      <c r="CBG35" s="12"/>
      <c r="CBH35" s="12"/>
      <c r="CBI35" s="13"/>
      <c r="CBJ35" s="9"/>
      <c r="CBK35" s="9"/>
      <c r="CBL35" s="9"/>
      <c r="CBM35" s="9"/>
      <c r="CBN35" s="10"/>
      <c r="CBO35" s="11"/>
      <c r="CBP35" s="12"/>
      <c r="CBQ35" s="12"/>
      <c r="CBR35" s="12"/>
      <c r="CBS35" s="13"/>
      <c r="CBT35" s="9"/>
      <c r="CBU35" s="9"/>
      <c r="CBV35" s="9"/>
      <c r="CBW35" s="9"/>
      <c r="CBX35" s="10"/>
      <c r="CBY35" s="11"/>
      <c r="CBZ35" s="12"/>
      <c r="CCA35" s="12"/>
      <c r="CCB35" s="12"/>
      <c r="CCC35" s="13"/>
      <c r="CCD35" s="9"/>
      <c r="CCE35" s="9"/>
      <c r="CCF35" s="9"/>
      <c r="CCG35" s="9"/>
      <c r="CCH35" s="10"/>
      <c r="CCI35" s="11"/>
      <c r="CCJ35" s="12"/>
      <c r="CCK35" s="12"/>
      <c r="CCL35" s="12"/>
      <c r="CCM35" s="13"/>
      <c r="CCN35" s="9"/>
      <c r="CCO35" s="9"/>
      <c r="CCP35" s="9"/>
      <c r="CCQ35" s="9"/>
      <c r="CCR35" s="10"/>
      <c r="CCS35" s="11"/>
      <c r="CCT35" s="12"/>
      <c r="CCU35" s="12"/>
      <c r="CCV35" s="12"/>
      <c r="CCW35" s="13"/>
      <c r="CCX35" s="9"/>
      <c r="CCY35" s="9"/>
      <c r="CCZ35" s="9"/>
      <c r="CDA35" s="9"/>
      <c r="CDB35" s="10"/>
      <c r="CDC35" s="11"/>
      <c r="CDD35" s="12"/>
      <c r="CDE35" s="12"/>
      <c r="CDF35" s="12"/>
      <c r="CDG35" s="13"/>
      <c r="CDH35" s="9"/>
      <c r="CDI35" s="9"/>
      <c r="CDJ35" s="9"/>
      <c r="CDK35" s="9"/>
      <c r="CDL35" s="10"/>
      <c r="CDM35" s="11"/>
      <c r="CDN35" s="12"/>
      <c r="CDO35" s="12"/>
      <c r="CDP35" s="12"/>
      <c r="CDQ35" s="13"/>
      <c r="CDR35" s="9"/>
      <c r="CDS35" s="9"/>
      <c r="CDT35" s="9"/>
      <c r="CDU35" s="9"/>
      <c r="CDV35" s="10"/>
      <c r="CDW35" s="11"/>
      <c r="CDX35" s="12"/>
      <c r="CDY35" s="12"/>
      <c r="CDZ35" s="12"/>
      <c r="CEA35" s="13"/>
      <c r="CEB35" s="9"/>
      <c r="CEC35" s="9"/>
      <c r="CED35" s="9"/>
      <c r="CEE35" s="9"/>
      <c r="CEF35" s="10"/>
      <c r="CEG35" s="11"/>
      <c r="CEH35" s="12"/>
      <c r="CEI35" s="12"/>
      <c r="CEJ35" s="12"/>
      <c r="CEK35" s="13"/>
      <c r="CEL35" s="9"/>
      <c r="CEM35" s="9"/>
      <c r="CEN35" s="9"/>
      <c r="CEO35" s="9"/>
      <c r="CEP35" s="10"/>
      <c r="CEQ35" s="11"/>
      <c r="CER35" s="12"/>
      <c r="CES35" s="12"/>
      <c r="CET35" s="12"/>
      <c r="CEU35" s="13"/>
      <c r="CEV35" s="9"/>
      <c r="CEW35" s="9"/>
      <c r="CEX35" s="9"/>
      <c r="CEY35" s="9"/>
      <c r="CEZ35" s="10"/>
      <c r="CFA35" s="11"/>
      <c r="CFB35" s="12"/>
      <c r="CFC35" s="12"/>
      <c r="CFD35" s="12"/>
      <c r="CFE35" s="13"/>
      <c r="CFF35" s="9"/>
      <c r="CFG35" s="9"/>
      <c r="CFH35" s="9"/>
      <c r="CFI35" s="9"/>
      <c r="CFJ35" s="10"/>
      <c r="CFK35" s="11"/>
      <c r="CFL35" s="12"/>
      <c r="CFM35" s="12"/>
      <c r="CFN35" s="12"/>
      <c r="CFO35" s="13"/>
      <c r="CFP35" s="9"/>
      <c r="CFQ35" s="9"/>
      <c r="CFR35" s="9"/>
      <c r="CFS35" s="9"/>
      <c r="CFT35" s="10"/>
      <c r="CFU35" s="11"/>
      <c r="CFV35" s="12"/>
      <c r="CFW35" s="12"/>
      <c r="CFX35" s="12"/>
      <c r="CFY35" s="13"/>
      <c r="CFZ35" s="9"/>
      <c r="CGA35" s="9"/>
      <c r="CGB35" s="9"/>
      <c r="CGC35" s="9"/>
      <c r="CGD35" s="10"/>
      <c r="CGE35" s="11"/>
      <c r="CGF35" s="12"/>
      <c r="CGG35" s="12"/>
      <c r="CGH35" s="12"/>
      <c r="CGI35" s="13"/>
      <c r="CGJ35" s="9"/>
      <c r="CGK35" s="9"/>
      <c r="CGL35" s="9"/>
      <c r="CGM35" s="9"/>
      <c r="CGN35" s="10"/>
      <c r="CGO35" s="11"/>
      <c r="CGP35" s="12"/>
      <c r="CGQ35" s="12"/>
      <c r="CGR35" s="12"/>
      <c r="CGS35" s="13"/>
      <c r="CGT35" s="9"/>
      <c r="CGU35" s="9"/>
      <c r="CGV35" s="9"/>
      <c r="CGW35" s="9"/>
      <c r="CGX35" s="10"/>
      <c r="CGY35" s="11"/>
      <c r="CGZ35" s="12"/>
      <c r="CHA35" s="12"/>
      <c r="CHB35" s="12"/>
      <c r="CHC35" s="13"/>
      <c r="CHD35" s="9"/>
      <c r="CHE35" s="9"/>
      <c r="CHF35" s="9"/>
      <c r="CHG35" s="9"/>
      <c r="CHH35" s="10"/>
      <c r="CHI35" s="11"/>
      <c r="CHJ35" s="12"/>
      <c r="CHK35" s="12"/>
      <c r="CHL35" s="12"/>
      <c r="CHM35" s="13"/>
      <c r="CHN35" s="9"/>
      <c r="CHO35" s="9"/>
      <c r="CHP35" s="9"/>
      <c r="CHQ35" s="9"/>
      <c r="CHR35" s="10"/>
      <c r="CHS35" s="11"/>
      <c r="CHT35" s="12"/>
      <c r="CHU35" s="12"/>
      <c r="CHV35" s="12"/>
      <c r="CHW35" s="13"/>
      <c r="CHX35" s="9"/>
      <c r="CHY35" s="9"/>
      <c r="CHZ35" s="9"/>
      <c r="CIA35" s="9"/>
      <c r="CIB35" s="10"/>
      <c r="CIC35" s="11"/>
      <c r="CID35" s="12"/>
      <c r="CIE35" s="12"/>
      <c r="CIF35" s="12"/>
      <c r="CIG35" s="13"/>
      <c r="CIH35" s="9"/>
      <c r="CII35" s="9"/>
      <c r="CIJ35" s="9"/>
      <c r="CIK35" s="9"/>
      <c r="CIL35" s="10"/>
      <c r="CIM35" s="11"/>
      <c r="CIN35" s="12"/>
      <c r="CIO35" s="12"/>
      <c r="CIP35" s="12"/>
      <c r="CIQ35" s="13"/>
      <c r="CIR35" s="9"/>
      <c r="CIS35" s="9"/>
      <c r="CIT35" s="9"/>
      <c r="CIU35" s="9"/>
      <c r="CIV35" s="10"/>
      <c r="CIW35" s="11"/>
      <c r="CIX35" s="12"/>
      <c r="CIY35" s="12"/>
      <c r="CIZ35" s="12"/>
      <c r="CJA35" s="13"/>
      <c r="CJB35" s="9"/>
      <c r="CJC35" s="9"/>
      <c r="CJD35" s="9"/>
      <c r="CJE35" s="9"/>
      <c r="CJF35" s="10"/>
      <c r="CJG35" s="11"/>
      <c r="CJH35" s="12"/>
      <c r="CJI35" s="12"/>
      <c r="CJJ35" s="12"/>
      <c r="CJK35" s="13"/>
      <c r="CJL35" s="9"/>
      <c r="CJM35" s="9"/>
      <c r="CJN35" s="9"/>
      <c r="CJO35" s="9"/>
      <c r="CJP35" s="10"/>
      <c r="CJQ35" s="11"/>
      <c r="CJR35" s="12"/>
      <c r="CJS35" s="12"/>
      <c r="CJT35" s="12"/>
      <c r="CJU35" s="13"/>
      <c r="CJV35" s="9"/>
      <c r="CJW35" s="9"/>
      <c r="CJX35" s="9"/>
      <c r="CJY35" s="9"/>
      <c r="CJZ35" s="10"/>
      <c r="CKA35" s="11"/>
      <c r="CKB35" s="12"/>
      <c r="CKC35" s="12"/>
      <c r="CKD35" s="12"/>
      <c r="CKE35" s="13"/>
      <c r="CKF35" s="9"/>
      <c r="CKG35" s="9"/>
      <c r="CKH35" s="9"/>
      <c r="CKI35" s="9"/>
      <c r="CKJ35" s="10"/>
      <c r="CKK35" s="11"/>
      <c r="CKL35" s="12"/>
      <c r="CKM35" s="12"/>
      <c r="CKN35" s="12"/>
      <c r="CKO35" s="13"/>
      <c r="CKP35" s="9"/>
      <c r="CKQ35" s="9"/>
      <c r="CKR35" s="9"/>
      <c r="CKS35" s="9"/>
      <c r="CKT35" s="10"/>
      <c r="CKU35" s="11"/>
      <c r="CKV35" s="12"/>
      <c r="CKW35" s="12"/>
      <c r="CKX35" s="12"/>
      <c r="CKY35" s="13"/>
      <c r="CKZ35" s="9"/>
      <c r="CLA35" s="9"/>
      <c r="CLB35" s="9"/>
      <c r="CLC35" s="9"/>
      <c r="CLD35" s="10"/>
      <c r="CLE35" s="11"/>
      <c r="CLF35" s="12"/>
      <c r="CLG35" s="12"/>
      <c r="CLH35" s="12"/>
      <c r="CLI35" s="13"/>
      <c r="CLJ35" s="9"/>
      <c r="CLK35" s="9"/>
      <c r="CLL35" s="9"/>
      <c r="CLM35" s="9"/>
      <c r="CLN35" s="10"/>
      <c r="CLO35" s="11"/>
      <c r="CLP35" s="12"/>
      <c r="CLQ35" s="12"/>
      <c r="CLR35" s="12"/>
      <c r="CLS35" s="13"/>
      <c r="CLT35" s="9"/>
      <c r="CLU35" s="9"/>
      <c r="CLV35" s="9"/>
      <c r="CLW35" s="9"/>
      <c r="CLX35" s="10"/>
      <c r="CLY35" s="11"/>
      <c r="CLZ35" s="12"/>
      <c r="CMA35" s="12"/>
      <c r="CMB35" s="12"/>
      <c r="CMC35" s="13"/>
      <c r="CMD35" s="9"/>
      <c r="CME35" s="9"/>
      <c r="CMF35" s="9"/>
      <c r="CMG35" s="9"/>
      <c r="CMH35" s="10"/>
      <c r="CMI35" s="11"/>
      <c r="CMJ35" s="12"/>
      <c r="CMK35" s="12"/>
      <c r="CML35" s="12"/>
      <c r="CMM35" s="13"/>
      <c r="CMN35" s="9"/>
      <c r="CMO35" s="9"/>
      <c r="CMP35" s="9"/>
      <c r="CMQ35" s="9"/>
      <c r="CMR35" s="10"/>
      <c r="CMS35" s="11"/>
      <c r="CMT35" s="12"/>
      <c r="CMU35" s="12"/>
      <c r="CMV35" s="12"/>
      <c r="CMW35" s="13"/>
      <c r="CMX35" s="9"/>
      <c r="CMY35" s="9"/>
      <c r="CMZ35" s="9"/>
      <c r="CNA35" s="9"/>
      <c r="CNB35" s="10"/>
      <c r="CNC35" s="11"/>
      <c r="CND35" s="12"/>
      <c r="CNE35" s="12"/>
      <c r="CNF35" s="12"/>
      <c r="CNG35" s="13"/>
      <c r="CNH35" s="9"/>
      <c r="CNI35" s="9"/>
      <c r="CNJ35" s="9"/>
      <c r="CNK35" s="9"/>
      <c r="CNL35" s="10"/>
      <c r="CNM35" s="11"/>
      <c r="CNN35" s="12"/>
      <c r="CNO35" s="12"/>
      <c r="CNP35" s="12"/>
      <c r="CNQ35" s="13"/>
      <c r="CNR35" s="9"/>
      <c r="CNS35" s="9"/>
      <c r="CNT35" s="9"/>
      <c r="CNU35" s="9"/>
      <c r="CNV35" s="10"/>
      <c r="CNW35" s="11"/>
      <c r="CNX35" s="12"/>
      <c r="CNY35" s="12"/>
      <c r="CNZ35" s="12"/>
      <c r="COA35" s="13"/>
      <c r="COB35" s="9"/>
      <c r="COC35" s="9"/>
      <c r="COD35" s="9"/>
      <c r="COE35" s="9"/>
      <c r="COF35" s="10"/>
      <c r="COG35" s="11"/>
      <c r="COH35" s="12"/>
      <c r="COI35" s="12"/>
      <c r="COJ35" s="12"/>
      <c r="COK35" s="13"/>
      <c r="COL35" s="9"/>
      <c r="COM35" s="9"/>
      <c r="CON35" s="9"/>
      <c r="COO35" s="9"/>
      <c r="COP35" s="10"/>
      <c r="COQ35" s="11"/>
      <c r="COR35" s="12"/>
      <c r="COS35" s="12"/>
      <c r="COT35" s="12"/>
      <c r="COU35" s="13"/>
      <c r="COV35" s="9"/>
      <c r="COW35" s="9"/>
      <c r="COX35" s="9"/>
      <c r="COY35" s="9"/>
      <c r="COZ35" s="10"/>
      <c r="CPA35" s="11"/>
      <c r="CPB35" s="12"/>
      <c r="CPC35" s="12"/>
      <c r="CPD35" s="12"/>
      <c r="CPE35" s="13"/>
      <c r="CPF35" s="9"/>
      <c r="CPG35" s="9"/>
      <c r="CPH35" s="9"/>
      <c r="CPI35" s="9"/>
      <c r="CPJ35" s="10"/>
      <c r="CPK35" s="11"/>
      <c r="CPL35" s="12"/>
      <c r="CPM35" s="12"/>
      <c r="CPN35" s="12"/>
      <c r="CPO35" s="13"/>
      <c r="CPP35" s="9"/>
      <c r="CPQ35" s="9"/>
      <c r="CPR35" s="9"/>
      <c r="CPS35" s="9"/>
      <c r="CPT35" s="10"/>
      <c r="CPU35" s="11"/>
      <c r="CPV35" s="12"/>
      <c r="CPW35" s="12"/>
      <c r="CPX35" s="12"/>
      <c r="CPY35" s="13"/>
      <c r="CPZ35" s="9"/>
      <c r="CQA35" s="9"/>
      <c r="CQB35" s="9"/>
      <c r="CQC35" s="9"/>
      <c r="CQD35" s="10"/>
      <c r="CQE35" s="11"/>
      <c r="CQF35" s="12"/>
      <c r="CQG35" s="12"/>
      <c r="CQH35" s="12"/>
      <c r="CQI35" s="13"/>
      <c r="CQJ35" s="9"/>
      <c r="CQK35" s="9"/>
      <c r="CQL35" s="9"/>
      <c r="CQM35" s="9"/>
      <c r="CQN35" s="10"/>
      <c r="CQO35" s="11"/>
      <c r="CQP35" s="12"/>
      <c r="CQQ35" s="12"/>
      <c r="CQR35" s="12"/>
      <c r="CQS35" s="13"/>
      <c r="CQT35" s="9"/>
      <c r="CQU35" s="9"/>
      <c r="CQV35" s="9"/>
      <c r="CQW35" s="9"/>
      <c r="CQX35" s="10"/>
      <c r="CQY35" s="11"/>
      <c r="CQZ35" s="12"/>
      <c r="CRA35" s="12"/>
      <c r="CRB35" s="12"/>
      <c r="CRC35" s="13"/>
      <c r="CRD35" s="9"/>
      <c r="CRE35" s="9"/>
      <c r="CRF35" s="9"/>
      <c r="CRG35" s="9"/>
      <c r="CRH35" s="10"/>
      <c r="CRI35" s="11"/>
      <c r="CRJ35" s="12"/>
      <c r="CRK35" s="12"/>
      <c r="CRL35" s="12"/>
      <c r="CRM35" s="13"/>
      <c r="CRN35" s="9"/>
      <c r="CRO35" s="9"/>
      <c r="CRP35" s="9"/>
      <c r="CRQ35" s="9"/>
      <c r="CRR35" s="10"/>
      <c r="CRS35" s="11"/>
      <c r="CRT35" s="12"/>
      <c r="CRU35" s="12"/>
      <c r="CRV35" s="12"/>
      <c r="CRW35" s="13"/>
      <c r="CRX35" s="9"/>
      <c r="CRY35" s="9"/>
      <c r="CRZ35" s="9"/>
      <c r="CSA35" s="9"/>
      <c r="CSB35" s="10"/>
      <c r="CSC35" s="11"/>
      <c r="CSD35" s="12"/>
      <c r="CSE35" s="12"/>
      <c r="CSF35" s="12"/>
      <c r="CSG35" s="13"/>
      <c r="CSH35" s="9"/>
      <c r="CSI35" s="9"/>
      <c r="CSJ35" s="9"/>
      <c r="CSK35" s="9"/>
      <c r="CSL35" s="10"/>
      <c r="CSM35" s="11"/>
      <c r="CSN35" s="12"/>
      <c r="CSO35" s="12"/>
      <c r="CSP35" s="12"/>
      <c r="CSQ35" s="13"/>
      <c r="CSR35" s="9"/>
      <c r="CSS35" s="9"/>
      <c r="CST35" s="9"/>
      <c r="CSU35" s="9"/>
      <c r="CSV35" s="10"/>
      <c r="CSW35" s="11"/>
      <c r="CSX35" s="12"/>
      <c r="CSY35" s="12"/>
      <c r="CSZ35" s="12"/>
      <c r="CTA35" s="13"/>
      <c r="CTB35" s="9"/>
      <c r="CTC35" s="9"/>
      <c r="CTD35" s="9"/>
      <c r="CTE35" s="9"/>
      <c r="CTF35" s="10"/>
      <c r="CTG35" s="11"/>
      <c r="CTH35" s="12"/>
      <c r="CTI35" s="12"/>
      <c r="CTJ35" s="12"/>
      <c r="CTK35" s="13"/>
      <c r="CTL35" s="9"/>
      <c r="CTM35" s="9"/>
      <c r="CTN35" s="9"/>
      <c r="CTO35" s="9"/>
      <c r="CTP35" s="10"/>
      <c r="CTQ35" s="11"/>
      <c r="CTR35" s="12"/>
      <c r="CTS35" s="12"/>
      <c r="CTT35" s="12"/>
      <c r="CTU35" s="13"/>
      <c r="CTV35" s="9"/>
      <c r="CTW35" s="9"/>
      <c r="CTX35" s="9"/>
      <c r="CTY35" s="9"/>
      <c r="CTZ35" s="10"/>
      <c r="CUA35" s="11"/>
      <c r="CUB35" s="12"/>
      <c r="CUC35" s="12"/>
      <c r="CUD35" s="12"/>
      <c r="CUE35" s="13"/>
      <c r="CUF35" s="9"/>
      <c r="CUG35" s="9"/>
      <c r="CUH35" s="9"/>
      <c r="CUI35" s="9"/>
      <c r="CUJ35" s="10"/>
      <c r="CUK35" s="11"/>
      <c r="CUL35" s="12"/>
      <c r="CUM35" s="12"/>
      <c r="CUN35" s="12"/>
      <c r="CUO35" s="13"/>
      <c r="CUP35" s="9"/>
      <c r="CUQ35" s="9"/>
      <c r="CUR35" s="9"/>
      <c r="CUS35" s="9"/>
      <c r="CUT35" s="10"/>
      <c r="CUU35" s="11"/>
      <c r="CUV35" s="12"/>
      <c r="CUW35" s="12"/>
      <c r="CUX35" s="12"/>
      <c r="CUY35" s="13"/>
      <c r="CUZ35" s="9"/>
      <c r="CVA35" s="9"/>
      <c r="CVB35" s="9"/>
      <c r="CVC35" s="9"/>
      <c r="CVD35" s="10"/>
      <c r="CVE35" s="11"/>
      <c r="CVF35" s="12"/>
      <c r="CVG35" s="12"/>
      <c r="CVH35" s="12"/>
      <c r="CVI35" s="13"/>
      <c r="CVJ35" s="9"/>
      <c r="CVK35" s="9"/>
      <c r="CVL35" s="9"/>
      <c r="CVM35" s="9"/>
      <c r="CVN35" s="10"/>
      <c r="CVO35" s="11"/>
      <c r="CVP35" s="12"/>
      <c r="CVQ35" s="12"/>
      <c r="CVR35" s="12"/>
      <c r="CVS35" s="13"/>
      <c r="CVT35" s="9"/>
      <c r="CVU35" s="9"/>
      <c r="CVV35" s="9"/>
      <c r="CVW35" s="9"/>
      <c r="CVX35" s="10"/>
      <c r="CVY35" s="11"/>
      <c r="CVZ35" s="12"/>
      <c r="CWA35" s="12"/>
      <c r="CWB35" s="12"/>
      <c r="CWC35" s="13"/>
      <c r="CWD35" s="9"/>
      <c r="CWE35" s="9"/>
      <c r="CWF35" s="9"/>
      <c r="CWG35" s="9"/>
      <c r="CWH35" s="10"/>
      <c r="CWI35" s="11"/>
      <c r="CWJ35" s="12"/>
      <c r="CWK35" s="12"/>
      <c r="CWL35" s="12"/>
      <c r="CWM35" s="13"/>
      <c r="CWN35" s="9"/>
      <c r="CWO35" s="9"/>
      <c r="CWP35" s="9"/>
      <c r="CWQ35" s="9"/>
      <c r="CWR35" s="10"/>
      <c r="CWS35" s="11"/>
      <c r="CWT35" s="12"/>
      <c r="CWU35" s="12"/>
      <c r="CWV35" s="12"/>
      <c r="CWW35" s="13"/>
      <c r="CWX35" s="9"/>
      <c r="CWY35" s="9"/>
      <c r="CWZ35" s="9"/>
      <c r="CXA35" s="9"/>
      <c r="CXB35" s="10"/>
      <c r="CXC35" s="11"/>
      <c r="CXD35" s="12"/>
      <c r="CXE35" s="12"/>
      <c r="CXF35" s="12"/>
      <c r="CXG35" s="13"/>
      <c r="CXH35" s="9"/>
      <c r="CXI35" s="9"/>
      <c r="CXJ35" s="9"/>
      <c r="CXK35" s="9"/>
      <c r="CXL35" s="10"/>
      <c r="CXM35" s="11"/>
      <c r="CXN35" s="12"/>
      <c r="CXO35" s="12"/>
      <c r="CXP35" s="12"/>
      <c r="CXQ35" s="13"/>
      <c r="CXR35" s="9"/>
      <c r="CXS35" s="9"/>
      <c r="CXT35" s="9"/>
      <c r="CXU35" s="9"/>
      <c r="CXV35" s="10"/>
      <c r="CXW35" s="11"/>
      <c r="CXX35" s="12"/>
      <c r="CXY35" s="12"/>
      <c r="CXZ35" s="12"/>
      <c r="CYA35" s="13"/>
      <c r="CYB35" s="9"/>
      <c r="CYC35" s="9"/>
      <c r="CYD35" s="9"/>
      <c r="CYE35" s="9"/>
      <c r="CYF35" s="10"/>
      <c r="CYG35" s="11"/>
      <c r="CYH35" s="12"/>
      <c r="CYI35" s="12"/>
      <c r="CYJ35" s="12"/>
      <c r="CYK35" s="13"/>
      <c r="CYL35" s="9"/>
      <c r="CYM35" s="9"/>
      <c r="CYN35" s="9"/>
      <c r="CYO35" s="9"/>
      <c r="CYP35" s="10"/>
      <c r="CYQ35" s="11"/>
      <c r="CYR35" s="12"/>
      <c r="CYS35" s="12"/>
      <c r="CYT35" s="12"/>
      <c r="CYU35" s="13"/>
      <c r="CYV35" s="9"/>
      <c r="CYW35" s="9"/>
      <c r="CYX35" s="9"/>
      <c r="CYY35" s="9"/>
      <c r="CYZ35" s="10"/>
      <c r="CZA35" s="11"/>
      <c r="CZB35" s="12"/>
      <c r="CZC35" s="12"/>
      <c r="CZD35" s="12"/>
      <c r="CZE35" s="13"/>
      <c r="CZF35" s="9"/>
      <c r="CZG35" s="9"/>
      <c r="CZH35" s="9"/>
      <c r="CZI35" s="9"/>
      <c r="CZJ35" s="10"/>
      <c r="CZK35" s="11"/>
      <c r="CZL35" s="12"/>
      <c r="CZM35" s="12"/>
      <c r="CZN35" s="12"/>
      <c r="CZO35" s="13"/>
      <c r="CZP35" s="9"/>
      <c r="CZQ35" s="9"/>
      <c r="CZR35" s="9"/>
      <c r="CZS35" s="9"/>
      <c r="CZT35" s="10"/>
      <c r="CZU35" s="11"/>
      <c r="CZV35" s="12"/>
      <c r="CZW35" s="12"/>
      <c r="CZX35" s="12"/>
      <c r="CZY35" s="13"/>
      <c r="CZZ35" s="9"/>
      <c r="DAA35" s="9"/>
      <c r="DAB35" s="9"/>
      <c r="DAC35" s="9"/>
      <c r="DAD35" s="10"/>
      <c r="DAE35" s="11"/>
      <c r="DAF35" s="12"/>
      <c r="DAG35" s="12"/>
      <c r="DAH35" s="12"/>
      <c r="DAI35" s="13"/>
      <c r="DAJ35" s="9"/>
      <c r="DAK35" s="9"/>
      <c r="DAL35" s="9"/>
      <c r="DAM35" s="9"/>
      <c r="DAN35" s="10"/>
      <c r="DAO35" s="11"/>
      <c r="DAP35" s="12"/>
      <c r="DAQ35" s="12"/>
      <c r="DAR35" s="12"/>
      <c r="DAS35" s="13"/>
      <c r="DAT35" s="9"/>
      <c r="DAU35" s="9"/>
      <c r="DAV35" s="9"/>
      <c r="DAW35" s="9"/>
      <c r="DAX35" s="10"/>
      <c r="DAY35" s="11"/>
      <c r="DAZ35" s="12"/>
      <c r="DBA35" s="12"/>
      <c r="DBB35" s="12"/>
      <c r="DBC35" s="13"/>
      <c r="DBD35" s="9"/>
      <c r="DBE35" s="9"/>
      <c r="DBF35" s="9"/>
      <c r="DBG35" s="9"/>
      <c r="DBH35" s="10"/>
      <c r="DBI35" s="11"/>
      <c r="DBJ35" s="12"/>
      <c r="DBK35" s="12"/>
      <c r="DBL35" s="12"/>
      <c r="DBM35" s="13"/>
      <c r="DBN35" s="9"/>
      <c r="DBO35" s="9"/>
      <c r="DBP35" s="9"/>
      <c r="DBQ35" s="9"/>
      <c r="DBR35" s="10"/>
      <c r="DBS35" s="11"/>
      <c r="DBT35" s="12"/>
      <c r="DBU35" s="12"/>
      <c r="DBV35" s="12"/>
      <c r="DBW35" s="13"/>
      <c r="DBX35" s="9"/>
      <c r="DBY35" s="9"/>
      <c r="DBZ35" s="9"/>
      <c r="DCA35" s="9"/>
      <c r="DCB35" s="10"/>
      <c r="DCC35" s="11"/>
      <c r="DCD35" s="12"/>
      <c r="DCE35" s="12"/>
      <c r="DCF35" s="12"/>
      <c r="DCG35" s="13"/>
      <c r="DCH35" s="9"/>
      <c r="DCI35" s="9"/>
      <c r="DCJ35" s="9"/>
      <c r="DCK35" s="9"/>
      <c r="DCL35" s="10"/>
      <c r="DCM35" s="11"/>
      <c r="DCN35" s="12"/>
      <c r="DCO35" s="12"/>
      <c r="DCP35" s="12"/>
      <c r="DCQ35" s="13"/>
      <c r="DCR35" s="9"/>
      <c r="DCS35" s="9"/>
      <c r="DCT35" s="9"/>
      <c r="DCU35" s="9"/>
      <c r="DCV35" s="10"/>
      <c r="DCW35" s="11"/>
      <c r="DCX35" s="12"/>
      <c r="DCY35" s="12"/>
      <c r="DCZ35" s="12"/>
      <c r="DDA35" s="13"/>
      <c r="DDB35" s="9"/>
      <c r="DDC35" s="9"/>
      <c r="DDD35" s="9"/>
      <c r="DDE35" s="9"/>
      <c r="DDF35" s="10"/>
      <c r="DDG35" s="11"/>
      <c r="DDH35" s="12"/>
      <c r="DDI35" s="12"/>
      <c r="DDJ35" s="12"/>
      <c r="DDK35" s="13"/>
      <c r="DDL35" s="9"/>
      <c r="DDM35" s="9"/>
      <c r="DDN35" s="9"/>
      <c r="DDO35" s="9"/>
      <c r="DDP35" s="10"/>
      <c r="DDQ35" s="11"/>
      <c r="DDR35" s="12"/>
      <c r="DDS35" s="12"/>
      <c r="DDT35" s="12"/>
      <c r="DDU35" s="13"/>
      <c r="DDV35" s="9"/>
      <c r="DDW35" s="9"/>
      <c r="DDX35" s="9"/>
      <c r="DDY35" s="9"/>
      <c r="DDZ35" s="10"/>
      <c r="DEA35" s="11"/>
      <c r="DEB35" s="12"/>
      <c r="DEC35" s="12"/>
      <c r="DED35" s="12"/>
      <c r="DEE35" s="13"/>
      <c r="DEF35" s="9"/>
      <c r="DEG35" s="9"/>
      <c r="DEH35" s="9"/>
      <c r="DEI35" s="9"/>
      <c r="DEJ35" s="10"/>
      <c r="DEK35" s="11"/>
      <c r="DEL35" s="12"/>
      <c r="DEM35" s="12"/>
      <c r="DEN35" s="12"/>
      <c r="DEO35" s="13"/>
      <c r="DEP35" s="9"/>
      <c r="DEQ35" s="9"/>
      <c r="DER35" s="9"/>
      <c r="DES35" s="9"/>
      <c r="DET35" s="10"/>
      <c r="DEU35" s="11"/>
      <c r="DEV35" s="12"/>
      <c r="DEW35" s="12"/>
      <c r="DEX35" s="12"/>
      <c r="DEY35" s="13"/>
      <c r="DEZ35" s="9"/>
      <c r="DFA35" s="9"/>
      <c r="DFB35" s="9"/>
      <c r="DFC35" s="9"/>
      <c r="DFD35" s="10"/>
      <c r="DFE35" s="11"/>
      <c r="DFF35" s="12"/>
      <c r="DFG35" s="12"/>
      <c r="DFH35" s="12"/>
      <c r="DFI35" s="13"/>
      <c r="DFJ35" s="9"/>
      <c r="DFK35" s="9"/>
      <c r="DFL35" s="9"/>
      <c r="DFM35" s="9"/>
      <c r="DFN35" s="10"/>
      <c r="DFO35" s="11"/>
      <c r="DFP35" s="12"/>
      <c r="DFQ35" s="12"/>
      <c r="DFR35" s="12"/>
      <c r="DFS35" s="13"/>
      <c r="DFT35" s="9"/>
      <c r="DFU35" s="9"/>
      <c r="DFV35" s="9"/>
      <c r="DFW35" s="9"/>
      <c r="DFX35" s="10"/>
      <c r="DFY35" s="11"/>
      <c r="DFZ35" s="12"/>
      <c r="DGA35" s="12"/>
      <c r="DGB35" s="12"/>
      <c r="DGC35" s="13"/>
      <c r="DGD35" s="9"/>
      <c r="DGE35" s="9"/>
      <c r="DGF35" s="9"/>
      <c r="DGG35" s="9"/>
      <c r="DGH35" s="10"/>
      <c r="DGI35" s="11"/>
      <c r="DGJ35" s="12"/>
      <c r="DGK35" s="12"/>
      <c r="DGL35" s="12"/>
      <c r="DGM35" s="13"/>
      <c r="DGN35" s="9"/>
      <c r="DGO35" s="9"/>
      <c r="DGP35" s="9"/>
      <c r="DGQ35" s="9"/>
      <c r="DGR35" s="10"/>
      <c r="DGS35" s="11"/>
      <c r="DGT35" s="12"/>
      <c r="DGU35" s="12"/>
      <c r="DGV35" s="12"/>
      <c r="DGW35" s="13"/>
      <c r="DGX35" s="9"/>
      <c r="DGY35" s="9"/>
      <c r="DGZ35" s="9"/>
      <c r="DHA35" s="9"/>
      <c r="DHB35" s="10"/>
      <c r="DHC35" s="11"/>
      <c r="DHD35" s="12"/>
      <c r="DHE35" s="12"/>
      <c r="DHF35" s="12"/>
      <c r="DHG35" s="13"/>
      <c r="DHH35" s="9"/>
      <c r="DHI35" s="9"/>
      <c r="DHJ35" s="9"/>
      <c r="DHK35" s="9"/>
      <c r="DHL35" s="10"/>
      <c r="DHM35" s="11"/>
      <c r="DHN35" s="12"/>
      <c r="DHO35" s="12"/>
      <c r="DHP35" s="12"/>
      <c r="DHQ35" s="13"/>
      <c r="DHR35" s="9"/>
      <c r="DHS35" s="9"/>
      <c r="DHT35" s="9"/>
      <c r="DHU35" s="9"/>
      <c r="DHV35" s="10"/>
      <c r="DHW35" s="11"/>
      <c r="DHX35" s="12"/>
      <c r="DHY35" s="12"/>
      <c r="DHZ35" s="12"/>
      <c r="DIA35" s="13"/>
      <c r="DIB35" s="9"/>
      <c r="DIC35" s="9"/>
      <c r="DID35" s="9"/>
      <c r="DIE35" s="9"/>
      <c r="DIF35" s="10"/>
      <c r="DIG35" s="11"/>
      <c r="DIH35" s="12"/>
      <c r="DII35" s="12"/>
      <c r="DIJ35" s="12"/>
      <c r="DIK35" s="13"/>
      <c r="DIL35" s="9"/>
      <c r="DIM35" s="9"/>
      <c r="DIN35" s="9"/>
      <c r="DIO35" s="9"/>
      <c r="DIP35" s="10"/>
      <c r="DIQ35" s="11"/>
      <c r="DIR35" s="12"/>
      <c r="DIS35" s="12"/>
      <c r="DIT35" s="12"/>
      <c r="DIU35" s="13"/>
      <c r="DIV35" s="9"/>
      <c r="DIW35" s="9"/>
      <c r="DIX35" s="9"/>
      <c r="DIY35" s="9"/>
      <c r="DIZ35" s="10"/>
      <c r="DJA35" s="11"/>
      <c r="DJB35" s="12"/>
      <c r="DJC35" s="12"/>
      <c r="DJD35" s="12"/>
      <c r="DJE35" s="13"/>
      <c r="DJF35" s="9"/>
      <c r="DJG35" s="9"/>
      <c r="DJH35" s="9"/>
      <c r="DJI35" s="9"/>
      <c r="DJJ35" s="10"/>
      <c r="DJK35" s="11"/>
      <c r="DJL35" s="12"/>
      <c r="DJM35" s="12"/>
      <c r="DJN35" s="12"/>
      <c r="DJO35" s="13"/>
      <c r="DJP35" s="9"/>
      <c r="DJQ35" s="9"/>
      <c r="DJR35" s="9"/>
      <c r="DJS35" s="9"/>
      <c r="DJT35" s="10"/>
      <c r="DJU35" s="11"/>
      <c r="DJV35" s="12"/>
      <c r="DJW35" s="12"/>
      <c r="DJX35" s="12"/>
      <c r="DJY35" s="13"/>
      <c r="DJZ35" s="9"/>
      <c r="DKA35" s="9"/>
      <c r="DKB35" s="9"/>
      <c r="DKC35" s="9"/>
      <c r="DKD35" s="10"/>
      <c r="DKE35" s="11"/>
      <c r="DKF35" s="12"/>
      <c r="DKG35" s="12"/>
      <c r="DKH35" s="12"/>
      <c r="DKI35" s="13"/>
      <c r="DKJ35" s="9"/>
      <c r="DKK35" s="9"/>
      <c r="DKL35" s="9"/>
      <c r="DKM35" s="9"/>
      <c r="DKN35" s="10"/>
      <c r="DKO35" s="11"/>
      <c r="DKP35" s="12"/>
      <c r="DKQ35" s="12"/>
      <c r="DKR35" s="12"/>
      <c r="DKS35" s="13"/>
      <c r="DKT35" s="9"/>
      <c r="DKU35" s="9"/>
      <c r="DKV35" s="9"/>
      <c r="DKW35" s="9"/>
      <c r="DKX35" s="10"/>
      <c r="DKY35" s="11"/>
      <c r="DKZ35" s="12"/>
      <c r="DLA35" s="12"/>
      <c r="DLB35" s="12"/>
      <c r="DLC35" s="13"/>
      <c r="DLD35" s="9"/>
      <c r="DLE35" s="9"/>
      <c r="DLF35" s="9"/>
      <c r="DLG35" s="9"/>
      <c r="DLH35" s="10"/>
      <c r="DLI35" s="11"/>
      <c r="DLJ35" s="12"/>
      <c r="DLK35" s="12"/>
      <c r="DLL35" s="12"/>
      <c r="DLM35" s="13"/>
      <c r="DLN35" s="9"/>
      <c r="DLO35" s="9"/>
      <c r="DLP35" s="9"/>
      <c r="DLQ35" s="9"/>
      <c r="DLR35" s="10"/>
      <c r="DLS35" s="11"/>
      <c r="DLT35" s="12"/>
      <c r="DLU35" s="12"/>
      <c r="DLV35" s="12"/>
      <c r="DLW35" s="13"/>
      <c r="DLX35" s="9"/>
      <c r="DLY35" s="9"/>
      <c r="DLZ35" s="9"/>
      <c r="DMA35" s="9"/>
      <c r="DMB35" s="10"/>
      <c r="DMC35" s="11"/>
      <c r="DMD35" s="12"/>
      <c r="DME35" s="12"/>
      <c r="DMF35" s="12"/>
      <c r="DMG35" s="13"/>
      <c r="DMH35" s="9"/>
      <c r="DMI35" s="9"/>
      <c r="DMJ35" s="9"/>
      <c r="DMK35" s="9"/>
      <c r="DML35" s="10"/>
      <c r="DMM35" s="11"/>
      <c r="DMN35" s="12"/>
      <c r="DMO35" s="12"/>
      <c r="DMP35" s="12"/>
      <c r="DMQ35" s="13"/>
      <c r="DMR35" s="9"/>
      <c r="DMS35" s="9"/>
      <c r="DMT35" s="9"/>
      <c r="DMU35" s="9"/>
      <c r="DMV35" s="10"/>
      <c r="DMW35" s="11"/>
      <c r="DMX35" s="12"/>
      <c r="DMY35" s="12"/>
      <c r="DMZ35" s="12"/>
      <c r="DNA35" s="13"/>
      <c r="DNB35" s="9"/>
      <c r="DNC35" s="9"/>
      <c r="DND35" s="9"/>
      <c r="DNE35" s="9"/>
      <c r="DNF35" s="10"/>
      <c r="DNG35" s="11"/>
      <c r="DNH35" s="12"/>
      <c r="DNI35" s="12"/>
      <c r="DNJ35" s="12"/>
      <c r="DNK35" s="13"/>
      <c r="DNL35" s="9"/>
      <c r="DNM35" s="9"/>
      <c r="DNN35" s="9"/>
      <c r="DNO35" s="9"/>
      <c r="DNP35" s="10"/>
      <c r="DNQ35" s="11"/>
      <c r="DNR35" s="12"/>
      <c r="DNS35" s="12"/>
      <c r="DNT35" s="12"/>
      <c r="DNU35" s="13"/>
      <c r="DNV35" s="9"/>
      <c r="DNW35" s="9"/>
      <c r="DNX35" s="9"/>
      <c r="DNY35" s="9"/>
      <c r="DNZ35" s="10"/>
      <c r="DOA35" s="11"/>
      <c r="DOB35" s="12"/>
      <c r="DOC35" s="12"/>
      <c r="DOD35" s="12"/>
      <c r="DOE35" s="13"/>
      <c r="DOF35" s="9"/>
      <c r="DOG35" s="9"/>
      <c r="DOH35" s="9"/>
      <c r="DOI35" s="9"/>
      <c r="DOJ35" s="10"/>
      <c r="DOK35" s="11"/>
      <c r="DOL35" s="12"/>
      <c r="DOM35" s="12"/>
      <c r="DON35" s="12"/>
      <c r="DOO35" s="13"/>
      <c r="DOP35" s="9"/>
      <c r="DOQ35" s="9"/>
      <c r="DOR35" s="9"/>
      <c r="DOS35" s="9"/>
      <c r="DOT35" s="10"/>
      <c r="DOU35" s="11"/>
      <c r="DOV35" s="12"/>
      <c r="DOW35" s="12"/>
      <c r="DOX35" s="12"/>
      <c r="DOY35" s="13"/>
      <c r="DOZ35" s="9"/>
      <c r="DPA35" s="9"/>
      <c r="DPB35" s="9"/>
      <c r="DPC35" s="9"/>
      <c r="DPD35" s="10"/>
      <c r="DPE35" s="11"/>
      <c r="DPF35" s="12"/>
      <c r="DPG35" s="12"/>
      <c r="DPH35" s="12"/>
      <c r="DPI35" s="13"/>
      <c r="DPJ35" s="9"/>
      <c r="DPK35" s="9"/>
      <c r="DPL35" s="9"/>
      <c r="DPM35" s="9"/>
      <c r="DPN35" s="10"/>
      <c r="DPO35" s="11"/>
      <c r="DPP35" s="12"/>
      <c r="DPQ35" s="12"/>
      <c r="DPR35" s="12"/>
      <c r="DPS35" s="13"/>
      <c r="DPT35" s="9"/>
      <c r="DPU35" s="9"/>
      <c r="DPV35" s="9"/>
      <c r="DPW35" s="9"/>
      <c r="DPX35" s="10"/>
      <c r="DPY35" s="11"/>
      <c r="DPZ35" s="12"/>
      <c r="DQA35" s="12"/>
      <c r="DQB35" s="12"/>
      <c r="DQC35" s="13"/>
      <c r="DQD35" s="9"/>
      <c r="DQE35" s="9"/>
      <c r="DQF35" s="9"/>
      <c r="DQG35" s="9"/>
      <c r="DQH35" s="10"/>
      <c r="DQI35" s="11"/>
      <c r="DQJ35" s="12"/>
      <c r="DQK35" s="12"/>
      <c r="DQL35" s="12"/>
      <c r="DQM35" s="13"/>
      <c r="DQN35" s="9"/>
      <c r="DQO35" s="9"/>
      <c r="DQP35" s="9"/>
      <c r="DQQ35" s="9"/>
      <c r="DQR35" s="10"/>
      <c r="DQS35" s="11"/>
      <c r="DQT35" s="12"/>
      <c r="DQU35" s="12"/>
      <c r="DQV35" s="12"/>
      <c r="DQW35" s="13"/>
      <c r="DQX35" s="9"/>
      <c r="DQY35" s="9"/>
      <c r="DQZ35" s="9"/>
      <c r="DRA35" s="9"/>
      <c r="DRB35" s="10"/>
      <c r="DRC35" s="11"/>
      <c r="DRD35" s="12"/>
      <c r="DRE35" s="12"/>
      <c r="DRF35" s="12"/>
      <c r="DRG35" s="13"/>
      <c r="DRH35" s="9"/>
      <c r="DRI35" s="9"/>
      <c r="DRJ35" s="9"/>
      <c r="DRK35" s="9"/>
      <c r="DRL35" s="10"/>
      <c r="DRM35" s="11"/>
      <c r="DRN35" s="12"/>
      <c r="DRO35" s="12"/>
      <c r="DRP35" s="12"/>
      <c r="DRQ35" s="13"/>
      <c r="DRR35" s="9"/>
      <c r="DRS35" s="9"/>
      <c r="DRT35" s="9"/>
      <c r="DRU35" s="9"/>
      <c r="DRV35" s="10"/>
      <c r="DRW35" s="11"/>
      <c r="DRX35" s="12"/>
      <c r="DRY35" s="12"/>
      <c r="DRZ35" s="12"/>
      <c r="DSA35" s="13"/>
      <c r="DSB35" s="9"/>
      <c r="DSC35" s="9"/>
      <c r="DSD35" s="9"/>
      <c r="DSE35" s="9"/>
      <c r="DSF35" s="10"/>
      <c r="DSG35" s="11"/>
      <c r="DSH35" s="12"/>
      <c r="DSI35" s="12"/>
      <c r="DSJ35" s="12"/>
      <c r="DSK35" s="13"/>
      <c r="DSL35" s="9"/>
      <c r="DSM35" s="9"/>
      <c r="DSN35" s="9"/>
      <c r="DSO35" s="9"/>
      <c r="DSP35" s="10"/>
      <c r="DSQ35" s="11"/>
      <c r="DSR35" s="12"/>
      <c r="DSS35" s="12"/>
      <c r="DST35" s="12"/>
      <c r="DSU35" s="13"/>
      <c r="DSV35" s="9"/>
      <c r="DSW35" s="9"/>
      <c r="DSX35" s="9"/>
      <c r="DSY35" s="9"/>
      <c r="DSZ35" s="10"/>
      <c r="DTA35" s="11"/>
      <c r="DTB35" s="12"/>
      <c r="DTC35" s="12"/>
      <c r="DTD35" s="12"/>
      <c r="DTE35" s="13"/>
      <c r="DTF35" s="9"/>
      <c r="DTG35" s="9"/>
      <c r="DTH35" s="9"/>
      <c r="DTI35" s="9"/>
      <c r="DTJ35" s="10"/>
      <c r="DTK35" s="11"/>
      <c r="DTL35" s="12"/>
      <c r="DTM35" s="12"/>
      <c r="DTN35" s="12"/>
      <c r="DTO35" s="13"/>
      <c r="DTP35" s="9"/>
      <c r="DTQ35" s="9"/>
      <c r="DTR35" s="9"/>
      <c r="DTS35" s="9"/>
      <c r="DTT35" s="10"/>
      <c r="DTU35" s="11"/>
      <c r="DTV35" s="12"/>
      <c r="DTW35" s="12"/>
      <c r="DTX35" s="12"/>
      <c r="DTY35" s="13"/>
      <c r="DTZ35" s="9"/>
      <c r="DUA35" s="9"/>
      <c r="DUB35" s="9"/>
      <c r="DUC35" s="9"/>
      <c r="DUD35" s="10"/>
      <c r="DUE35" s="11"/>
      <c r="DUF35" s="12"/>
      <c r="DUG35" s="12"/>
      <c r="DUH35" s="12"/>
      <c r="DUI35" s="13"/>
      <c r="DUJ35" s="9"/>
      <c r="DUK35" s="9"/>
      <c r="DUL35" s="9"/>
      <c r="DUM35" s="9"/>
      <c r="DUN35" s="10"/>
      <c r="DUO35" s="11"/>
      <c r="DUP35" s="12"/>
      <c r="DUQ35" s="12"/>
      <c r="DUR35" s="12"/>
      <c r="DUS35" s="13"/>
      <c r="DUT35" s="9"/>
      <c r="DUU35" s="9"/>
      <c r="DUV35" s="9"/>
      <c r="DUW35" s="9"/>
      <c r="DUX35" s="10"/>
      <c r="DUY35" s="11"/>
      <c r="DUZ35" s="12"/>
      <c r="DVA35" s="12"/>
      <c r="DVB35" s="12"/>
      <c r="DVC35" s="13"/>
      <c r="DVD35" s="9"/>
      <c r="DVE35" s="9"/>
      <c r="DVF35" s="9"/>
      <c r="DVG35" s="9"/>
      <c r="DVH35" s="10"/>
      <c r="DVI35" s="11"/>
      <c r="DVJ35" s="12"/>
      <c r="DVK35" s="12"/>
      <c r="DVL35" s="12"/>
      <c r="DVM35" s="13"/>
      <c r="DVN35" s="9"/>
      <c r="DVO35" s="9"/>
      <c r="DVP35" s="9"/>
      <c r="DVQ35" s="9"/>
      <c r="DVR35" s="10"/>
      <c r="DVS35" s="11"/>
      <c r="DVT35" s="12"/>
      <c r="DVU35" s="12"/>
      <c r="DVV35" s="12"/>
      <c r="DVW35" s="13"/>
      <c r="DVX35" s="9"/>
      <c r="DVY35" s="9"/>
      <c r="DVZ35" s="9"/>
      <c r="DWA35" s="9"/>
      <c r="DWB35" s="10"/>
      <c r="DWC35" s="11"/>
      <c r="DWD35" s="12"/>
      <c r="DWE35" s="12"/>
      <c r="DWF35" s="12"/>
      <c r="DWG35" s="13"/>
      <c r="DWH35" s="9"/>
      <c r="DWI35" s="9"/>
      <c r="DWJ35" s="9"/>
      <c r="DWK35" s="9"/>
      <c r="DWL35" s="10"/>
      <c r="DWM35" s="11"/>
      <c r="DWN35" s="12"/>
      <c r="DWO35" s="12"/>
      <c r="DWP35" s="12"/>
      <c r="DWQ35" s="13"/>
      <c r="DWR35" s="9"/>
      <c r="DWS35" s="9"/>
      <c r="DWT35" s="9"/>
      <c r="DWU35" s="9"/>
      <c r="DWV35" s="10"/>
      <c r="DWW35" s="11"/>
      <c r="DWX35" s="12"/>
      <c r="DWY35" s="12"/>
      <c r="DWZ35" s="12"/>
      <c r="DXA35" s="13"/>
      <c r="DXB35" s="9"/>
      <c r="DXC35" s="9"/>
      <c r="DXD35" s="9"/>
      <c r="DXE35" s="9"/>
      <c r="DXF35" s="10"/>
      <c r="DXG35" s="11"/>
      <c r="DXH35" s="12"/>
      <c r="DXI35" s="12"/>
      <c r="DXJ35" s="12"/>
      <c r="DXK35" s="13"/>
      <c r="DXL35" s="9"/>
      <c r="DXM35" s="9"/>
      <c r="DXN35" s="9"/>
      <c r="DXO35" s="9"/>
      <c r="DXP35" s="10"/>
      <c r="DXQ35" s="11"/>
      <c r="DXR35" s="12"/>
      <c r="DXS35" s="12"/>
      <c r="DXT35" s="12"/>
      <c r="DXU35" s="13"/>
      <c r="DXV35" s="9"/>
      <c r="DXW35" s="9"/>
      <c r="DXX35" s="9"/>
      <c r="DXY35" s="9"/>
      <c r="DXZ35" s="10"/>
      <c r="DYA35" s="11"/>
      <c r="DYB35" s="12"/>
      <c r="DYC35" s="12"/>
      <c r="DYD35" s="12"/>
      <c r="DYE35" s="13"/>
      <c r="DYF35" s="9"/>
      <c r="DYG35" s="9"/>
      <c r="DYH35" s="9"/>
      <c r="DYI35" s="9"/>
      <c r="DYJ35" s="10"/>
      <c r="DYK35" s="11"/>
      <c r="DYL35" s="12"/>
      <c r="DYM35" s="12"/>
      <c r="DYN35" s="12"/>
      <c r="DYO35" s="13"/>
      <c r="DYP35" s="9"/>
      <c r="DYQ35" s="9"/>
      <c r="DYR35" s="9"/>
      <c r="DYS35" s="9"/>
      <c r="DYT35" s="10"/>
      <c r="DYU35" s="11"/>
      <c r="DYV35" s="12"/>
      <c r="DYW35" s="12"/>
      <c r="DYX35" s="12"/>
      <c r="DYY35" s="13"/>
      <c r="DYZ35" s="9"/>
      <c r="DZA35" s="9"/>
      <c r="DZB35" s="9"/>
      <c r="DZC35" s="9"/>
      <c r="DZD35" s="10"/>
      <c r="DZE35" s="11"/>
      <c r="DZF35" s="12"/>
      <c r="DZG35" s="12"/>
      <c r="DZH35" s="12"/>
      <c r="DZI35" s="13"/>
      <c r="DZJ35" s="9"/>
      <c r="DZK35" s="9"/>
      <c r="DZL35" s="9"/>
      <c r="DZM35" s="9"/>
      <c r="DZN35" s="10"/>
      <c r="DZO35" s="11"/>
      <c r="DZP35" s="12"/>
      <c r="DZQ35" s="12"/>
      <c r="DZR35" s="12"/>
      <c r="DZS35" s="13"/>
      <c r="DZT35" s="9"/>
      <c r="DZU35" s="9"/>
      <c r="DZV35" s="9"/>
      <c r="DZW35" s="9"/>
      <c r="DZX35" s="10"/>
      <c r="DZY35" s="11"/>
      <c r="DZZ35" s="12"/>
      <c r="EAA35" s="12"/>
      <c r="EAB35" s="12"/>
      <c r="EAC35" s="13"/>
      <c r="EAD35" s="9"/>
      <c r="EAE35" s="9"/>
      <c r="EAF35" s="9"/>
      <c r="EAG35" s="9"/>
      <c r="EAH35" s="10"/>
      <c r="EAI35" s="11"/>
      <c r="EAJ35" s="12"/>
      <c r="EAK35" s="12"/>
      <c r="EAL35" s="12"/>
      <c r="EAM35" s="13"/>
      <c r="EAN35" s="9"/>
      <c r="EAO35" s="9"/>
      <c r="EAP35" s="9"/>
      <c r="EAQ35" s="9"/>
      <c r="EAR35" s="10"/>
      <c r="EAS35" s="11"/>
      <c r="EAT35" s="12"/>
      <c r="EAU35" s="12"/>
      <c r="EAV35" s="12"/>
      <c r="EAW35" s="13"/>
      <c r="EAX35" s="9"/>
      <c r="EAY35" s="9"/>
      <c r="EAZ35" s="9"/>
      <c r="EBA35" s="9"/>
      <c r="EBB35" s="10"/>
      <c r="EBC35" s="11"/>
      <c r="EBD35" s="12"/>
      <c r="EBE35" s="12"/>
      <c r="EBF35" s="12"/>
      <c r="EBG35" s="13"/>
      <c r="EBH35" s="9"/>
      <c r="EBI35" s="9"/>
      <c r="EBJ35" s="9"/>
      <c r="EBK35" s="9"/>
      <c r="EBL35" s="10"/>
      <c r="EBM35" s="11"/>
      <c r="EBN35" s="12"/>
      <c r="EBO35" s="12"/>
      <c r="EBP35" s="12"/>
      <c r="EBQ35" s="13"/>
      <c r="EBR35" s="9"/>
      <c r="EBS35" s="9"/>
      <c r="EBT35" s="9"/>
      <c r="EBU35" s="9"/>
      <c r="EBV35" s="10"/>
      <c r="EBW35" s="11"/>
      <c r="EBX35" s="12"/>
      <c r="EBY35" s="12"/>
      <c r="EBZ35" s="12"/>
      <c r="ECA35" s="13"/>
      <c r="ECB35" s="9"/>
      <c r="ECC35" s="9"/>
      <c r="ECD35" s="9"/>
      <c r="ECE35" s="9"/>
      <c r="ECF35" s="10"/>
      <c r="ECG35" s="11"/>
      <c r="ECH35" s="12"/>
      <c r="ECI35" s="12"/>
      <c r="ECJ35" s="12"/>
      <c r="ECK35" s="13"/>
      <c r="ECL35" s="9"/>
      <c r="ECM35" s="9"/>
      <c r="ECN35" s="9"/>
      <c r="ECO35" s="9"/>
      <c r="ECP35" s="10"/>
      <c r="ECQ35" s="11"/>
      <c r="ECR35" s="12"/>
      <c r="ECS35" s="12"/>
      <c r="ECT35" s="12"/>
      <c r="ECU35" s="13"/>
      <c r="ECV35" s="9"/>
      <c r="ECW35" s="9"/>
      <c r="ECX35" s="9"/>
      <c r="ECY35" s="9"/>
      <c r="ECZ35" s="10"/>
      <c r="EDA35" s="11"/>
      <c r="EDB35" s="12"/>
      <c r="EDC35" s="12"/>
      <c r="EDD35" s="12"/>
      <c r="EDE35" s="13"/>
      <c r="EDF35" s="9"/>
      <c r="EDG35" s="9"/>
      <c r="EDH35" s="9"/>
      <c r="EDI35" s="9"/>
      <c r="EDJ35" s="10"/>
      <c r="EDK35" s="11"/>
      <c r="EDL35" s="12"/>
      <c r="EDM35" s="12"/>
      <c r="EDN35" s="12"/>
      <c r="EDO35" s="13"/>
      <c r="EDP35" s="9"/>
      <c r="EDQ35" s="9"/>
      <c r="EDR35" s="9"/>
      <c r="EDS35" s="9"/>
      <c r="EDT35" s="10"/>
      <c r="EDU35" s="11"/>
      <c r="EDV35" s="12"/>
      <c r="EDW35" s="12"/>
      <c r="EDX35" s="12"/>
      <c r="EDY35" s="13"/>
      <c r="EDZ35" s="9"/>
      <c r="EEA35" s="9"/>
      <c r="EEB35" s="9"/>
      <c r="EEC35" s="9"/>
      <c r="EED35" s="10"/>
      <c r="EEE35" s="11"/>
      <c r="EEF35" s="12"/>
      <c r="EEG35" s="12"/>
      <c r="EEH35" s="12"/>
      <c r="EEI35" s="13"/>
      <c r="EEJ35" s="9"/>
      <c r="EEK35" s="9"/>
      <c r="EEL35" s="9"/>
      <c r="EEM35" s="9"/>
      <c r="EEN35" s="10"/>
      <c r="EEO35" s="11"/>
      <c r="EEP35" s="12"/>
      <c r="EEQ35" s="12"/>
      <c r="EER35" s="12"/>
      <c r="EES35" s="13"/>
      <c r="EET35" s="9"/>
      <c r="EEU35" s="9"/>
      <c r="EEV35" s="9"/>
      <c r="EEW35" s="9"/>
      <c r="EEX35" s="10"/>
      <c r="EEY35" s="11"/>
      <c r="EEZ35" s="12"/>
      <c r="EFA35" s="12"/>
      <c r="EFB35" s="12"/>
      <c r="EFC35" s="13"/>
      <c r="EFD35" s="9"/>
      <c r="EFE35" s="9"/>
      <c r="EFF35" s="9"/>
      <c r="EFG35" s="9"/>
      <c r="EFH35" s="10"/>
      <c r="EFI35" s="11"/>
      <c r="EFJ35" s="12"/>
      <c r="EFK35" s="12"/>
      <c r="EFL35" s="12"/>
      <c r="EFM35" s="13"/>
      <c r="EFN35" s="9"/>
      <c r="EFO35" s="9"/>
      <c r="EFP35" s="9"/>
      <c r="EFQ35" s="9"/>
      <c r="EFR35" s="10"/>
      <c r="EFS35" s="11"/>
      <c r="EFT35" s="12"/>
      <c r="EFU35" s="12"/>
      <c r="EFV35" s="12"/>
      <c r="EFW35" s="13"/>
      <c r="EFX35" s="9"/>
      <c r="EFY35" s="9"/>
      <c r="EFZ35" s="9"/>
      <c r="EGA35" s="9"/>
      <c r="EGB35" s="10"/>
      <c r="EGC35" s="11"/>
      <c r="EGD35" s="12"/>
      <c r="EGE35" s="12"/>
      <c r="EGF35" s="12"/>
      <c r="EGG35" s="13"/>
      <c r="EGH35" s="9"/>
      <c r="EGI35" s="9"/>
      <c r="EGJ35" s="9"/>
      <c r="EGK35" s="9"/>
      <c r="EGL35" s="10"/>
      <c r="EGM35" s="11"/>
      <c r="EGN35" s="12"/>
      <c r="EGO35" s="12"/>
      <c r="EGP35" s="12"/>
      <c r="EGQ35" s="13"/>
      <c r="EGR35" s="9"/>
      <c r="EGS35" s="9"/>
      <c r="EGT35" s="9"/>
      <c r="EGU35" s="9"/>
      <c r="EGV35" s="10"/>
      <c r="EGW35" s="11"/>
      <c r="EGX35" s="12"/>
      <c r="EGY35" s="12"/>
      <c r="EGZ35" s="12"/>
      <c r="EHA35" s="13"/>
      <c r="EHB35" s="9"/>
      <c r="EHC35" s="9"/>
      <c r="EHD35" s="9"/>
      <c r="EHE35" s="9"/>
      <c r="EHF35" s="10"/>
      <c r="EHG35" s="11"/>
      <c r="EHH35" s="12"/>
      <c r="EHI35" s="12"/>
      <c r="EHJ35" s="12"/>
      <c r="EHK35" s="13"/>
      <c r="EHL35" s="9"/>
      <c r="EHM35" s="9"/>
      <c r="EHN35" s="9"/>
      <c r="EHO35" s="9"/>
      <c r="EHP35" s="10"/>
      <c r="EHQ35" s="11"/>
      <c r="EHR35" s="12"/>
      <c r="EHS35" s="12"/>
      <c r="EHT35" s="12"/>
      <c r="EHU35" s="13"/>
      <c r="EHV35" s="9"/>
      <c r="EHW35" s="9"/>
      <c r="EHX35" s="9"/>
      <c r="EHY35" s="9"/>
      <c r="EHZ35" s="10"/>
      <c r="EIA35" s="11"/>
      <c r="EIB35" s="12"/>
      <c r="EIC35" s="12"/>
      <c r="EID35" s="12"/>
      <c r="EIE35" s="13"/>
      <c r="EIF35" s="9"/>
      <c r="EIG35" s="9"/>
      <c r="EIH35" s="9"/>
      <c r="EII35" s="9"/>
      <c r="EIJ35" s="10"/>
      <c r="EIK35" s="11"/>
      <c r="EIL35" s="12"/>
      <c r="EIM35" s="12"/>
      <c r="EIN35" s="12"/>
      <c r="EIO35" s="13"/>
      <c r="EIP35" s="9"/>
      <c r="EIQ35" s="9"/>
      <c r="EIR35" s="9"/>
      <c r="EIS35" s="9"/>
      <c r="EIT35" s="10"/>
      <c r="EIU35" s="11"/>
      <c r="EIV35" s="12"/>
      <c r="EIW35" s="12"/>
      <c r="EIX35" s="12"/>
      <c r="EIY35" s="13"/>
      <c r="EIZ35" s="9"/>
      <c r="EJA35" s="9"/>
      <c r="EJB35" s="9"/>
      <c r="EJC35" s="9"/>
      <c r="EJD35" s="10"/>
      <c r="EJE35" s="11"/>
      <c r="EJF35" s="12"/>
      <c r="EJG35" s="12"/>
      <c r="EJH35" s="12"/>
      <c r="EJI35" s="13"/>
      <c r="EJJ35" s="9"/>
      <c r="EJK35" s="9"/>
      <c r="EJL35" s="9"/>
      <c r="EJM35" s="9"/>
      <c r="EJN35" s="10"/>
      <c r="EJO35" s="11"/>
      <c r="EJP35" s="12"/>
      <c r="EJQ35" s="12"/>
      <c r="EJR35" s="12"/>
      <c r="EJS35" s="13"/>
      <c r="EJT35" s="9"/>
      <c r="EJU35" s="9"/>
      <c r="EJV35" s="9"/>
      <c r="EJW35" s="9"/>
      <c r="EJX35" s="10"/>
      <c r="EJY35" s="11"/>
      <c r="EJZ35" s="12"/>
      <c r="EKA35" s="12"/>
      <c r="EKB35" s="12"/>
      <c r="EKC35" s="13"/>
      <c r="EKD35" s="9"/>
      <c r="EKE35" s="9"/>
      <c r="EKF35" s="9"/>
      <c r="EKG35" s="9"/>
      <c r="EKH35" s="10"/>
      <c r="EKI35" s="11"/>
      <c r="EKJ35" s="12"/>
      <c r="EKK35" s="12"/>
      <c r="EKL35" s="12"/>
      <c r="EKM35" s="13"/>
      <c r="EKN35" s="9"/>
      <c r="EKO35" s="9"/>
      <c r="EKP35" s="9"/>
      <c r="EKQ35" s="9"/>
      <c r="EKR35" s="10"/>
      <c r="EKS35" s="11"/>
      <c r="EKT35" s="12"/>
      <c r="EKU35" s="12"/>
      <c r="EKV35" s="12"/>
      <c r="EKW35" s="13"/>
      <c r="EKX35" s="9"/>
      <c r="EKY35" s="9"/>
      <c r="EKZ35" s="9"/>
      <c r="ELA35" s="9"/>
      <c r="ELB35" s="10"/>
      <c r="ELC35" s="11"/>
      <c r="ELD35" s="12"/>
      <c r="ELE35" s="12"/>
      <c r="ELF35" s="12"/>
      <c r="ELG35" s="13"/>
      <c r="ELH35" s="9"/>
      <c r="ELI35" s="9"/>
      <c r="ELJ35" s="9"/>
      <c r="ELK35" s="9"/>
      <c r="ELL35" s="10"/>
      <c r="ELM35" s="11"/>
      <c r="ELN35" s="12"/>
      <c r="ELO35" s="12"/>
      <c r="ELP35" s="12"/>
      <c r="ELQ35" s="13"/>
      <c r="ELR35" s="9"/>
      <c r="ELS35" s="9"/>
      <c r="ELT35" s="9"/>
      <c r="ELU35" s="9"/>
      <c r="ELV35" s="10"/>
      <c r="ELW35" s="11"/>
      <c r="ELX35" s="12"/>
      <c r="ELY35" s="12"/>
      <c r="ELZ35" s="12"/>
      <c r="EMA35" s="13"/>
      <c r="EMB35" s="9"/>
      <c r="EMC35" s="9"/>
      <c r="EMD35" s="9"/>
      <c r="EME35" s="9"/>
      <c r="EMF35" s="10"/>
      <c r="EMG35" s="11"/>
      <c r="EMH35" s="12"/>
      <c r="EMI35" s="12"/>
      <c r="EMJ35" s="12"/>
      <c r="EMK35" s="13"/>
      <c r="EML35" s="9"/>
      <c r="EMM35" s="9"/>
      <c r="EMN35" s="9"/>
      <c r="EMO35" s="9"/>
      <c r="EMP35" s="10"/>
      <c r="EMQ35" s="11"/>
      <c r="EMR35" s="12"/>
      <c r="EMS35" s="12"/>
      <c r="EMT35" s="12"/>
      <c r="EMU35" s="13"/>
      <c r="EMV35" s="9"/>
      <c r="EMW35" s="9"/>
      <c r="EMX35" s="9"/>
      <c r="EMY35" s="9"/>
      <c r="EMZ35" s="10"/>
      <c r="ENA35" s="11"/>
      <c r="ENB35" s="12"/>
      <c r="ENC35" s="12"/>
      <c r="END35" s="12"/>
      <c r="ENE35" s="13"/>
      <c r="ENF35" s="9"/>
      <c r="ENG35" s="9"/>
      <c r="ENH35" s="9"/>
      <c r="ENI35" s="9"/>
      <c r="ENJ35" s="10"/>
      <c r="ENK35" s="11"/>
      <c r="ENL35" s="12"/>
      <c r="ENM35" s="12"/>
      <c r="ENN35" s="12"/>
      <c r="ENO35" s="13"/>
      <c r="ENP35" s="9"/>
      <c r="ENQ35" s="9"/>
      <c r="ENR35" s="9"/>
      <c r="ENS35" s="9"/>
      <c r="ENT35" s="10"/>
      <c r="ENU35" s="11"/>
      <c r="ENV35" s="12"/>
      <c r="ENW35" s="12"/>
      <c r="ENX35" s="12"/>
      <c r="ENY35" s="13"/>
      <c r="ENZ35" s="9"/>
      <c r="EOA35" s="9"/>
      <c r="EOB35" s="9"/>
      <c r="EOC35" s="9"/>
      <c r="EOD35" s="10"/>
      <c r="EOE35" s="11"/>
      <c r="EOF35" s="12"/>
      <c r="EOG35" s="12"/>
      <c r="EOH35" s="12"/>
      <c r="EOI35" s="13"/>
      <c r="EOJ35" s="9"/>
      <c r="EOK35" s="9"/>
      <c r="EOL35" s="9"/>
      <c r="EOM35" s="9"/>
      <c r="EON35" s="10"/>
      <c r="EOO35" s="11"/>
      <c r="EOP35" s="12"/>
      <c r="EOQ35" s="12"/>
      <c r="EOR35" s="12"/>
      <c r="EOS35" s="13"/>
      <c r="EOT35" s="9"/>
      <c r="EOU35" s="9"/>
      <c r="EOV35" s="9"/>
      <c r="EOW35" s="9"/>
      <c r="EOX35" s="10"/>
      <c r="EOY35" s="11"/>
      <c r="EOZ35" s="12"/>
      <c r="EPA35" s="12"/>
      <c r="EPB35" s="12"/>
      <c r="EPC35" s="13"/>
      <c r="EPD35" s="9"/>
      <c r="EPE35" s="9"/>
      <c r="EPF35" s="9"/>
      <c r="EPG35" s="9"/>
      <c r="EPH35" s="10"/>
      <c r="EPI35" s="11"/>
      <c r="EPJ35" s="12"/>
      <c r="EPK35" s="12"/>
      <c r="EPL35" s="12"/>
      <c r="EPM35" s="13"/>
      <c r="EPN35" s="9"/>
      <c r="EPO35" s="9"/>
      <c r="EPP35" s="9"/>
      <c r="EPQ35" s="9"/>
      <c r="EPR35" s="10"/>
      <c r="EPS35" s="11"/>
      <c r="EPT35" s="12"/>
      <c r="EPU35" s="12"/>
      <c r="EPV35" s="12"/>
      <c r="EPW35" s="13"/>
      <c r="EPX35" s="9"/>
      <c r="EPY35" s="9"/>
      <c r="EPZ35" s="9"/>
      <c r="EQA35" s="9"/>
      <c r="EQB35" s="10"/>
      <c r="EQC35" s="11"/>
      <c r="EQD35" s="12"/>
      <c r="EQE35" s="12"/>
      <c r="EQF35" s="12"/>
      <c r="EQG35" s="13"/>
      <c r="EQH35" s="9"/>
      <c r="EQI35" s="9"/>
      <c r="EQJ35" s="9"/>
      <c r="EQK35" s="9"/>
      <c r="EQL35" s="10"/>
      <c r="EQM35" s="11"/>
      <c r="EQN35" s="12"/>
      <c r="EQO35" s="12"/>
      <c r="EQP35" s="12"/>
      <c r="EQQ35" s="13"/>
      <c r="EQR35" s="9"/>
      <c r="EQS35" s="9"/>
      <c r="EQT35" s="9"/>
      <c r="EQU35" s="9"/>
      <c r="EQV35" s="10"/>
      <c r="EQW35" s="11"/>
      <c r="EQX35" s="12"/>
      <c r="EQY35" s="12"/>
      <c r="EQZ35" s="12"/>
      <c r="ERA35" s="13"/>
      <c r="ERB35" s="9"/>
      <c r="ERC35" s="9"/>
      <c r="ERD35" s="9"/>
      <c r="ERE35" s="9"/>
      <c r="ERF35" s="10"/>
      <c r="ERG35" s="11"/>
      <c r="ERH35" s="12"/>
      <c r="ERI35" s="12"/>
      <c r="ERJ35" s="12"/>
      <c r="ERK35" s="13"/>
      <c r="ERL35" s="9"/>
      <c r="ERM35" s="9"/>
      <c r="ERN35" s="9"/>
      <c r="ERO35" s="9"/>
      <c r="ERP35" s="10"/>
      <c r="ERQ35" s="11"/>
      <c r="ERR35" s="12"/>
      <c r="ERS35" s="12"/>
      <c r="ERT35" s="12"/>
      <c r="ERU35" s="13"/>
      <c r="ERV35" s="9"/>
      <c r="ERW35" s="9"/>
      <c r="ERX35" s="9"/>
      <c r="ERY35" s="9"/>
      <c r="ERZ35" s="10"/>
      <c r="ESA35" s="11"/>
      <c r="ESB35" s="12"/>
      <c r="ESC35" s="12"/>
      <c r="ESD35" s="12"/>
      <c r="ESE35" s="13"/>
      <c r="ESF35" s="9"/>
      <c r="ESG35" s="9"/>
      <c r="ESH35" s="9"/>
      <c r="ESI35" s="9"/>
      <c r="ESJ35" s="10"/>
      <c r="ESK35" s="11"/>
      <c r="ESL35" s="12"/>
      <c r="ESM35" s="12"/>
      <c r="ESN35" s="12"/>
      <c r="ESO35" s="13"/>
      <c r="ESP35" s="9"/>
      <c r="ESQ35" s="9"/>
      <c r="ESR35" s="9"/>
      <c r="ESS35" s="9"/>
      <c r="EST35" s="10"/>
      <c r="ESU35" s="11"/>
      <c r="ESV35" s="12"/>
      <c r="ESW35" s="12"/>
      <c r="ESX35" s="12"/>
      <c r="ESY35" s="13"/>
      <c r="ESZ35" s="9"/>
      <c r="ETA35" s="9"/>
      <c r="ETB35" s="9"/>
      <c r="ETC35" s="9"/>
      <c r="ETD35" s="10"/>
      <c r="ETE35" s="11"/>
      <c r="ETF35" s="12"/>
      <c r="ETG35" s="12"/>
      <c r="ETH35" s="12"/>
      <c r="ETI35" s="13"/>
      <c r="ETJ35" s="9"/>
      <c r="ETK35" s="9"/>
      <c r="ETL35" s="9"/>
      <c r="ETM35" s="9"/>
      <c r="ETN35" s="10"/>
      <c r="ETO35" s="11"/>
      <c r="ETP35" s="12"/>
      <c r="ETQ35" s="12"/>
      <c r="ETR35" s="12"/>
      <c r="ETS35" s="13"/>
      <c r="ETT35" s="9"/>
      <c r="ETU35" s="9"/>
      <c r="ETV35" s="9"/>
      <c r="ETW35" s="9"/>
      <c r="ETX35" s="10"/>
      <c r="ETY35" s="11"/>
      <c r="ETZ35" s="12"/>
      <c r="EUA35" s="12"/>
      <c r="EUB35" s="12"/>
      <c r="EUC35" s="13"/>
      <c r="EUD35" s="9"/>
      <c r="EUE35" s="9"/>
      <c r="EUF35" s="9"/>
      <c r="EUG35" s="9"/>
      <c r="EUH35" s="10"/>
      <c r="EUI35" s="11"/>
      <c r="EUJ35" s="12"/>
      <c r="EUK35" s="12"/>
      <c r="EUL35" s="12"/>
      <c r="EUM35" s="13"/>
      <c r="EUN35" s="9"/>
      <c r="EUO35" s="9"/>
      <c r="EUP35" s="9"/>
      <c r="EUQ35" s="9"/>
      <c r="EUR35" s="10"/>
      <c r="EUS35" s="11"/>
      <c r="EUT35" s="12"/>
      <c r="EUU35" s="12"/>
      <c r="EUV35" s="12"/>
      <c r="EUW35" s="13"/>
      <c r="EUX35" s="9"/>
      <c r="EUY35" s="9"/>
      <c r="EUZ35" s="9"/>
      <c r="EVA35" s="9"/>
      <c r="EVB35" s="10"/>
      <c r="EVC35" s="11"/>
      <c r="EVD35" s="12"/>
      <c r="EVE35" s="12"/>
      <c r="EVF35" s="12"/>
      <c r="EVG35" s="13"/>
      <c r="EVH35" s="9"/>
      <c r="EVI35" s="9"/>
      <c r="EVJ35" s="9"/>
      <c r="EVK35" s="9"/>
      <c r="EVL35" s="10"/>
      <c r="EVM35" s="11"/>
      <c r="EVN35" s="12"/>
      <c r="EVO35" s="12"/>
      <c r="EVP35" s="12"/>
      <c r="EVQ35" s="13"/>
      <c r="EVR35" s="9"/>
      <c r="EVS35" s="9"/>
      <c r="EVT35" s="9"/>
      <c r="EVU35" s="9"/>
      <c r="EVV35" s="10"/>
      <c r="EVW35" s="11"/>
      <c r="EVX35" s="12"/>
      <c r="EVY35" s="12"/>
      <c r="EVZ35" s="12"/>
      <c r="EWA35" s="13"/>
      <c r="EWB35" s="9"/>
      <c r="EWC35" s="9"/>
      <c r="EWD35" s="9"/>
      <c r="EWE35" s="9"/>
      <c r="EWF35" s="10"/>
      <c r="EWG35" s="11"/>
      <c r="EWH35" s="12"/>
      <c r="EWI35" s="12"/>
      <c r="EWJ35" s="12"/>
      <c r="EWK35" s="13"/>
      <c r="EWL35" s="9"/>
      <c r="EWM35" s="9"/>
      <c r="EWN35" s="9"/>
      <c r="EWO35" s="9"/>
      <c r="EWP35" s="10"/>
      <c r="EWQ35" s="11"/>
      <c r="EWR35" s="12"/>
      <c r="EWS35" s="12"/>
      <c r="EWT35" s="12"/>
      <c r="EWU35" s="13"/>
      <c r="EWV35" s="9"/>
      <c r="EWW35" s="9"/>
      <c r="EWX35" s="9"/>
      <c r="EWY35" s="9"/>
      <c r="EWZ35" s="10"/>
      <c r="EXA35" s="11"/>
      <c r="EXB35" s="12"/>
      <c r="EXC35" s="12"/>
      <c r="EXD35" s="12"/>
      <c r="EXE35" s="13"/>
      <c r="EXF35" s="9"/>
      <c r="EXG35" s="9"/>
      <c r="EXH35" s="9"/>
      <c r="EXI35" s="9"/>
      <c r="EXJ35" s="10"/>
      <c r="EXK35" s="11"/>
      <c r="EXL35" s="12"/>
      <c r="EXM35" s="12"/>
      <c r="EXN35" s="12"/>
      <c r="EXO35" s="13"/>
      <c r="EXP35" s="9"/>
      <c r="EXQ35" s="9"/>
      <c r="EXR35" s="9"/>
      <c r="EXS35" s="9"/>
      <c r="EXT35" s="10"/>
      <c r="EXU35" s="11"/>
      <c r="EXV35" s="12"/>
      <c r="EXW35" s="12"/>
      <c r="EXX35" s="12"/>
      <c r="EXY35" s="13"/>
      <c r="EXZ35" s="9"/>
      <c r="EYA35" s="9"/>
      <c r="EYB35" s="9"/>
      <c r="EYC35" s="9"/>
      <c r="EYD35" s="10"/>
      <c r="EYE35" s="11"/>
      <c r="EYF35" s="12"/>
      <c r="EYG35" s="12"/>
      <c r="EYH35" s="12"/>
      <c r="EYI35" s="13"/>
      <c r="EYJ35" s="9"/>
      <c r="EYK35" s="9"/>
      <c r="EYL35" s="9"/>
      <c r="EYM35" s="9"/>
      <c r="EYN35" s="10"/>
      <c r="EYO35" s="11"/>
      <c r="EYP35" s="12"/>
      <c r="EYQ35" s="12"/>
      <c r="EYR35" s="12"/>
      <c r="EYS35" s="13"/>
      <c r="EYT35" s="9"/>
      <c r="EYU35" s="9"/>
      <c r="EYV35" s="9"/>
      <c r="EYW35" s="9"/>
      <c r="EYX35" s="10"/>
      <c r="EYY35" s="11"/>
      <c r="EYZ35" s="12"/>
      <c r="EZA35" s="12"/>
      <c r="EZB35" s="12"/>
      <c r="EZC35" s="13"/>
      <c r="EZD35" s="9"/>
      <c r="EZE35" s="9"/>
      <c r="EZF35" s="9"/>
      <c r="EZG35" s="9"/>
      <c r="EZH35" s="10"/>
      <c r="EZI35" s="11"/>
      <c r="EZJ35" s="12"/>
      <c r="EZK35" s="12"/>
      <c r="EZL35" s="12"/>
      <c r="EZM35" s="13"/>
      <c r="EZN35" s="9"/>
      <c r="EZO35" s="9"/>
      <c r="EZP35" s="9"/>
      <c r="EZQ35" s="9"/>
      <c r="EZR35" s="10"/>
      <c r="EZS35" s="11"/>
      <c r="EZT35" s="12"/>
      <c r="EZU35" s="12"/>
      <c r="EZV35" s="12"/>
      <c r="EZW35" s="13"/>
      <c r="EZX35" s="9"/>
      <c r="EZY35" s="9"/>
      <c r="EZZ35" s="9"/>
      <c r="FAA35" s="9"/>
      <c r="FAB35" s="10"/>
      <c r="FAC35" s="11"/>
      <c r="FAD35" s="12"/>
      <c r="FAE35" s="12"/>
      <c r="FAF35" s="12"/>
      <c r="FAG35" s="13"/>
      <c r="FAH35" s="9"/>
      <c r="FAI35" s="9"/>
      <c r="FAJ35" s="9"/>
      <c r="FAK35" s="9"/>
      <c r="FAL35" s="10"/>
      <c r="FAM35" s="11"/>
      <c r="FAN35" s="12"/>
      <c r="FAO35" s="12"/>
      <c r="FAP35" s="12"/>
      <c r="FAQ35" s="13"/>
      <c r="FAR35" s="9"/>
      <c r="FAS35" s="9"/>
      <c r="FAT35" s="9"/>
      <c r="FAU35" s="9"/>
      <c r="FAV35" s="10"/>
      <c r="FAW35" s="11"/>
      <c r="FAX35" s="12"/>
      <c r="FAY35" s="12"/>
      <c r="FAZ35" s="12"/>
      <c r="FBA35" s="13"/>
      <c r="FBB35" s="9"/>
      <c r="FBC35" s="9"/>
      <c r="FBD35" s="9"/>
      <c r="FBE35" s="9"/>
      <c r="FBF35" s="10"/>
      <c r="FBG35" s="11"/>
      <c r="FBH35" s="12"/>
      <c r="FBI35" s="12"/>
      <c r="FBJ35" s="12"/>
      <c r="FBK35" s="13"/>
      <c r="FBL35" s="9"/>
      <c r="FBM35" s="9"/>
      <c r="FBN35" s="9"/>
      <c r="FBO35" s="9"/>
      <c r="FBP35" s="10"/>
      <c r="FBQ35" s="11"/>
      <c r="FBR35" s="12"/>
      <c r="FBS35" s="12"/>
      <c r="FBT35" s="12"/>
      <c r="FBU35" s="13"/>
      <c r="FBV35" s="9"/>
      <c r="FBW35" s="9"/>
      <c r="FBX35" s="9"/>
      <c r="FBY35" s="9"/>
      <c r="FBZ35" s="10"/>
      <c r="FCA35" s="11"/>
      <c r="FCB35" s="12"/>
      <c r="FCC35" s="12"/>
      <c r="FCD35" s="12"/>
      <c r="FCE35" s="13"/>
      <c r="FCF35" s="9"/>
      <c r="FCG35" s="9"/>
      <c r="FCH35" s="9"/>
      <c r="FCI35" s="9"/>
      <c r="FCJ35" s="10"/>
      <c r="FCK35" s="11"/>
      <c r="FCL35" s="12"/>
      <c r="FCM35" s="12"/>
      <c r="FCN35" s="12"/>
      <c r="FCO35" s="13"/>
      <c r="FCP35" s="9"/>
      <c r="FCQ35" s="9"/>
      <c r="FCR35" s="9"/>
      <c r="FCS35" s="9"/>
      <c r="FCT35" s="10"/>
      <c r="FCU35" s="11"/>
      <c r="FCV35" s="12"/>
      <c r="FCW35" s="12"/>
      <c r="FCX35" s="12"/>
      <c r="FCY35" s="13"/>
      <c r="FCZ35" s="9"/>
      <c r="FDA35" s="9"/>
      <c r="FDB35" s="9"/>
      <c r="FDC35" s="9"/>
      <c r="FDD35" s="10"/>
      <c r="FDE35" s="11"/>
      <c r="FDF35" s="12"/>
      <c r="FDG35" s="12"/>
      <c r="FDH35" s="12"/>
      <c r="FDI35" s="13"/>
      <c r="FDJ35" s="9"/>
      <c r="FDK35" s="9"/>
      <c r="FDL35" s="9"/>
      <c r="FDM35" s="9"/>
      <c r="FDN35" s="10"/>
      <c r="FDO35" s="11"/>
      <c r="FDP35" s="12"/>
      <c r="FDQ35" s="12"/>
      <c r="FDR35" s="12"/>
      <c r="FDS35" s="13"/>
      <c r="FDT35" s="9"/>
      <c r="FDU35" s="9"/>
      <c r="FDV35" s="9"/>
      <c r="FDW35" s="9"/>
      <c r="FDX35" s="10"/>
      <c r="FDY35" s="11"/>
      <c r="FDZ35" s="12"/>
      <c r="FEA35" s="12"/>
      <c r="FEB35" s="12"/>
      <c r="FEC35" s="13"/>
      <c r="FED35" s="9"/>
      <c r="FEE35" s="9"/>
      <c r="FEF35" s="9"/>
      <c r="FEG35" s="9"/>
      <c r="FEH35" s="10"/>
      <c r="FEI35" s="11"/>
      <c r="FEJ35" s="12"/>
      <c r="FEK35" s="12"/>
      <c r="FEL35" s="12"/>
      <c r="FEM35" s="13"/>
      <c r="FEN35" s="9"/>
      <c r="FEO35" s="9"/>
      <c r="FEP35" s="9"/>
      <c r="FEQ35" s="9"/>
      <c r="FER35" s="10"/>
      <c r="FES35" s="11"/>
      <c r="FET35" s="12"/>
      <c r="FEU35" s="12"/>
      <c r="FEV35" s="12"/>
      <c r="FEW35" s="13"/>
      <c r="FEX35" s="9"/>
      <c r="FEY35" s="9"/>
      <c r="FEZ35" s="9"/>
      <c r="FFA35" s="9"/>
      <c r="FFB35" s="10"/>
      <c r="FFC35" s="11"/>
      <c r="FFD35" s="12"/>
      <c r="FFE35" s="12"/>
      <c r="FFF35" s="12"/>
      <c r="FFG35" s="13"/>
      <c r="FFH35" s="9"/>
      <c r="FFI35" s="9"/>
      <c r="FFJ35" s="9"/>
      <c r="FFK35" s="9"/>
      <c r="FFL35" s="10"/>
      <c r="FFM35" s="11"/>
      <c r="FFN35" s="12"/>
      <c r="FFO35" s="12"/>
      <c r="FFP35" s="12"/>
      <c r="FFQ35" s="13"/>
      <c r="FFR35" s="9"/>
      <c r="FFS35" s="9"/>
      <c r="FFT35" s="9"/>
      <c r="FFU35" s="9"/>
      <c r="FFV35" s="10"/>
      <c r="FFW35" s="11"/>
      <c r="FFX35" s="12"/>
      <c r="FFY35" s="12"/>
      <c r="FFZ35" s="12"/>
      <c r="FGA35" s="13"/>
      <c r="FGB35" s="9"/>
      <c r="FGC35" s="9"/>
      <c r="FGD35" s="9"/>
      <c r="FGE35" s="9"/>
      <c r="FGF35" s="10"/>
      <c r="FGG35" s="11"/>
      <c r="FGH35" s="12"/>
      <c r="FGI35" s="12"/>
      <c r="FGJ35" s="12"/>
      <c r="FGK35" s="13"/>
      <c r="FGL35" s="9"/>
      <c r="FGM35" s="9"/>
      <c r="FGN35" s="9"/>
      <c r="FGO35" s="9"/>
      <c r="FGP35" s="10"/>
      <c r="FGQ35" s="11"/>
      <c r="FGR35" s="12"/>
      <c r="FGS35" s="12"/>
      <c r="FGT35" s="12"/>
      <c r="FGU35" s="13"/>
      <c r="FGV35" s="9"/>
      <c r="FGW35" s="9"/>
      <c r="FGX35" s="9"/>
      <c r="FGY35" s="9"/>
      <c r="FGZ35" s="10"/>
      <c r="FHA35" s="11"/>
      <c r="FHB35" s="12"/>
      <c r="FHC35" s="12"/>
      <c r="FHD35" s="12"/>
      <c r="FHE35" s="13"/>
      <c r="FHF35" s="9"/>
      <c r="FHG35" s="9"/>
      <c r="FHH35" s="9"/>
      <c r="FHI35" s="9"/>
      <c r="FHJ35" s="10"/>
      <c r="FHK35" s="11"/>
      <c r="FHL35" s="12"/>
      <c r="FHM35" s="12"/>
      <c r="FHN35" s="12"/>
      <c r="FHO35" s="13"/>
      <c r="FHP35" s="9"/>
      <c r="FHQ35" s="9"/>
      <c r="FHR35" s="9"/>
      <c r="FHS35" s="9"/>
      <c r="FHT35" s="10"/>
      <c r="FHU35" s="11"/>
      <c r="FHV35" s="12"/>
      <c r="FHW35" s="12"/>
      <c r="FHX35" s="12"/>
      <c r="FHY35" s="13"/>
      <c r="FHZ35" s="9"/>
      <c r="FIA35" s="9"/>
      <c r="FIB35" s="9"/>
      <c r="FIC35" s="9"/>
      <c r="FID35" s="10"/>
      <c r="FIE35" s="11"/>
      <c r="FIF35" s="12"/>
      <c r="FIG35" s="12"/>
      <c r="FIH35" s="12"/>
      <c r="FII35" s="13"/>
      <c r="FIJ35" s="9"/>
      <c r="FIK35" s="9"/>
      <c r="FIL35" s="9"/>
      <c r="FIM35" s="9"/>
      <c r="FIN35" s="10"/>
      <c r="FIO35" s="11"/>
      <c r="FIP35" s="12"/>
      <c r="FIQ35" s="12"/>
      <c r="FIR35" s="12"/>
      <c r="FIS35" s="13"/>
      <c r="FIT35" s="9"/>
      <c r="FIU35" s="9"/>
      <c r="FIV35" s="9"/>
      <c r="FIW35" s="9"/>
      <c r="FIX35" s="10"/>
      <c r="FIY35" s="11"/>
      <c r="FIZ35" s="12"/>
      <c r="FJA35" s="12"/>
      <c r="FJB35" s="12"/>
      <c r="FJC35" s="13"/>
      <c r="FJD35" s="9"/>
      <c r="FJE35" s="9"/>
      <c r="FJF35" s="9"/>
      <c r="FJG35" s="9"/>
      <c r="FJH35" s="10"/>
      <c r="FJI35" s="11"/>
      <c r="FJJ35" s="12"/>
      <c r="FJK35" s="12"/>
      <c r="FJL35" s="12"/>
      <c r="FJM35" s="13"/>
      <c r="FJN35" s="9"/>
      <c r="FJO35" s="9"/>
      <c r="FJP35" s="9"/>
      <c r="FJQ35" s="9"/>
      <c r="FJR35" s="10"/>
      <c r="FJS35" s="11"/>
      <c r="FJT35" s="12"/>
      <c r="FJU35" s="12"/>
      <c r="FJV35" s="12"/>
      <c r="FJW35" s="13"/>
      <c r="FJX35" s="9"/>
      <c r="FJY35" s="9"/>
      <c r="FJZ35" s="9"/>
      <c r="FKA35" s="9"/>
      <c r="FKB35" s="10"/>
      <c r="FKC35" s="11"/>
      <c r="FKD35" s="12"/>
      <c r="FKE35" s="12"/>
      <c r="FKF35" s="12"/>
      <c r="FKG35" s="13"/>
      <c r="FKH35" s="9"/>
      <c r="FKI35" s="9"/>
      <c r="FKJ35" s="9"/>
      <c r="FKK35" s="9"/>
      <c r="FKL35" s="10"/>
      <c r="FKM35" s="11"/>
      <c r="FKN35" s="12"/>
      <c r="FKO35" s="12"/>
      <c r="FKP35" s="12"/>
      <c r="FKQ35" s="13"/>
      <c r="FKR35" s="9"/>
      <c r="FKS35" s="9"/>
      <c r="FKT35" s="9"/>
      <c r="FKU35" s="9"/>
      <c r="FKV35" s="10"/>
      <c r="FKW35" s="11"/>
      <c r="FKX35" s="12"/>
      <c r="FKY35" s="12"/>
      <c r="FKZ35" s="12"/>
      <c r="FLA35" s="13"/>
      <c r="FLB35" s="9"/>
      <c r="FLC35" s="9"/>
      <c r="FLD35" s="9"/>
      <c r="FLE35" s="9"/>
      <c r="FLF35" s="10"/>
      <c r="FLG35" s="11"/>
      <c r="FLH35" s="12"/>
      <c r="FLI35" s="12"/>
      <c r="FLJ35" s="12"/>
      <c r="FLK35" s="13"/>
      <c r="FLL35" s="9"/>
      <c r="FLM35" s="9"/>
      <c r="FLN35" s="9"/>
      <c r="FLO35" s="9"/>
      <c r="FLP35" s="10"/>
      <c r="FLQ35" s="11"/>
      <c r="FLR35" s="12"/>
      <c r="FLS35" s="12"/>
      <c r="FLT35" s="12"/>
      <c r="FLU35" s="13"/>
      <c r="FLV35" s="9"/>
      <c r="FLW35" s="9"/>
      <c r="FLX35" s="9"/>
      <c r="FLY35" s="9"/>
      <c r="FLZ35" s="10"/>
      <c r="FMA35" s="11"/>
      <c r="FMB35" s="12"/>
      <c r="FMC35" s="12"/>
      <c r="FMD35" s="12"/>
      <c r="FME35" s="13"/>
      <c r="FMF35" s="9"/>
      <c r="FMG35" s="9"/>
      <c r="FMH35" s="9"/>
      <c r="FMI35" s="9"/>
      <c r="FMJ35" s="10"/>
      <c r="FMK35" s="11"/>
      <c r="FML35" s="12"/>
      <c r="FMM35" s="12"/>
      <c r="FMN35" s="12"/>
      <c r="FMO35" s="13"/>
      <c r="FMP35" s="9"/>
      <c r="FMQ35" s="9"/>
      <c r="FMR35" s="9"/>
      <c r="FMS35" s="9"/>
      <c r="FMT35" s="10"/>
      <c r="FMU35" s="11"/>
      <c r="FMV35" s="12"/>
      <c r="FMW35" s="12"/>
      <c r="FMX35" s="12"/>
      <c r="FMY35" s="13"/>
      <c r="FMZ35" s="9"/>
      <c r="FNA35" s="9"/>
      <c r="FNB35" s="9"/>
      <c r="FNC35" s="9"/>
      <c r="FND35" s="10"/>
      <c r="FNE35" s="11"/>
      <c r="FNF35" s="12"/>
      <c r="FNG35" s="12"/>
      <c r="FNH35" s="12"/>
      <c r="FNI35" s="13"/>
      <c r="FNJ35" s="9"/>
      <c r="FNK35" s="9"/>
      <c r="FNL35" s="9"/>
      <c r="FNM35" s="9"/>
      <c r="FNN35" s="10"/>
      <c r="FNO35" s="11"/>
      <c r="FNP35" s="12"/>
      <c r="FNQ35" s="12"/>
      <c r="FNR35" s="12"/>
      <c r="FNS35" s="13"/>
      <c r="FNT35" s="9"/>
      <c r="FNU35" s="9"/>
      <c r="FNV35" s="9"/>
      <c r="FNW35" s="9"/>
      <c r="FNX35" s="10"/>
      <c r="FNY35" s="11"/>
      <c r="FNZ35" s="12"/>
      <c r="FOA35" s="12"/>
      <c r="FOB35" s="12"/>
      <c r="FOC35" s="13"/>
      <c r="FOD35" s="9"/>
      <c r="FOE35" s="9"/>
      <c r="FOF35" s="9"/>
      <c r="FOG35" s="9"/>
      <c r="FOH35" s="10"/>
      <c r="FOI35" s="11"/>
      <c r="FOJ35" s="12"/>
      <c r="FOK35" s="12"/>
      <c r="FOL35" s="12"/>
      <c r="FOM35" s="13"/>
      <c r="FON35" s="9"/>
      <c r="FOO35" s="9"/>
      <c r="FOP35" s="9"/>
      <c r="FOQ35" s="9"/>
      <c r="FOR35" s="10"/>
      <c r="FOS35" s="11"/>
      <c r="FOT35" s="12"/>
      <c r="FOU35" s="12"/>
      <c r="FOV35" s="12"/>
      <c r="FOW35" s="13"/>
      <c r="FOX35" s="9"/>
      <c r="FOY35" s="9"/>
      <c r="FOZ35" s="9"/>
      <c r="FPA35" s="9"/>
      <c r="FPB35" s="10"/>
      <c r="FPC35" s="11"/>
      <c r="FPD35" s="12"/>
      <c r="FPE35" s="12"/>
      <c r="FPF35" s="12"/>
      <c r="FPG35" s="13"/>
      <c r="FPH35" s="9"/>
      <c r="FPI35" s="9"/>
      <c r="FPJ35" s="9"/>
      <c r="FPK35" s="9"/>
      <c r="FPL35" s="10"/>
      <c r="FPM35" s="11"/>
      <c r="FPN35" s="12"/>
      <c r="FPO35" s="12"/>
      <c r="FPP35" s="12"/>
      <c r="FPQ35" s="13"/>
      <c r="FPR35" s="9"/>
      <c r="FPS35" s="9"/>
      <c r="FPT35" s="9"/>
      <c r="FPU35" s="9"/>
      <c r="FPV35" s="10"/>
      <c r="FPW35" s="11"/>
      <c r="FPX35" s="12"/>
      <c r="FPY35" s="12"/>
      <c r="FPZ35" s="12"/>
      <c r="FQA35" s="13"/>
      <c r="FQB35" s="9"/>
      <c r="FQC35" s="9"/>
      <c r="FQD35" s="9"/>
      <c r="FQE35" s="9"/>
      <c r="FQF35" s="10"/>
      <c r="FQG35" s="11"/>
      <c r="FQH35" s="12"/>
      <c r="FQI35" s="12"/>
      <c r="FQJ35" s="12"/>
      <c r="FQK35" s="13"/>
      <c r="FQL35" s="9"/>
      <c r="FQM35" s="9"/>
      <c r="FQN35" s="9"/>
      <c r="FQO35" s="9"/>
      <c r="FQP35" s="10"/>
      <c r="FQQ35" s="11"/>
      <c r="FQR35" s="12"/>
      <c r="FQS35" s="12"/>
      <c r="FQT35" s="12"/>
      <c r="FQU35" s="13"/>
      <c r="FQV35" s="9"/>
      <c r="FQW35" s="9"/>
      <c r="FQX35" s="9"/>
      <c r="FQY35" s="9"/>
      <c r="FQZ35" s="10"/>
      <c r="FRA35" s="11"/>
      <c r="FRB35" s="12"/>
      <c r="FRC35" s="12"/>
      <c r="FRD35" s="12"/>
      <c r="FRE35" s="13"/>
      <c r="FRF35" s="9"/>
      <c r="FRG35" s="9"/>
      <c r="FRH35" s="9"/>
      <c r="FRI35" s="9"/>
      <c r="FRJ35" s="10"/>
      <c r="FRK35" s="11"/>
      <c r="FRL35" s="12"/>
      <c r="FRM35" s="12"/>
      <c r="FRN35" s="12"/>
      <c r="FRO35" s="13"/>
      <c r="FRP35" s="9"/>
      <c r="FRQ35" s="9"/>
      <c r="FRR35" s="9"/>
      <c r="FRS35" s="9"/>
      <c r="FRT35" s="10"/>
      <c r="FRU35" s="11"/>
      <c r="FRV35" s="12"/>
      <c r="FRW35" s="12"/>
      <c r="FRX35" s="12"/>
      <c r="FRY35" s="13"/>
      <c r="FRZ35" s="9"/>
      <c r="FSA35" s="9"/>
      <c r="FSB35" s="9"/>
      <c r="FSC35" s="9"/>
      <c r="FSD35" s="10"/>
      <c r="FSE35" s="11"/>
      <c r="FSF35" s="12"/>
      <c r="FSG35" s="12"/>
      <c r="FSH35" s="12"/>
      <c r="FSI35" s="13"/>
      <c r="FSJ35" s="9"/>
      <c r="FSK35" s="9"/>
      <c r="FSL35" s="9"/>
      <c r="FSM35" s="9"/>
      <c r="FSN35" s="10"/>
      <c r="FSO35" s="11"/>
      <c r="FSP35" s="12"/>
      <c r="FSQ35" s="12"/>
      <c r="FSR35" s="12"/>
      <c r="FSS35" s="13"/>
      <c r="FST35" s="9"/>
      <c r="FSU35" s="9"/>
      <c r="FSV35" s="9"/>
      <c r="FSW35" s="9"/>
      <c r="FSX35" s="10"/>
      <c r="FSY35" s="11"/>
      <c r="FSZ35" s="12"/>
      <c r="FTA35" s="12"/>
      <c r="FTB35" s="12"/>
      <c r="FTC35" s="13"/>
      <c r="FTD35" s="9"/>
      <c r="FTE35" s="9"/>
      <c r="FTF35" s="9"/>
      <c r="FTG35" s="9"/>
      <c r="FTH35" s="10"/>
      <c r="FTI35" s="11"/>
      <c r="FTJ35" s="12"/>
      <c r="FTK35" s="12"/>
      <c r="FTL35" s="12"/>
      <c r="FTM35" s="13"/>
      <c r="FTN35" s="9"/>
      <c r="FTO35" s="9"/>
      <c r="FTP35" s="9"/>
      <c r="FTQ35" s="9"/>
      <c r="FTR35" s="10"/>
      <c r="FTS35" s="11"/>
      <c r="FTT35" s="12"/>
      <c r="FTU35" s="12"/>
      <c r="FTV35" s="12"/>
      <c r="FTW35" s="13"/>
      <c r="FTX35" s="9"/>
      <c r="FTY35" s="9"/>
      <c r="FTZ35" s="9"/>
      <c r="FUA35" s="9"/>
      <c r="FUB35" s="10"/>
      <c r="FUC35" s="11"/>
      <c r="FUD35" s="12"/>
      <c r="FUE35" s="12"/>
      <c r="FUF35" s="12"/>
      <c r="FUG35" s="13"/>
      <c r="FUH35" s="9"/>
      <c r="FUI35" s="9"/>
      <c r="FUJ35" s="9"/>
      <c r="FUK35" s="9"/>
      <c r="FUL35" s="10"/>
      <c r="FUM35" s="11"/>
      <c r="FUN35" s="12"/>
      <c r="FUO35" s="12"/>
      <c r="FUP35" s="12"/>
      <c r="FUQ35" s="13"/>
      <c r="FUR35" s="9"/>
      <c r="FUS35" s="9"/>
      <c r="FUT35" s="9"/>
      <c r="FUU35" s="9"/>
      <c r="FUV35" s="10"/>
      <c r="FUW35" s="11"/>
      <c r="FUX35" s="12"/>
      <c r="FUY35" s="12"/>
      <c r="FUZ35" s="12"/>
      <c r="FVA35" s="13"/>
      <c r="FVB35" s="9"/>
      <c r="FVC35" s="9"/>
      <c r="FVD35" s="9"/>
      <c r="FVE35" s="9"/>
      <c r="FVF35" s="10"/>
      <c r="FVG35" s="11"/>
      <c r="FVH35" s="12"/>
      <c r="FVI35" s="12"/>
      <c r="FVJ35" s="12"/>
      <c r="FVK35" s="13"/>
      <c r="FVL35" s="9"/>
      <c r="FVM35" s="9"/>
      <c r="FVN35" s="9"/>
      <c r="FVO35" s="9"/>
      <c r="FVP35" s="10"/>
      <c r="FVQ35" s="11"/>
      <c r="FVR35" s="12"/>
      <c r="FVS35" s="12"/>
      <c r="FVT35" s="12"/>
      <c r="FVU35" s="13"/>
      <c r="FVV35" s="9"/>
      <c r="FVW35" s="9"/>
      <c r="FVX35" s="9"/>
      <c r="FVY35" s="9"/>
      <c r="FVZ35" s="10"/>
      <c r="FWA35" s="11"/>
      <c r="FWB35" s="12"/>
      <c r="FWC35" s="12"/>
      <c r="FWD35" s="12"/>
      <c r="FWE35" s="13"/>
      <c r="FWF35" s="9"/>
      <c r="FWG35" s="9"/>
      <c r="FWH35" s="9"/>
      <c r="FWI35" s="9"/>
      <c r="FWJ35" s="10"/>
      <c r="FWK35" s="11"/>
      <c r="FWL35" s="12"/>
      <c r="FWM35" s="12"/>
      <c r="FWN35" s="12"/>
      <c r="FWO35" s="13"/>
      <c r="FWP35" s="9"/>
      <c r="FWQ35" s="9"/>
      <c r="FWR35" s="9"/>
      <c r="FWS35" s="9"/>
      <c r="FWT35" s="10"/>
      <c r="FWU35" s="11"/>
      <c r="FWV35" s="12"/>
      <c r="FWW35" s="12"/>
      <c r="FWX35" s="12"/>
      <c r="FWY35" s="13"/>
      <c r="FWZ35" s="9"/>
      <c r="FXA35" s="9"/>
      <c r="FXB35" s="9"/>
      <c r="FXC35" s="9"/>
      <c r="FXD35" s="10"/>
      <c r="FXE35" s="11"/>
      <c r="FXF35" s="12"/>
      <c r="FXG35" s="12"/>
      <c r="FXH35" s="12"/>
      <c r="FXI35" s="13"/>
      <c r="FXJ35" s="9"/>
      <c r="FXK35" s="9"/>
      <c r="FXL35" s="9"/>
      <c r="FXM35" s="9"/>
      <c r="FXN35" s="10"/>
      <c r="FXO35" s="11"/>
      <c r="FXP35" s="12"/>
      <c r="FXQ35" s="12"/>
      <c r="FXR35" s="12"/>
      <c r="FXS35" s="13"/>
      <c r="FXT35" s="9"/>
      <c r="FXU35" s="9"/>
      <c r="FXV35" s="9"/>
      <c r="FXW35" s="9"/>
      <c r="FXX35" s="10"/>
      <c r="FXY35" s="11"/>
      <c r="FXZ35" s="12"/>
      <c r="FYA35" s="12"/>
      <c r="FYB35" s="12"/>
      <c r="FYC35" s="13"/>
      <c r="FYD35" s="9"/>
      <c r="FYE35" s="9"/>
      <c r="FYF35" s="9"/>
      <c r="FYG35" s="9"/>
      <c r="FYH35" s="10"/>
      <c r="FYI35" s="11"/>
      <c r="FYJ35" s="12"/>
      <c r="FYK35" s="12"/>
      <c r="FYL35" s="12"/>
      <c r="FYM35" s="13"/>
      <c r="FYN35" s="9"/>
      <c r="FYO35" s="9"/>
      <c r="FYP35" s="9"/>
      <c r="FYQ35" s="9"/>
      <c r="FYR35" s="10"/>
      <c r="FYS35" s="11"/>
      <c r="FYT35" s="12"/>
      <c r="FYU35" s="12"/>
      <c r="FYV35" s="12"/>
      <c r="FYW35" s="13"/>
      <c r="FYX35" s="9"/>
      <c r="FYY35" s="9"/>
      <c r="FYZ35" s="9"/>
      <c r="FZA35" s="9"/>
      <c r="FZB35" s="10"/>
      <c r="FZC35" s="11"/>
      <c r="FZD35" s="12"/>
      <c r="FZE35" s="12"/>
      <c r="FZF35" s="12"/>
      <c r="FZG35" s="13"/>
      <c r="FZH35" s="9"/>
      <c r="FZI35" s="9"/>
      <c r="FZJ35" s="9"/>
      <c r="FZK35" s="9"/>
      <c r="FZL35" s="10"/>
      <c r="FZM35" s="11"/>
      <c r="FZN35" s="12"/>
      <c r="FZO35" s="12"/>
      <c r="FZP35" s="12"/>
      <c r="FZQ35" s="13"/>
      <c r="FZR35" s="9"/>
      <c r="FZS35" s="9"/>
      <c r="FZT35" s="9"/>
      <c r="FZU35" s="9"/>
      <c r="FZV35" s="10"/>
      <c r="FZW35" s="11"/>
      <c r="FZX35" s="12"/>
      <c r="FZY35" s="12"/>
      <c r="FZZ35" s="12"/>
      <c r="GAA35" s="13"/>
      <c r="GAB35" s="9"/>
      <c r="GAC35" s="9"/>
      <c r="GAD35" s="9"/>
      <c r="GAE35" s="9"/>
      <c r="GAF35" s="10"/>
      <c r="GAG35" s="11"/>
      <c r="GAH35" s="12"/>
      <c r="GAI35" s="12"/>
      <c r="GAJ35" s="12"/>
      <c r="GAK35" s="13"/>
      <c r="GAL35" s="9"/>
      <c r="GAM35" s="9"/>
      <c r="GAN35" s="9"/>
      <c r="GAO35" s="9"/>
      <c r="GAP35" s="10"/>
      <c r="GAQ35" s="11"/>
      <c r="GAR35" s="12"/>
      <c r="GAS35" s="12"/>
      <c r="GAT35" s="12"/>
      <c r="GAU35" s="13"/>
      <c r="GAV35" s="9"/>
      <c r="GAW35" s="9"/>
      <c r="GAX35" s="9"/>
      <c r="GAY35" s="9"/>
      <c r="GAZ35" s="10"/>
      <c r="GBA35" s="11"/>
      <c r="GBB35" s="12"/>
      <c r="GBC35" s="12"/>
      <c r="GBD35" s="12"/>
      <c r="GBE35" s="13"/>
      <c r="GBF35" s="9"/>
      <c r="GBG35" s="9"/>
      <c r="GBH35" s="9"/>
      <c r="GBI35" s="9"/>
      <c r="GBJ35" s="10"/>
      <c r="GBK35" s="11"/>
      <c r="GBL35" s="12"/>
      <c r="GBM35" s="12"/>
      <c r="GBN35" s="12"/>
      <c r="GBO35" s="13"/>
      <c r="GBP35" s="9"/>
      <c r="GBQ35" s="9"/>
      <c r="GBR35" s="9"/>
      <c r="GBS35" s="9"/>
      <c r="GBT35" s="10"/>
      <c r="GBU35" s="11"/>
      <c r="GBV35" s="12"/>
      <c r="GBW35" s="12"/>
      <c r="GBX35" s="12"/>
      <c r="GBY35" s="13"/>
      <c r="GBZ35" s="9"/>
      <c r="GCA35" s="9"/>
      <c r="GCB35" s="9"/>
      <c r="GCC35" s="9"/>
      <c r="GCD35" s="10"/>
      <c r="GCE35" s="11"/>
      <c r="GCF35" s="12"/>
      <c r="GCG35" s="12"/>
      <c r="GCH35" s="12"/>
      <c r="GCI35" s="13"/>
      <c r="GCJ35" s="9"/>
      <c r="GCK35" s="9"/>
      <c r="GCL35" s="9"/>
      <c r="GCM35" s="9"/>
      <c r="GCN35" s="10"/>
      <c r="GCO35" s="11"/>
      <c r="GCP35" s="12"/>
      <c r="GCQ35" s="12"/>
      <c r="GCR35" s="12"/>
      <c r="GCS35" s="13"/>
      <c r="GCT35" s="9"/>
      <c r="GCU35" s="9"/>
      <c r="GCV35" s="9"/>
      <c r="GCW35" s="9"/>
      <c r="GCX35" s="10"/>
      <c r="GCY35" s="11"/>
      <c r="GCZ35" s="12"/>
      <c r="GDA35" s="12"/>
      <c r="GDB35" s="12"/>
      <c r="GDC35" s="13"/>
      <c r="GDD35" s="9"/>
      <c r="GDE35" s="9"/>
      <c r="GDF35" s="9"/>
      <c r="GDG35" s="9"/>
      <c r="GDH35" s="10"/>
      <c r="GDI35" s="11"/>
      <c r="GDJ35" s="12"/>
      <c r="GDK35" s="12"/>
      <c r="GDL35" s="12"/>
      <c r="GDM35" s="13"/>
      <c r="GDN35" s="9"/>
      <c r="GDO35" s="9"/>
      <c r="GDP35" s="9"/>
      <c r="GDQ35" s="9"/>
      <c r="GDR35" s="10"/>
      <c r="GDS35" s="11"/>
      <c r="GDT35" s="12"/>
      <c r="GDU35" s="12"/>
      <c r="GDV35" s="12"/>
      <c r="GDW35" s="13"/>
      <c r="GDX35" s="9"/>
      <c r="GDY35" s="9"/>
      <c r="GDZ35" s="9"/>
      <c r="GEA35" s="9"/>
      <c r="GEB35" s="10"/>
      <c r="GEC35" s="11"/>
      <c r="GED35" s="12"/>
      <c r="GEE35" s="12"/>
      <c r="GEF35" s="12"/>
      <c r="GEG35" s="13"/>
      <c r="GEH35" s="9"/>
      <c r="GEI35" s="9"/>
      <c r="GEJ35" s="9"/>
      <c r="GEK35" s="9"/>
      <c r="GEL35" s="10"/>
      <c r="GEM35" s="11"/>
      <c r="GEN35" s="12"/>
      <c r="GEO35" s="12"/>
      <c r="GEP35" s="12"/>
      <c r="GEQ35" s="13"/>
      <c r="GER35" s="9"/>
      <c r="GES35" s="9"/>
      <c r="GET35" s="9"/>
      <c r="GEU35" s="9"/>
      <c r="GEV35" s="10"/>
      <c r="GEW35" s="11"/>
      <c r="GEX35" s="12"/>
      <c r="GEY35" s="12"/>
      <c r="GEZ35" s="12"/>
      <c r="GFA35" s="13"/>
      <c r="GFB35" s="9"/>
      <c r="GFC35" s="9"/>
      <c r="GFD35" s="9"/>
      <c r="GFE35" s="9"/>
      <c r="GFF35" s="10"/>
      <c r="GFG35" s="11"/>
      <c r="GFH35" s="12"/>
      <c r="GFI35" s="12"/>
      <c r="GFJ35" s="12"/>
      <c r="GFK35" s="13"/>
      <c r="GFL35" s="9"/>
      <c r="GFM35" s="9"/>
      <c r="GFN35" s="9"/>
      <c r="GFO35" s="9"/>
      <c r="GFP35" s="10"/>
      <c r="GFQ35" s="11"/>
      <c r="GFR35" s="12"/>
      <c r="GFS35" s="12"/>
      <c r="GFT35" s="12"/>
      <c r="GFU35" s="13"/>
      <c r="GFV35" s="9"/>
      <c r="GFW35" s="9"/>
      <c r="GFX35" s="9"/>
      <c r="GFY35" s="9"/>
      <c r="GFZ35" s="10"/>
      <c r="GGA35" s="11"/>
      <c r="GGB35" s="12"/>
      <c r="GGC35" s="12"/>
      <c r="GGD35" s="12"/>
      <c r="GGE35" s="13"/>
      <c r="GGF35" s="9"/>
      <c r="GGG35" s="9"/>
      <c r="GGH35" s="9"/>
      <c r="GGI35" s="9"/>
      <c r="GGJ35" s="10"/>
      <c r="GGK35" s="11"/>
      <c r="GGL35" s="12"/>
      <c r="GGM35" s="12"/>
      <c r="GGN35" s="12"/>
      <c r="GGO35" s="13"/>
      <c r="GGP35" s="9"/>
      <c r="GGQ35" s="9"/>
      <c r="GGR35" s="9"/>
      <c r="GGS35" s="9"/>
      <c r="GGT35" s="10"/>
      <c r="GGU35" s="11"/>
      <c r="GGV35" s="12"/>
      <c r="GGW35" s="12"/>
      <c r="GGX35" s="12"/>
      <c r="GGY35" s="13"/>
      <c r="GGZ35" s="9"/>
      <c r="GHA35" s="9"/>
      <c r="GHB35" s="9"/>
      <c r="GHC35" s="9"/>
      <c r="GHD35" s="10"/>
      <c r="GHE35" s="11"/>
      <c r="GHF35" s="12"/>
      <c r="GHG35" s="12"/>
      <c r="GHH35" s="12"/>
      <c r="GHI35" s="13"/>
      <c r="GHJ35" s="9"/>
      <c r="GHK35" s="9"/>
      <c r="GHL35" s="9"/>
      <c r="GHM35" s="9"/>
      <c r="GHN35" s="10"/>
      <c r="GHO35" s="11"/>
      <c r="GHP35" s="12"/>
      <c r="GHQ35" s="12"/>
      <c r="GHR35" s="12"/>
      <c r="GHS35" s="13"/>
      <c r="GHT35" s="9"/>
      <c r="GHU35" s="9"/>
      <c r="GHV35" s="9"/>
      <c r="GHW35" s="9"/>
      <c r="GHX35" s="10"/>
      <c r="GHY35" s="11"/>
      <c r="GHZ35" s="12"/>
      <c r="GIA35" s="12"/>
      <c r="GIB35" s="12"/>
      <c r="GIC35" s="13"/>
      <c r="GID35" s="9"/>
      <c r="GIE35" s="9"/>
      <c r="GIF35" s="9"/>
      <c r="GIG35" s="9"/>
      <c r="GIH35" s="10"/>
      <c r="GII35" s="11"/>
      <c r="GIJ35" s="12"/>
      <c r="GIK35" s="12"/>
      <c r="GIL35" s="12"/>
      <c r="GIM35" s="13"/>
      <c r="GIN35" s="9"/>
      <c r="GIO35" s="9"/>
      <c r="GIP35" s="9"/>
      <c r="GIQ35" s="9"/>
      <c r="GIR35" s="10"/>
      <c r="GIS35" s="11"/>
      <c r="GIT35" s="12"/>
      <c r="GIU35" s="12"/>
      <c r="GIV35" s="12"/>
      <c r="GIW35" s="13"/>
      <c r="GIX35" s="9"/>
      <c r="GIY35" s="9"/>
      <c r="GIZ35" s="9"/>
      <c r="GJA35" s="9"/>
      <c r="GJB35" s="10"/>
      <c r="GJC35" s="11"/>
      <c r="GJD35" s="12"/>
      <c r="GJE35" s="12"/>
      <c r="GJF35" s="12"/>
      <c r="GJG35" s="13"/>
      <c r="GJH35" s="9"/>
      <c r="GJI35" s="9"/>
      <c r="GJJ35" s="9"/>
      <c r="GJK35" s="9"/>
      <c r="GJL35" s="10"/>
      <c r="GJM35" s="11"/>
      <c r="GJN35" s="12"/>
      <c r="GJO35" s="12"/>
      <c r="GJP35" s="12"/>
      <c r="GJQ35" s="13"/>
      <c r="GJR35" s="9"/>
      <c r="GJS35" s="9"/>
      <c r="GJT35" s="9"/>
      <c r="GJU35" s="9"/>
      <c r="GJV35" s="10"/>
      <c r="GJW35" s="11"/>
      <c r="GJX35" s="12"/>
      <c r="GJY35" s="12"/>
      <c r="GJZ35" s="12"/>
      <c r="GKA35" s="13"/>
      <c r="GKB35" s="9"/>
      <c r="GKC35" s="9"/>
      <c r="GKD35" s="9"/>
      <c r="GKE35" s="9"/>
      <c r="GKF35" s="10"/>
      <c r="GKG35" s="11"/>
      <c r="GKH35" s="12"/>
      <c r="GKI35" s="12"/>
      <c r="GKJ35" s="12"/>
      <c r="GKK35" s="13"/>
      <c r="GKL35" s="9"/>
      <c r="GKM35" s="9"/>
      <c r="GKN35" s="9"/>
      <c r="GKO35" s="9"/>
      <c r="GKP35" s="10"/>
      <c r="GKQ35" s="11"/>
      <c r="GKR35" s="12"/>
      <c r="GKS35" s="12"/>
      <c r="GKT35" s="12"/>
      <c r="GKU35" s="13"/>
      <c r="GKV35" s="9"/>
      <c r="GKW35" s="9"/>
      <c r="GKX35" s="9"/>
      <c r="GKY35" s="9"/>
      <c r="GKZ35" s="10"/>
      <c r="GLA35" s="11"/>
      <c r="GLB35" s="12"/>
      <c r="GLC35" s="12"/>
      <c r="GLD35" s="12"/>
      <c r="GLE35" s="13"/>
      <c r="GLF35" s="9"/>
      <c r="GLG35" s="9"/>
      <c r="GLH35" s="9"/>
      <c r="GLI35" s="9"/>
      <c r="GLJ35" s="10"/>
      <c r="GLK35" s="11"/>
      <c r="GLL35" s="12"/>
      <c r="GLM35" s="12"/>
      <c r="GLN35" s="12"/>
      <c r="GLO35" s="13"/>
      <c r="GLP35" s="9"/>
      <c r="GLQ35" s="9"/>
      <c r="GLR35" s="9"/>
      <c r="GLS35" s="9"/>
      <c r="GLT35" s="10"/>
      <c r="GLU35" s="11"/>
      <c r="GLV35" s="12"/>
      <c r="GLW35" s="12"/>
      <c r="GLX35" s="12"/>
      <c r="GLY35" s="13"/>
      <c r="GLZ35" s="9"/>
      <c r="GMA35" s="9"/>
      <c r="GMB35" s="9"/>
      <c r="GMC35" s="9"/>
      <c r="GMD35" s="10"/>
      <c r="GME35" s="11"/>
      <c r="GMF35" s="12"/>
      <c r="GMG35" s="12"/>
      <c r="GMH35" s="12"/>
      <c r="GMI35" s="13"/>
      <c r="GMJ35" s="9"/>
      <c r="GMK35" s="9"/>
      <c r="GML35" s="9"/>
      <c r="GMM35" s="9"/>
      <c r="GMN35" s="10"/>
      <c r="GMO35" s="11"/>
      <c r="GMP35" s="12"/>
      <c r="GMQ35" s="12"/>
      <c r="GMR35" s="12"/>
      <c r="GMS35" s="13"/>
      <c r="GMT35" s="9"/>
      <c r="GMU35" s="9"/>
      <c r="GMV35" s="9"/>
      <c r="GMW35" s="9"/>
      <c r="GMX35" s="10"/>
      <c r="GMY35" s="11"/>
      <c r="GMZ35" s="12"/>
      <c r="GNA35" s="12"/>
      <c r="GNB35" s="12"/>
      <c r="GNC35" s="13"/>
      <c r="GND35" s="9"/>
      <c r="GNE35" s="9"/>
      <c r="GNF35" s="9"/>
      <c r="GNG35" s="9"/>
      <c r="GNH35" s="10"/>
      <c r="GNI35" s="11"/>
      <c r="GNJ35" s="12"/>
      <c r="GNK35" s="12"/>
      <c r="GNL35" s="12"/>
      <c r="GNM35" s="13"/>
      <c r="GNN35" s="9"/>
      <c r="GNO35" s="9"/>
      <c r="GNP35" s="9"/>
      <c r="GNQ35" s="9"/>
      <c r="GNR35" s="10"/>
      <c r="GNS35" s="11"/>
      <c r="GNT35" s="12"/>
      <c r="GNU35" s="12"/>
      <c r="GNV35" s="12"/>
      <c r="GNW35" s="13"/>
      <c r="GNX35" s="9"/>
      <c r="GNY35" s="9"/>
      <c r="GNZ35" s="9"/>
      <c r="GOA35" s="9"/>
      <c r="GOB35" s="10"/>
      <c r="GOC35" s="11"/>
      <c r="GOD35" s="12"/>
      <c r="GOE35" s="12"/>
      <c r="GOF35" s="12"/>
      <c r="GOG35" s="13"/>
      <c r="GOH35" s="9"/>
      <c r="GOI35" s="9"/>
      <c r="GOJ35" s="9"/>
      <c r="GOK35" s="9"/>
      <c r="GOL35" s="10"/>
      <c r="GOM35" s="11"/>
      <c r="GON35" s="12"/>
      <c r="GOO35" s="12"/>
      <c r="GOP35" s="12"/>
      <c r="GOQ35" s="13"/>
      <c r="GOR35" s="9"/>
      <c r="GOS35" s="9"/>
      <c r="GOT35" s="9"/>
      <c r="GOU35" s="9"/>
      <c r="GOV35" s="10"/>
      <c r="GOW35" s="11"/>
      <c r="GOX35" s="12"/>
      <c r="GOY35" s="12"/>
      <c r="GOZ35" s="12"/>
      <c r="GPA35" s="13"/>
      <c r="GPB35" s="9"/>
      <c r="GPC35" s="9"/>
      <c r="GPD35" s="9"/>
      <c r="GPE35" s="9"/>
      <c r="GPF35" s="10"/>
      <c r="GPG35" s="11"/>
      <c r="GPH35" s="12"/>
      <c r="GPI35" s="12"/>
      <c r="GPJ35" s="12"/>
      <c r="GPK35" s="13"/>
      <c r="GPL35" s="9"/>
      <c r="GPM35" s="9"/>
      <c r="GPN35" s="9"/>
      <c r="GPO35" s="9"/>
      <c r="GPP35" s="10"/>
      <c r="GPQ35" s="11"/>
      <c r="GPR35" s="12"/>
      <c r="GPS35" s="12"/>
      <c r="GPT35" s="12"/>
      <c r="GPU35" s="13"/>
      <c r="GPV35" s="9"/>
      <c r="GPW35" s="9"/>
      <c r="GPX35" s="9"/>
      <c r="GPY35" s="9"/>
      <c r="GPZ35" s="10"/>
      <c r="GQA35" s="11"/>
      <c r="GQB35" s="12"/>
      <c r="GQC35" s="12"/>
      <c r="GQD35" s="12"/>
      <c r="GQE35" s="13"/>
      <c r="GQF35" s="9"/>
      <c r="GQG35" s="9"/>
      <c r="GQH35" s="9"/>
      <c r="GQI35" s="9"/>
      <c r="GQJ35" s="10"/>
      <c r="GQK35" s="11"/>
      <c r="GQL35" s="12"/>
      <c r="GQM35" s="12"/>
      <c r="GQN35" s="12"/>
      <c r="GQO35" s="13"/>
      <c r="GQP35" s="9"/>
      <c r="GQQ35" s="9"/>
      <c r="GQR35" s="9"/>
      <c r="GQS35" s="9"/>
      <c r="GQT35" s="10"/>
      <c r="GQU35" s="11"/>
      <c r="GQV35" s="12"/>
      <c r="GQW35" s="12"/>
      <c r="GQX35" s="12"/>
      <c r="GQY35" s="13"/>
      <c r="GQZ35" s="9"/>
      <c r="GRA35" s="9"/>
      <c r="GRB35" s="9"/>
      <c r="GRC35" s="9"/>
      <c r="GRD35" s="10"/>
      <c r="GRE35" s="11"/>
      <c r="GRF35" s="12"/>
      <c r="GRG35" s="12"/>
      <c r="GRH35" s="12"/>
      <c r="GRI35" s="13"/>
      <c r="GRJ35" s="9"/>
      <c r="GRK35" s="9"/>
      <c r="GRL35" s="9"/>
      <c r="GRM35" s="9"/>
      <c r="GRN35" s="10"/>
      <c r="GRO35" s="11"/>
      <c r="GRP35" s="12"/>
      <c r="GRQ35" s="12"/>
      <c r="GRR35" s="12"/>
      <c r="GRS35" s="13"/>
      <c r="GRT35" s="9"/>
      <c r="GRU35" s="9"/>
      <c r="GRV35" s="9"/>
      <c r="GRW35" s="9"/>
      <c r="GRX35" s="10"/>
      <c r="GRY35" s="11"/>
      <c r="GRZ35" s="12"/>
      <c r="GSA35" s="12"/>
      <c r="GSB35" s="12"/>
      <c r="GSC35" s="13"/>
      <c r="GSD35" s="9"/>
      <c r="GSE35" s="9"/>
      <c r="GSF35" s="9"/>
      <c r="GSG35" s="9"/>
      <c r="GSH35" s="10"/>
      <c r="GSI35" s="11"/>
      <c r="GSJ35" s="12"/>
      <c r="GSK35" s="12"/>
      <c r="GSL35" s="12"/>
      <c r="GSM35" s="13"/>
      <c r="GSN35" s="9"/>
      <c r="GSO35" s="9"/>
      <c r="GSP35" s="9"/>
      <c r="GSQ35" s="9"/>
      <c r="GSR35" s="10"/>
      <c r="GSS35" s="11"/>
      <c r="GST35" s="12"/>
      <c r="GSU35" s="12"/>
      <c r="GSV35" s="12"/>
      <c r="GSW35" s="13"/>
      <c r="GSX35" s="9"/>
      <c r="GSY35" s="9"/>
      <c r="GSZ35" s="9"/>
      <c r="GTA35" s="9"/>
      <c r="GTB35" s="10"/>
      <c r="GTC35" s="11"/>
      <c r="GTD35" s="12"/>
      <c r="GTE35" s="12"/>
      <c r="GTF35" s="12"/>
      <c r="GTG35" s="13"/>
      <c r="GTH35" s="9"/>
      <c r="GTI35" s="9"/>
      <c r="GTJ35" s="9"/>
      <c r="GTK35" s="9"/>
      <c r="GTL35" s="10"/>
      <c r="GTM35" s="11"/>
      <c r="GTN35" s="12"/>
      <c r="GTO35" s="12"/>
      <c r="GTP35" s="12"/>
      <c r="GTQ35" s="13"/>
      <c r="GTR35" s="9"/>
      <c r="GTS35" s="9"/>
      <c r="GTT35" s="9"/>
      <c r="GTU35" s="9"/>
      <c r="GTV35" s="10"/>
      <c r="GTW35" s="11"/>
      <c r="GTX35" s="12"/>
      <c r="GTY35" s="12"/>
      <c r="GTZ35" s="12"/>
      <c r="GUA35" s="13"/>
      <c r="GUB35" s="9"/>
      <c r="GUC35" s="9"/>
      <c r="GUD35" s="9"/>
      <c r="GUE35" s="9"/>
      <c r="GUF35" s="10"/>
      <c r="GUG35" s="11"/>
      <c r="GUH35" s="12"/>
      <c r="GUI35" s="12"/>
      <c r="GUJ35" s="12"/>
      <c r="GUK35" s="13"/>
      <c r="GUL35" s="9"/>
      <c r="GUM35" s="9"/>
      <c r="GUN35" s="9"/>
      <c r="GUO35" s="9"/>
      <c r="GUP35" s="10"/>
      <c r="GUQ35" s="11"/>
      <c r="GUR35" s="12"/>
      <c r="GUS35" s="12"/>
      <c r="GUT35" s="12"/>
      <c r="GUU35" s="13"/>
      <c r="GUV35" s="9"/>
      <c r="GUW35" s="9"/>
      <c r="GUX35" s="9"/>
      <c r="GUY35" s="9"/>
      <c r="GUZ35" s="10"/>
      <c r="GVA35" s="11"/>
      <c r="GVB35" s="12"/>
      <c r="GVC35" s="12"/>
      <c r="GVD35" s="12"/>
      <c r="GVE35" s="13"/>
      <c r="GVF35" s="9"/>
      <c r="GVG35" s="9"/>
      <c r="GVH35" s="9"/>
      <c r="GVI35" s="9"/>
      <c r="GVJ35" s="10"/>
      <c r="GVK35" s="11"/>
      <c r="GVL35" s="12"/>
      <c r="GVM35" s="12"/>
      <c r="GVN35" s="12"/>
      <c r="GVO35" s="13"/>
      <c r="GVP35" s="9"/>
      <c r="GVQ35" s="9"/>
      <c r="GVR35" s="9"/>
      <c r="GVS35" s="9"/>
      <c r="GVT35" s="10"/>
      <c r="GVU35" s="11"/>
      <c r="GVV35" s="12"/>
      <c r="GVW35" s="12"/>
      <c r="GVX35" s="12"/>
      <c r="GVY35" s="13"/>
      <c r="GVZ35" s="9"/>
      <c r="GWA35" s="9"/>
      <c r="GWB35" s="9"/>
      <c r="GWC35" s="9"/>
      <c r="GWD35" s="10"/>
      <c r="GWE35" s="11"/>
      <c r="GWF35" s="12"/>
      <c r="GWG35" s="12"/>
      <c r="GWH35" s="12"/>
      <c r="GWI35" s="13"/>
      <c r="GWJ35" s="9"/>
      <c r="GWK35" s="9"/>
      <c r="GWL35" s="9"/>
      <c r="GWM35" s="9"/>
      <c r="GWN35" s="10"/>
      <c r="GWO35" s="11"/>
      <c r="GWP35" s="12"/>
      <c r="GWQ35" s="12"/>
      <c r="GWR35" s="12"/>
      <c r="GWS35" s="13"/>
      <c r="GWT35" s="9"/>
      <c r="GWU35" s="9"/>
      <c r="GWV35" s="9"/>
      <c r="GWW35" s="9"/>
      <c r="GWX35" s="10"/>
      <c r="GWY35" s="11"/>
      <c r="GWZ35" s="12"/>
      <c r="GXA35" s="12"/>
      <c r="GXB35" s="12"/>
      <c r="GXC35" s="13"/>
      <c r="GXD35" s="9"/>
      <c r="GXE35" s="9"/>
      <c r="GXF35" s="9"/>
      <c r="GXG35" s="9"/>
      <c r="GXH35" s="10"/>
      <c r="GXI35" s="11"/>
      <c r="GXJ35" s="12"/>
      <c r="GXK35" s="12"/>
      <c r="GXL35" s="12"/>
      <c r="GXM35" s="13"/>
      <c r="GXN35" s="9"/>
      <c r="GXO35" s="9"/>
      <c r="GXP35" s="9"/>
      <c r="GXQ35" s="9"/>
      <c r="GXR35" s="10"/>
      <c r="GXS35" s="11"/>
      <c r="GXT35" s="12"/>
      <c r="GXU35" s="12"/>
      <c r="GXV35" s="12"/>
      <c r="GXW35" s="13"/>
      <c r="GXX35" s="9"/>
      <c r="GXY35" s="9"/>
      <c r="GXZ35" s="9"/>
      <c r="GYA35" s="9"/>
      <c r="GYB35" s="10"/>
      <c r="GYC35" s="11"/>
      <c r="GYD35" s="12"/>
      <c r="GYE35" s="12"/>
      <c r="GYF35" s="12"/>
      <c r="GYG35" s="13"/>
      <c r="GYH35" s="9"/>
      <c r="GYI35" s="9"/>
      <c r="GYJ35" s="9"/>
      <c r="GYK35" s="9"/>
      <c r="GYL35" s="10"/>
      <c r="GYM35" s="11"/>
      <c r="GYN35" s="12"/>
      <c r="GYO35" s="12"/>
      <c r="GYP35" s="12"/>
      <c r="GYQ35" s="13"/>
      <c r="GYR35" s="9"/>
      <c r="GYS35" s="9"/>
      <c r="GYT35" s="9"/>
      <c r="GYU35" s="9"/>
      <c r="GYV35" s="10"/>
      <c r="GYW35" s="11"/>
      <c r="GYX35" s="12"/>
      <c r="GYY35" s="12"/>
      <c r="GYZ35" s="12"/>
      <c r="GZA35" s="13"/>
      <c r="GZB35" s="9"/>
      <c r="GZC35" s="9"/>
      <c r="GZD35" s="9"/>
      <c r="GZE35" s="9"/>
      <c r="GZF35" s="10"/>
      <c r="GZG35" s="11"/>
      <c r="GZH35" s="12"/>
      <c r="GZI35" s="12"/>
      <c r="GZJ35" s="12"/>
      <c r="GZK35" s="13"/>
      <c r="GZL35" s="9"/>
      <c r="GZM35" s="9"/>
      <c r="GZN35" s="9"/>
      <c r="GZO35" s="9"/>
      <c r="GZP35" s="10"/>
      <c r="GZQ35" s="11"/>
      <c r="GZR35" s="12"/>
      <c r="GZS35" s="12"/>
      <c r="GZT35" s="12"/>
      <c r="GZU35" s="13"/>
      <c r="GZV35" s="9"/>
      <c r="GZW35" s="9"/>
      <c r="GZX35" s="9"/>
      <c r="GZY35" s="9"/>
      <c r="GZZ35" s="10"/>
      <c r="HAA35" s="11"/>
      <c r="HAB35" s="12"/>
      <c r="HAC35" s="12"/>
      <c r="HAD35" s="12"/>
      <c r="HAE35" s="13"/>
      <c r="HAF35" s="9"/>
      <c r="HAG35" s="9"/>
      <c r="HAH35" s="9"/>
      <c r="HAI35" s="9"/>
      <c r="HAJ35" s="10"/>
      <c r="HAK35" s="11"/>
      <c r="HAL35" s="12"/>
      <c r="HAM35" s="12"/>
      <c r="HAN35" s="12"/>
      <c r="HAO35" s="13"/>
      <c r="HAP35" s="9"/>
      <c r="HAQ35" s="9"/>
      <c r="HAR35" s="9"/>
      <c r="HAS35" s="9"/>
      <c r="HAT35" s="10"/>
      <c r="HAU35" s="11"/>
      <c r="HAV35" s="12"/>
      <c r="HAW35" s="12"/>
      <c r="HAX35" s="12"/>
      <c r="HAY35" s="13"/>
      <c r="HAZ35" s="9"/>
      <c r="HBA35" s="9"/>
      <c r="HBB35" s="9"/>
      <c r="HBC35" s="9"/>
      <c r="HBD35" s="10"/>
      <c r="HBE35" s="11"/>
      <c r="HBF35" s="12"/>
      <c r="HBG35" s="12"/>
      <c r="HBH35" s="12"/>
      <c r="HBI35" s="13"/>
      <c r="HBJ35" s="9"/>
      <c r="HBK35" s="9"/>
      <c r="HBL35" s="9"/>
      <c r="HBM35" s="9"/>
      <c r="HBN35" s="10"/>
      <c r="HBO35" s="11"/>
      <c r="HBP35" s="12"/>
      <c r="HBQ35" s="12"/>
      <c r="HBR35" s="12"/>
      <c r="HBS35" s="13"/>
      <c r="HBT35" s="9"/>
      <c r="HBU35" s="9"/>
      <c r="HBV35" s="9"/>
      <c r="HBW35" s="9"/>
      <c r="HBX35" s="10"/>
      <c r="HBY35" s="11"/>
      <c r="HBZ35" s="12"/>
      <c r="HCA35" s="12"/>
      <c r="HCB35" s="12"/>
      <c r="HCC35" s="13"/>
      <c r="HCD35" s="9"/>
      <c r="HCE35" s="9"/>
      <c r="HCF35" s="9"/>
      <c r="HCG35" s="9"/>
      <c r="HCH35" s="10"/>
      <c r="HCI35" s="11"/>
      <c r="HCJ35" s="12"/>
      <c r="HCK35" s="12"/>
      <c r="HCL35" s="12"/>
      <c r="HCM35" s="13"/>
      <c r="HCN35" s="9"/>
      <c r="HCO35" s="9"/>
      <c r="HCP35" s="9"/>
      <c r="HCQ35" s="9"/>
      <c r="HCR35" s="10"/>
      <c r="HCS35" s="11"/>
      <c r="HCT35" s="12"/>
      <c r="HCU35" s="12"/>
      <c r="HCV35" s="12"/>
      <c r="HCW35" s="13"/>
      <c r="HCX35" s="9"/>
      <c r="HCY35" s="9"/>
      <c r="HCZ35" s="9"/>
      <c r="HDA35" s="9"/>
      <c r="HDB35" s="10"/>
      <c r="HDC35" s="11"/>
      <c r="HDD35" s="12"/>
      <c r="HDE35" s="12"/>
      <c r="HDF35" s="12"/>
      <c r="HDG35" s="13"/>
      <c r="HDH35" s="9"/>
      <c r="HDI35" s="9"/>
      <c r="HDJ35" s="9"/>
      <c r="HDK35" s="9"/>
      <c r="HDL35" s="10"/>
      <c r="HDM35" s="11"/>
      <c r="HDN35" s="12"/>
      <c r="HDO35" s="12"/>
      <c r="HDP35" s="12"/>
      <c r="HDQ35" s="13"/>
      <c r="HDR35" s="9"/>
      <c r="HDS35" s="9"/>
      <c r="HDT35" s="9"/>
      <c r="HDU35" s="9"/>
      <c r="HDV35" s="10"/>
      <c r="HDW35" s="11"/>
      <c r="HDX35" s="12"/>
      <c r="HDY35" s="12"/>
      <c r="HDZ35" s="12"/>
      <c r="HEA35" s="13"/>
      <c r="HEB35" s="9"/>
      <c r="HEC35" s="9"/>
      <c r="HED35" s="9"/>
      <c r="HEE35" s="9"/>
      <c r="HEF35" s="10"/>
      <c r="HEG35" s="11"/>
      <c r="HEH35" s="12"/>
      <c r="HEI35" s="12"/>
      <c r="HEJ35" s="12"/>
      <c r="HEK35" s="13"/>
      <c r="HEL35" s="9"/>
      <c r="HEM35" s="9"/>
      <c r="HEN35" s="9"/>
      <c r="HEO35" s="9"/>
      <c r="HEP35" s="10"/>
      <c r="HEQ35" s="11"/>
      <c r="HER35" s="12"/>
      <c r="HES35" s="12"/>
      <c r="HET35" s="12"/>
      <c r="HEU35" s="13"/>
      <c r="HEV35" s="9"/>
      <c r="HEW35" s="9"/>
      <c r="HEX35" s="9"/>
      <c r="HEY35" s="9"/>
      <c r="HEZ35" s="10"/>
      <c r="HFA35" s="11"/>
      <c r="HFB35" s="12"/>
      <c r="HFC35" s="12"/>
      <c r="HFD35" s="12"/>
      <c r="HFE35" s="13"/>
      <c r="HFF35" s="9"/>
      <c r="HFG35" s="9"/>
      <c r="HFH35" s="9"/>
      <c r="HFI35" s="9"/>
      <c r="HFJ35" s="10"/>
      <c r="HFK35" s="11"/>
      <c r="HFL35" s="12"/>
      <c r="HFM35" s="12"/>
      <c r="HFN35" s="12"/>
      <c r="HFO35" s="13"/>
      <c r="HFP35" s="9"/>
      <c r="HFQ35" s="9"/>
      <c r="HFR35" s="9"/>
      <c r="HFS35" s="9"/>
      <c r="HFT35" s="10"/>
      <c r="HFU35" s="11"/>
      <c r="HFV35" s="12"/>
      <c r="HFW35" s="12"/>
      <c r="HFX35" s="12"/>
      <c r="HFY35" s="13"/>
      <c r="HFZ35" s="9"/>
      <c r="HGA35" s="9"/>
      <c r="HGB35" s="9"/>
      <c r="HGC35" s="9"/>
      <c r="HGD35" s="10"/>
      <c r="HGE35" s="11"/>
      <c r="HGF35" s="12"/>
      <c r="HGG35" s="12"/>
      <c r="HGH35" s="12"/>
      <c r="HGI35" s="13"/>
      <c r="HGJ35" s="9"/>
      <c r="HGK35" s="9"/>
      <c r="HGL35" s="9"/>
      <c r="HGM35" s="9"/>
      <c r="HGN35" s="10"/>
      <c r="HGO35" s="11"/>
      <c r="HGP35" s="12"/>
      <c r="HGQ35" s="12"/>
      <c r="HGR35" s="12"/>
      <c r="HGS35" s="13"/>
      <c r="HGT35" s="9"/>
      <c r="HGU35" s="9"/>
      <c r="HGV35" s="9"/>
      <c r="HGW35" s="9"/>
      <c r="HGX35" s="10"/>
      <c r="HGY35" s="11"/>
      <c r="HGZ35" s="12"/>
      <c r="HHA35" s="12"/>
      <c r="HHB35" s="12"/>
      <c r="HHC35" s="13"/>
      <c r="HHD35" s="9"/>
      <c r="HHE35" s="9"/>
      <c r="HHF35" s="9"/>
      <c r="HHG35" s="9"/>
      <c r="HHH35" s="10"/>
      <c r="HHI35" s="11"/>
      <c r="HHJ35" s="12"/>
      <c r="HHK35" s="12"/>
      <c r="HHL35" s="12"/>
      <c r="HHM35" s="13"/>
      <c r="HHN35" s="9"/>
      <c r="HHO35" s="9"/>
      <c r="HHP35" s="9"/>
      <c r="HHQ35" s="9"/>
      <c r="HHR35" s="10"/>
      <c r="HHS35" s="11"/>
      <c r="HHT35" s="12"/>
      <c r="HHU35" s="12"/>
      <c r="HHV35" s="12"/>
      <c r="HHW35" s="13"/>
      <c r="HHX35" s="9"/>
      <c r="HHY35" s="9"/>
      <c r="HHZ35" s="9"/>
      <c r="HIA35" s="9"/>
      <c r="HIB35" s="10"/>
      <c r="HIC35" s="11"/>
      <c r="HID35" s="12"/>
      <c r="HIE35" s="12"/>
      <c r="HIF35" s="12"/>
      <c r="HIG35" s="13"/>
      <c r="HIH35" s="9"/>
      <c r="HII35" s="9"/>
      <c r="HIJ35" s="9"/>
      <c r="HIK35" s="9"/>
      <c r="HIL35" s="10"/>
      <c r="HIM35" s="11"/>
      <c r="HIN35" s="12"/>
      <c r="HIO35" s="12"/>
      <c r="HIP35" s="12"/>
      <c r="HIQ35" s="13"/>
      <c r="HIR35" s="9"/>
      <c r="HIS35" s="9"/>
      <c r="HIT35" s="9"/>
      <c r="HIU35" s="9"/>
      <c r="HIV35" s="10"/>
      <c r="HIW35" s="11"/>
      <c r="HIX35" s="12"/>
      <c r="HIY35" s="12"/>
      <c r="HIZ35" s="12"/>
      <c r="HJA35" s="13"/>
      <c r="HJB35" s="9"/>
      <c r="HJC35" s="9"/>
      <c r="HJD35" s="9"/>
      <c r="HJE35" s="9"/>
      <c r="HJF35" s="10"/>
      <c r="HJG35" s="11"/>
      <c r="HJH35" s="12"/>
      <c r="HJI35" s="12"/>
      <c r="HJJ35" s="12"/>
      <c r="HJK35" s="13"/>
      <c r="HJL35" s="9"/>
      <c r="HJM35" s="9"/>
      <c r="HJN35" s="9"/>
      <c r="HJO35" s="9"/>
      <c r="HJP35" s="10"/>
      <c r="HJQ35" s="11"/>
      <c r="HJR35" s="12"/>
      <c r="HJS35" s="12"/>
      <c r="HJT35" s="12"/>
      <c r="HJU35" s="13"/>
      <c r="HJV35" s="9"/>
      <c r="HJW35" s="9"/>
      <c r="HJX35" s="9"/>
      <c r="HJY35" s="9"/>
      <c r="HJZ35" s="10"/>
      <c r="HKA35" s="11"/>
      <c r="HKB35" s="12"/>
      <c r="HKC35" s="12"/>
      <c r="HKD35" s="12"/>
      <c r="HKE35" s="13"/>
      <c r="HKF35" s="9"/>
      <c r="HKG35" s="9"/>
      <c r="HKH35" s="9"/>
      <c r="HKI35" s="9"/>
      <c r="HKJ35" s="10"/>
      <c r="HKK35" s="11"/>
      <c r="HKL35" s="12"/>
      <c r="HKM35" s="12"/>
      <c r="HKN35" s="12"/>
      <c r="HKO35" s="13"/>
      <c r="HKP35" s="9"/>
      <c r="HKQ35" s="9"/>
      <c r="HKR35" s="9"/>
      <c r="HKS35" s="9"/>
      <c r="HKT35" s="10"/>
      <c r="HKU35" s="11"/>
      <c r="HKV35" s="12"/>
      <c r="HKW35" s="12"/>
      <c r="HKX35" s="12"/>
      <c r="HKY35" s="13"/>
      <c r="HKZ35" s="9"/>
      <c r="HLA35" s="9"/>
      <c r="HLB35" s="9"/>
      <c r="HLC35" s="9"/>
      <c r="HLD35" s="10"/>
      <c r="HLE35" s="11"/>
      <c r="HLF35" s="12"/>
      <c r="HLG35" s="12"/>
      <c r="HLH35" s="12"/>
      <c r="HLI35" s="13"/>
      <c r="HLJ35" s="9"/>
      <c r="HLK35" s="9"/>
      <c r="HLL35" s="9"/>
      <c r="HLM35" s="9"/>
      <c r="HLN35" s="10"/>
      <c r="HLO35" s="11"/>
      <c r="HLP35" s="12"/>
      <c r="HLQ35" s="12"/>
      <c r="HLR35" s="12"/>
      <c r="HLS35" s="13"/>
      <c r="HLT35" s="9"/>
      <c r="HLU35" s="9"/>
      <c r="HLV35" s="9"/>
      <c r="HLW35" s="9"/>
      <c r="HLX35" s="10"/>
      <c r="HLY35" s="11"/>
      <c r="HLZ35" s="12"/>
      <c r="HMA35" s="12"/>
      <c r="HMB35" s="12"/>
      <c r="HMC35" s="13"/>
      <c r="HMD35" s="9"/>
      <c r="HME35" s="9"/>
      <c r="HMF35" s="9"/>
      <c r="HMG35" s="9"/>
      <c r="HMH35" s="10"/>
      <c r="HMI35" s="11"/>
      <c r="HMJ35" s="12"/>
      <c r="HMK35" s="12"/>
      <c r="HML35" s="12"/>
      <c r="HMM35" s="13"/>
      <c r="HMN35" s="9"/>
      <c r="HMO35" s="9"/>
      <c r="HMP35" s="9"/>
      <c r="HMQ35" s="9"/>
      <c r="HMR35" s="10"/>
      <c r="HMS35" s="11"/>
      <c r="HMT35" s="12"/>
      <c r="HMU35" s="12"/>
      <c r="HMV35" s="12"/>
      <c r="HMW35" s="13"/>
      <c r="HMX35" s="9"/>
      <c r="HMY35" s="9"/>
      <c r="HMZ35" s="9"/>
      <c r="HNA35" s="9"/>
      <c r="HNB35" s="10"/>
      <c r="HNC35" s="11"/>
      <c r="HND35" s="12"/>
      <c r="HNE35" s="12"/>
      <c r="HNF35" s="12"/>
      <c r="HNG35" s="13"/>
      <c r="HNH35" s="9"/>
      <c r="HNI35" s="9"/>
      <c r="HNJ35" s="9"/>
      <c r="HNK35" s="9"/>
      <c r="HNL35" s="10"/>
      <c r="HNM35" s="11"/>
      <c r="HNN35" s="12"/>
      <c r="HNO35" s="12"/>
      <c r="HNP35" s="12"/>
      <c r="HNQ35" s="13"/>
      <c r="HNR35" s="9"/>
      <c r="HNS35" s="9"/>
      <c r="HNT35" s="9"/>
      <c r="HNU35" s="9"/>
      <c r="HNV35" s="10"/>
      <c r="HNW35" s="11"/>
      <c r="HNX35" s="12"/>
      <c r="HNY35" s="12"/>
      <c r="HNZ35" s="12"/>
      <c r="HOA35" s="13"/>
      <c r="HOB35" s="9"/>
      <c r="HOC35" s="9"/>
      <c r="HOD35" s="9"/>
      <c r="HOE35" s="9"/>
      <c r="HOF35" s="10"/>
      <c r="HOG35" s="11"/>
      <c r="HOH35" s="12"/>
      <c r="HOI35" s="12"/>
      <c r="HOJ35" s="12"/>
      <c r="HOK35" s="13"/>
      <c r="HOL35" s="9"/>
      <c r="HOM35" s="9"/>
      <c r="HON35" s="9"/>
      <c r="HOO35" s="9"/>
      <c r="HOP35" s="10"/>
      <c r="HOQ35" s="11"/>
      <c r="HOR35" s="12"/>
      <c r="HOS35" s="12"/>
      <c r="HOT35" s="12"/>
      <c r="HOU35" s="13"/>
      <c r="HOV35" s="9"/>
      <c r="HOW35" s="9"/>
      <c r="HOX35" s="9"/>
      <c r="HOY35" s="9"/>
      <c r="HOZ35" s="10"/>
      <c r="HPA35" s="11"/>
      <c r="HPB35" s="12"/>
      <c r="HPC35" s="12"/>
      <c r="HPD35" s="12"/>
      <c r="HPE35" s="13"/>
      <c r="HPF35" s="9"/>
      <c r="HPG35" s="9"/>
      <c r="HPH35" s="9"/>
      <c r="HPI35" s="9"/>
      <c r="HPJ35" s="10"/>
      <c r="HPK35" s="11"/>
      <c r="HPL35" s="12"/>
      <c r="HPM35" s="12"/>
      <c r="HPN35" s="12"/>
      <c r="HPO35" s="13"/>
      <c r="HPP35" s="9"/>
      <c r="HPQ35" s="9"/>
      <c r="HPR35" s="9"/>
      <c r="HPS35" s="9"/>
      <c r="HPT35" s="10"/>
      <c r="HPU35" s="11"/>
      <c r="HPV35" s="12"/>
      <c r="HPW35" s="12"/>
      <c r="HPX35" s="12"/>
      <c r="HPY35" s="13"/>
      <c r="HPZ35" s="9"/>
      <c r="HQA35" s="9"/>
      <c r="HQB35" s="9"/>
      <c r="HQC35" s="9"/>
      <c r="HQD35" s="10"/>
      <c r="HQE35" s="11"/>
      <c r="HQF35" s="12"/>
      <c r="HQG35" s="12"/>
      <c r="HQH35" s="12"/>
      <c r="HQI35" s="13"/>
      <c r="HQJ35" s="9"/>
      <c r="HQK35" s="9"/>
      <c r="HQL35" s="9"/>
      <c r="HQM35" s="9"/>
      <c r="HQN35" s="10"/>
      <c r="HQO35" s="11"/>
      <c r="HQP35" s="12"/>
      <c r="HQQ35" s="12"/>
      <c r="HQR35" s="12"/>
      <c r="HQS35" s="13"/>
      <c r="HQT35" s="9"/>
      <c r="HQU35" s="9"/>
      <c r="HQV35" s="9"/>
      <c r="HQW35" s="9"/>
      <c r="HQX35" s="10"/>
      <c r="HQY35" s="11"/>
      <c r="HQZ35" s="12"/>
      <c r="HRA35" s="12"/>
      <c r="HRB35" s="12"/>
      <c r="HRC35" s="13"/>
      <c r="HRD35" s="9"/>
      <c r="HRE35" s="9"/>
      <c r="HRF35" s="9"/>
      <c r="HRG35" s="9"/>
      <c r="HRH35" s="10"/>
      <c r="HRI35" s="11"/>
      <c r="HRJ35" s="12"/>
      <c r="HRK35" s="12"/>
      <c r="HRL35" s="12"/>
      <c r="HRM35" s="13"/>
      <c r="HRN35" s="9"/>
      <c r="HRO35" s="9"/>
      <c r="HRP35" s="9"/>
      <c r="HRQ35" s="9"/>
      <c r="HRR35" s="10"/>
      <c r="HRS35" s="11"/>
      <c r="HRT35" s="12"/>
      <c r="HRU35" s="12"/>
      <c r="HRV35" s="12"/>
      <c r="HRW35" s="13"/>
      <c r="HRX35" s="9"/>
      <c r="HRY35" s="9"/>
      <c r="HRZ35" s="9"/>
      <c r="HSA35" s="9"/>
      <c r="HSB35" s="10"/>
      <c r="HSC35" s="11"/>
      <c r="HSD35" s="12"/>
      <c r="HSE35" s="12"/>
      <c r="HSF35" s="12"/>
      <c r="HSG35" s="13"/>
      <c r="HSH35" s="9"/>
      <c r="HSI35" s="9"/>
      <c r="HSJ35" s="9"/>
      <c r="HSK35" s="9"/>
      <c r="HSL35" s="10"/>
      <c r="HSM35" s="11"/>
      <c r="HSN35" s="12"/>
      <c r="HSO35" s="12"/>
      <c r="HSP35" s="12"/>
      <c r="HSQ35" s="13"/>
      <c r="HSR35" s="9"/>
      <c r="HSS35" s="9"/>
      <c r="HST35" s="9"/>
      <c r="HSU35" s="9"/>
      <c r="HSV35" s="10"/>
      <c r="HSW35" s="11"/>
      <c r="HSX35" s="12"/>
      <c r="HSY35" s="12"/>
      <c r="HSZ35" s="12"/>
      <c r="HTA35" s="13"/>
      <c r="HTB35" s="9"/>
      <c r="HTC35" s="9"/>
      <c r="HTD35" s="9"/>
      <c r="HTE35" s="9"/>
      <c r="HTF35" s="10"/>
      <c r="HTG35" s="11"/>
      <c r="HTH35" s="12"/>
      <c r="HTI35" s="12"/>
      <c r="HTJ35" s="12"/>
      <c r="HTK35" s="13"/>
      <c r="HTL35" s="9"/>
      <c r="HTM35" s="9"/>
      <c r="HTN35" s="9"/>
      <c r="HTO35" s="9"/>
      <c r="HTP35" s="10"/>
      <c r="HTQ35" s="11"/>
      <c r="HTR35" s="12"/>
      <c r="HTS35" s="12"/>
      <c r="HTT35" s="12"/>
      <c r="HTU35" s="13"/>
      <c r="HTV35" s="9"/>
      <c r="HTW35" s="9"/>
      <c r="HTX35" s="9"/>
      <c r="HTY35" s="9"/>
      <c r="HTZ35" s="10"/>
      <c r="HUA35" s="11"/>
      <c r="HUB35" s="12"/>
      <c r="HUC35" s="12"/>
      <c r="HUD35" s="12"/>
      <c r="HUE35" s="13"/>
      <c r="HUF35" s="9"/>
      <c r="HUG35" s="9"/>
      <c r="HUH35" s="9"/>
      <c r="HUI35" s="9"/>
      <c r="HUJ35" s="10"/>
      <c r="HUK35" s="11"/>
      <c r="HUL35" s="12"/>
      <c r="HUM35" s="12"/>
      <c r="HUN35" s="12"/>
      <c r="HUO35" s="13"/>
      <c r="HUP35" s="9"/>
      <c r="HUQ35" s="9"/>
      <c r="HUR35" s="9"/>
      <c r="HUS35" s="9"/>
      <c r="HUT35" s="10"/>
      <c r="HUU35" s="11"/>
      <c r="HUV35" s="12"/>
      <c r="HUW35" s="12"/>
      <c r="HUX35" s="12"/>
      <c r="HUY35" s="13"/>
      <c r="HUZ35" s="9"/>
      <c r="HVA35" s="9"/>
      <c r="HVB35" s="9"/>
      <c r="HVC35" s="9"/>
      <c r="HVD35" s="10"/>
      <c r="HVE35" s="11"/>
      <c r="HVF35" s="12"/>
      <c r="HVG35" s="12"/>
      <c r="HVH35" s="12"/>
      <c r="HVI35" s="13"/>
      <c r="HVJ35" s="9"/>
      <c r="HVK35" s="9"/>
      <c r="HVL35" s="9"/>
      <c r="HVM35" s="9"/>
      <c r="HVN35" s="10"/>
      <c r="HVO35" s="11"/>
      <c r="HVP35" s="12"/>
      <c r="HVQ35" s="12"/>
      <c r="HVR35" s="12"/>
      <c r="HVS35" s="13"/>
      <c r="HVT35" s="9"/>
      <c r="HVU35" s="9"/>
      <c r="HVV35" s="9"/>
      <c r="HVW35" s="9"/>
      <c r="HVX35" s="10"/>
      <c r="HVY35" s="11"/>
      <c r="HVZ35" s="12"/>
      <c r="HWA35" s="12"/>
      <c r="HWB35" s="12"/>
      <c r="HWC35" s="13"/>
      <c r="HWD35" s="9"/>
      <c r="HWE35" s="9"/>
      <c r="HWF35" s="9"/>
      <c r="HWG35" s="9"/>
      <c r="HWH35" s="10"/>
      <c r="HWI35" s="11"/>
      <c r="HWJ35" s="12"/>
      <c r="HWK35" s="12"/>
      <c r="HWL35" s="12"/>
      <c r="HWM35" s="13"/>
      <c r="HWN35" s="9"/>
      <c r="HWO35" s="9"/>
      <c r="HWP35" s="9"/>
      <c r="HWQ35" s="9"/>
      <c r="HWR35" s="10"/>
      <c r="HWS35" s="11"/>
      <c r="HWT35" s="12"/>
      <c r="HWU35" s="12"/>
      <c r="HWV35" s="12"/>
      <c r="HWW35" s="13"/>
      <c r="HWX35" s="9"/>
      <c r="HWY35" s="9"/>
      <c r="HWZ35" s="9"/>
      <c r="HXA35" s="9"/>
      <c r="HXB35" s="10"/>
      <c r="HXC35" s="11"/>
      <c r="HXD35" s="12"/>
      <c r="HXE35" s="12"/>
      <c r="HXF35" s="12"/>
      <c r="HXG35" s="13"/>
      <c r="HXH35" s="9"/>
      <c r="HXI35" s="9"/>
      <c r="HXJ35" s="9"/>
      <c r="HXK35" s="9"/>
      <c r="HXL35" s="10"/>
      <c r="HXM35" s="11"/>
      <c r="HXN35" s="12"/>
      <c r="HXO35" s="12"/>
      <c r="HXP35" s="12"/>
      <c r="HXQ35" s="13"/>
      <c r="HXR35" s="9"/>
      <c r="HXS35" s="9"/>
      <c r="HXT35" s="9"/>
      <c r="HXU35" s="9"/>
      <c r="HXV35" s="10"/>
      <c r="HXW35" s="11"/>
      <c r="HXX35" s="12"/>
      <c r="HXY35" s="12"/>
      <c r="HXZ35" s="12"/>
      <c r="HYA35" s="13"/>
      <c r="HYB35" s="9"/>
      <c r="HYC35" s="9"/>
      <c r="HYD35" s="9"/>
      <c r="HYE35" s="9"/>
      <c r="HYF35" s="10"/>
      <c r="HYG35" s="11"/>
      <c r="HYH35" s="12"/>
      <c r="HYI35" s="12"/>
      <c r="HYJ35" s="12"/>
      <c r="HYK35" s="13"/>
      <c r="HYL35" s="9"/>
      <c r="HYM35" s="9"/>
      <c r="HYN35" s="9"/>
      <c r="HYO35" s="9"/>
      <c r="HYP35" s="10"/>
      <c r="HYQ35" s="11"/>
      <c r="HYR35" s="12"/>
      <c r="HYS35" s="12"/>
      <c r="HYT35" s="12"/>
      <c r="HYU35" s="13"/>
      <c r="HYV35" s="9"/>
      <c r="HYW35" s="9"/>
      <c r="HYX35" s="9"/>
      <c r="HYY35" s="9"/>
      <c r="HYZ35" s="10"/>
      <c r="HZA35" s="11"/>
      <c r="HZB35" s="12"/>
      <c r="HZC35" s="12"/>
      <c r="HZD35" s="12"/>
      <c r="HZE35" s="13"/>
      <c r="HZF35" s="9"/>
      <c r="HZG35" s="9"/>
      <c r="HZH35" s="9"/>
      <c r="HZI35" s="9"/>
      <c r="HZJ35" s="10"/>
      <c r="HZK35" s="11"/>
      <c r="HZL35" s="12"/>
      <c r="HZM35" s="12"/>
      <c r="HZN35" s="12"/>
      <c r="HZO35" s="13"/>
      <c r="HZP35" s="9"/>
      <c r="HZQ35" s="9"/>
      <c r="HZR35" s="9"/>
      <c r="HZS35" s="9"/>
      <c r="HZT35" s="10"/>
      <c r="HZU35" s="11"/>
      <c r="HZV35" s="12"/>
      <c r="HZW35" s="12"/>
      <c r="HZX35" s="12"/>
      <c r="HZY35" s="13"/>
      <c r="HZZ35" s="9"/>
      <c r="IAA35" s="9"/>
      <c r="IAB35" s="9"/>
      <c r="IAC35" s="9"/>
      <c r="IAD35" s="10"/>
      <c r="IAE35" s="11"/>
      <c r="IAF35" s="12"/>
      <c r="IAG35" s="12"/>
      <c r="IAH35" s="12"/>
      <c r="IAI35" s="13"/>
      <c r="IAJ35" s="9"/>
      <c r="IAK35" s="9"/>
      <c r="IAL35" s="9"/>
      <c r="IAM35" s="9"/>
      <c r="IAN35" s="10"/>
      <c r="IAO35" s="11"/>
      <c r="IAP35" s="12"/>
      <c r="IAQ35" s="12"/>
      <c r="IAR35" s="12"/>
      <c r="IAS35" s="13"/>
      <c r="IAT35" s="9"/>
      <c r="IAU35" s="9"/>
      <c r="IAV35" s="9"/>
      <c r="IAW35" s="9"/>
      <c r="IAX35" s="10"/>
      <c r="IAY35" s="11"/>
      <c r="IAZ35" s="12"/>
      <c r="IBA35" s="12"/>
      <c r="IBB35" s="12"/>
      <c r="IBC35" s="13"/>
      <c r="IBD35" s="9"/>
      <c r="IBE35" s="9"/>
      <c r="IBF35" s="9"/>
      <c r="IBG35" s="9"/>
      <c r="IBH35" s="10"/>
      <c r="IBI35" s="11"/>
      <c r="IBJ35" s="12"/>
      <c r="IBK35" s="12"/>
      <c r="IBL35" s="12"/>
      <c r="IBM35" s="13"/>
      <c r="IBN35" s="9"/>
      <c r="IBO35" s="9"/>
      <c r="IBP35" s="9"/>
      <c r="IBQ35" s="9"/>
      <c r="IBR35" s="10"/>
      <c r="IBS35" s="11"/>
      <c r="IBT35" s="12"/>
      <c r="IBU35" s="12"/>
      <c r="IBV35" s="12"/>
      <c r="IBW35" s="13"/>
      <c r="IBX35" s="9"/>
      <c r="IBY35" s="9"/>
      <c r="IBZ35" s="9"/>
      <c r="ICA35" s="9"/>
      <c r="ICB35" s="10"/>
      <c r="ICC35" s="11"/>
      <c r="ICD35" s="12"/>
      <c r="ICE35" s="12"/>
      <c r="ICF35" s="12"/>
      <c r="ICG35" s="13"/>
      <c r="ICH35" s="9"/>
      <c r="ICI35" s="9"/>
      <c r="ICJ35" s="9"/>
      <c r="ICK35" s="9"/>
      <c r="ICL35" s="10"/>
      <c r="ICM35" s="11"/>
      <c r="ICN35" s="12"/>
      <c r="ICO35" s="12"/>
      <c r="ICP35" s="12"/>
      <c r="ICQ35" s="13"/>
      <c r="ICR35" s="9"/>
      <c r="ICS35" s="9"/>
      <c r="ICT35" s="9"/>
      <c r="ICU35" s="9"/>
      <c r="ICV35" s="10"/>
      <c r="ICW35" s="11"/>
      <c r="ICX35" s="12"/>
      <c r="ICY35" s="12"/>
      <c r="ICZ35" s="12"/>
      <c r="IDA35" s="13"/>
      <c r="IDB35" s="9"/>
      <c r="IDC35" s="9"/>
      <c r="IDD35" s="9"/>
      <c r="IDE35" s="9"/>
      <c r="IDF35" s="10"/>
      <c r="IDG35" s="11"/>
      <c r="IDH35" s="12"/>
      <c r="IDI35" s="12"/>
      <c r="IDJ35" s="12"/>
      <c r="IDK35" s="13"/>
      <c r="IDL35" s="9"/>
      <c r="IDM35" s="9"/>
      <c r="IDN35" s="9"/>
      <c r="IDO35" s="9"/>
      <c r="IDP35" s="10"/>
      <c r="IDQ35" s="11"/>
      <c r="IDR35" s="12"/>
      <c r="IDS35" s="12"/>
      <c r="IDT35" s="12"/>
      <c r="IDU35" s="13"/>
      <c r="IDV35" s="9"/>
      <c r="IDW35" s="9"/>
      <c r="IDX35" s="9"/>
      <c r="IDY35" s="9"/>
      <c r="IDZ35" s="10"/>
      <c r="IEA35" s="11"/>
      <c r="IEB35" s="12"/>
      <c r="IEC35" s="12"/>
      <c r="IED35" s="12"/>
      <c r="IEE35" s="13"/>
      <c r="IEF35" s="9"/>
      <c r="IEG35" s="9"/>
      <c r="IEH35" s="9"/>
      <c r="IEI35" s="9"/>
      <c r="IEJ35" s="10"/>
      <c r="IEK35" s="11"/>
      <c r="IEL35" s="12"/>
      <c r="IEM35" s="12"/>
      <c r="IEN35" s="12"/>
      <c r="IEO35" s="13"/>
      <c r="IEP35" s="9"/>
      <c r="IEQ35" s="9"/>
      <c r="IER35" s="9"/>
      <c r="IES35" s="9"/>
      <c r="IET35" s="10"/>
      <c r="IEU35" s="11"/>
      <c r="IEV35" s="12"/>
      <c r="IEW35" s="12"/>
      <c r="IEX35" s="12"/>
      <c r="IEY35" s="13"/>
      <c r="IEZ35" s="9"/>
      <c r="IFA35" s="9"/>
      <c r="IFB35" s="9"/>
      <c r="IFC35" s="9"/>
      <c r="IFD35" s="10"/>
      <c r="IFE35" s="11"/>
      <c r="IFF35" s="12"/>
      <c r="IFG35" s="12"/>
      <c r="IFH35" s="12"/>
      <c r="IFI35" s="13"/>
      <c r="IFJ35" s="9"/>
      <c r="IFK35" s="9"/>
      <c r="IFL35" s="9"/>
      <c r="IFM35" s="9"/>
      <c r="IFN35" s="10"/>
      <c r="IFO35" s="11"/>
      <c r="IFP35" s="12"/>
      <c r="IFQ35" s="12"/>
      <c r="IFR35" s="12"/>
      <c r="IFS35" s="13"/>
      <c r="IFT35" s="9"/>
      <c r="IFU35" s="9"/>
      <c r="IFV35" s="9"/>
      <c r="IFW35" s="9"/>
      <c r="IFX35" s="10"/>
      <c r="IFY35" s="11"/>
      <c r="IFZ35" s="12"/>
      <c r="IGA35" s="12"/>
      <c r="IGB35" s="12"/>
      <c r="IGC35" s="13"/>
      <c r="IGD35" s="9"/>
      <c r="IGE35" s="9"/>
      <c r="IGF35" s="9"/>
      <c r="IGG35" s="9"/>
      <c r="IGH35" s="10"/>
      <c r="IGI35" s="11"/>
      <c r="IGJ35" s="12"/>
      <c r="IGK35" s="12"/>
      <c r="IGL35" s="12"/>
      <c r="IGM35" s="13"/>
      <c r="IGN35" s="9"/>
      <c r="IGO35" s="9"/>
      <c r="IGP35" s="9"/>
      <c r="IGQ35" s="9"/>
      <c r="IGR35" s="10"/>
      <c r="IGS35" s="11"/>
      <c r="IGT35" s="12"/>
      <c r="IGU35" s="12"/>
      <c r="IGV35" s="12"/>
      <c r="IGW35" s="13"/>
      <c r="IGX35" s="9"/>
      <c r="IGY35" s="9"/>
      <c r="IGZ35" s="9"/>
      <c r="IHA35" s="9"/>
      <c r="IHB35" s="10"/>
      <c r="IHC35" s="11"/>
      <c r="IHD35" s="12"/>
      <c r="IHE35" s="12"/>
      <c r="IHF35" s="12"/>
      <c r="IHG35" s="13"/>
      <c r="IHH35" s="9"/>
      <c r="IHI35" s="9"/>
      <c r="IHJ35" s="9"/>
      <c r="IHK35" s="9"/>
      <c r="IHL35" s="10"/>
      <c r="IHM35" s="11"/>
      <c r="IHN35" s="12"/>
      <c r="IHO35" s="12"/>
      <c r="IHP35" s="12"/>
      <c r="IHQ35" s="13"/>
      <c r="IHR35" s="9"/>
      <c r="IHS35" s="9"/>
      <c r="IHT35" s="9"/>
      <c r="IHU35" s="9"/>
      <c r="IHV35" s="10"/>
      <c r="IHW35" s="11"/>
      <c r="IHX35" s="12"/>
      <c r="IHY35" s="12"/>
      <c r="IHZ35" s="12"/>
      <c r="IIA35" s="13"/>
      <c r="IIB35" s="9"/>
      <c r="IIC35" s="9"/>
      <c r="IID35" s="9"/>
      <c r="IIE35" s="9"/>
      <c r="IIF35" s="10"/>
      <c r="IIG35" s="11"/>
      <c r="IIH35" s="12"/>
      <c r="III35" s="12"/>
      <c r="IIJ35" s="12"/>
      <c r="IIK35" s="13"/>
      <c r="IIL35" s="9"/>
      <c r="IIM35" s="9"/>
      <c r="IIN35" s="9"/>
      <c r="IIO35" s="9"/>
      <c r="IIP35" s="10"/>
      <c r="IIQ35" s="11"/>
      <c r="IIR35" s="12"/>
      <c r="IIS35" s="12"/>
      <c r="IIT35" s="12"/>
      <c r="IIU35" s="13"/>
      <c r="IIV35" s="9"/>
      <c r="IIW35" s="9"/>
      <c r="IIX35" s="9"/>
      <c r="IIY35" s="9"/>
      <c r="IIZ35" s="10"/>
      <c r="IJA35" s="11"/>
      <c r="IJB35" s="12"/>
      <c r="IJC35" s="12"/>
      <c r="IJD35" s="12"/>
      <c r="IJE35" s="13"/>
      <c r="IJF35" s="9"/>
      <c r="IJG35" s="9"/>
      <c r="IJH35" s="9"/>
      <c r="IJI35" s="9"/>
      <c r="IJJ35" s="10"/>
      <c r="IJK35" s="11"/>
      <c r="IJL35" s="12"/>
      <c r="IJM35" s="12"/>
      <c r="IJN35" s="12"/>
      <c r="IJO35" s="13"/>
      <c r="IJP35" s="9"/>
      <c r="IJQ35" s="9"/>
      <c r="IJR35" s="9"/>
      <c r="IJS35" s="9"/>
      <c r="IJT35" s="10"/>
      <c r="IJU35" s="11"/>
      <c r="IJV35" s="12"/>
      <c r="IJW35" s="12"/>
      <c r="IJX35" s="12"/>
      <c r="IJY35" s="13"/>
      <c r="IJZ35" s="9"/>
      <c r="IKA35" s="9"/>
      <c r="IKB35" s="9"/>
      <c r="IKC35" s="9"/>
      <c r="IKD35" s="10"/>
      <c r="IKE35" s="11"/>
      <c r="IKF35" s="12"/>
      <c r="IKG35" s="12"/>
      <c r="IKH35" s="12"/>
      <c r="IKI35" s="13"/>
      <c r="IKJ35" s="9"/>
      <c r="IKK35" s="9"/>
      <c r="IKL35" s="9"/>
      <c r="IKM35" s="9"/>
      <c r="IKN35" s="10"/>
      <c r="IKO35" s="11"/>
      <c r="IKP35" s="12"/>
      <c r="IKQ35" s="12"/>
      <c r="IKR35" s="12"/>
      <c r="IKS35" s="13"/>
      <c r="IKT35" s="9"/>
      <c r="IKU35" s="9"/>
      <c r="IKV35" s="9"/>
      <c r="IKW35" s="9"/>
      <c r="IKX35" s="10"/>
      <c r="IKY35" s="11"/>
      <c r="IKZ35" s="12"/>
      <c r="ILA35" s="12"/>
      <c r="ILB35" s="12"/>
      <c r="ILC35" s="13"/>
      <c r="ILD35" s="9"/>
      <c r="ILE35" s="9"/>
      <c r="ILF35" s="9"/>
      <c r="ILG35" s="9"/>
      <c r="ILH35" s="10"/>
      <c r="ILI35" s="11"/>
      <c r="ILJ35" s="12"/>
      <c r="ILK35" s="12"/>
      <c r="ILL35" s="12"/>
      <c r="ILM35" s="13"/>
      <c r="ILN35" s="9"/>
      <c r="ILO35" s="9"/>
      <c r="ILP35" s="9"/>
      <c r="ILQ35" s="9"/>
      <c r="ILR35" s="10"/>
      <c r="ILS35" s="11"/>
      <c r="ILT35" s="12"/>
      <c r="ILU35" s="12"/>
      <c r="ILV35" s="12"/>
      <c r="ILW35" s="13"/>
      <c r="ILX35" s="9"/>
      <c r="ILY35" s="9"/>
      <c r="ILZ35" s="9"/>
      <c r="IMA35" s="9"/>
      <c r="IMB35" s="10"/>
      <c r="IMC35" s="11"/>
      <c r="IMD35" s="12"/>
      <c r="IME35" s="12"/>
      <c r="IMF35" s="12"/>
      <c r="IMG35" s="13"/>
      <c r="IMH35" s="9"/>
      <c r="IMI35" s="9"/>
      <c r="IMJ35" s="9"/>
      <c r="IMK35" s="9"/>
      <c r="IML35" s="10"/>
      <c r="IMM35" s="11"/>
      <c r="IMN35" s="12"/>
      <c r="IMO35" s="12"/>
      <c r="IMP35" s="12"/>
      <c r="IMQ35" s="13"/>
      <c r="IMR35" s="9"/>
      <c r="IMS35" s="9"/>
      <c r="IMT35" s="9"/>
      <c r="IMU35" s="9"/>
      <c r="IMV35" s="10"/>
      <c r="IMW35" s="11"/>
      <c r="IMX35" s="12"/>
      <c r="IMY35" s="12"/>
      <c r="IMZ35" s="12"/>
      <c r="INA35" s="13"/>
      <c r="INB35" s="9"/>
      <c r="INC35" s="9"/>
      <c r="IND35" s="9"/>
      <c r="INE35" s="9"/>
      <c r="INF35" s="10"/>
      <c r="ING35" s="11"/>
      <c r="INH35" s="12"/>
      <c r="INI35" s="12"/>
      <c r="INJ35" s="12"/>
      <c r="INK35" s="13"/>
      <c r="INL35" s="9"/>
      <c r="INM35" s="9"/>
      <c r="INN35" s="9"/>
      <c r="INO35" s="9"/>
      <c r="INP35" s="10"/>
      <c r="INQ35" s="11"/>
      <c r="INR35" s="12"/>
      <c r="INS35" s="12"/>
      <c r="INT35" s="12"/>
      <c r="INU35" s="13"/>
      <c r="INV35" s="9"/>
      <c r="INW35" s="9"/>
      <c r="INX35" s="9"/>
      <c r="INY35" s="9"/>
      <c r="INZ35" s="10"/>
      <c r="IOA35" s="11"/>
      <c r="IOB35" s="12"/>
      <c r="IOC35" s="12"/>
      <c r="IOD35" s="12"/>
      <c r="IOE35" s="13"/>
      <c r="IOF35" s="9"/>
      <c r="IOG35" s="9"/>
      <c r="IOH35" s="9"/>
      <c r="IOI35" s="9"/>
      <c r="IOJ35" s="10"/>
      <c r="IOK35" s="11"/>
      <c r="IOL35" s="12"/>
      <c r="IOM35" s="12"/>
      <c r="ION35" s="12"/>
      <c r="IOO35" s="13"/>
      <c r="IOP35" s="9"/>
      <c r="IOQ35" s="9"/>
      <c r="IOR35" s="9"/>
      <c r="IOS35" s="9"/>
      <c r="IOT35" s="10"/>
      <c r="IOU35" s="11"/>
      <c r="IOV35" s="12"/>
      <c r="IOW35" s="12"/>
      <c r="IOX35" s="12"/>
      <c r="IOY35" s="13"/>
      <c r="IOZ35" s="9"/>
      <c r="IPA35" s="9"/>
      <c r="IPB35" s="9"/>
      <c r="IPC35" s="9"/>
      <c r="IPD35" s="10"/>
      <c r="IPE35" s="11"/>
      <c r="IPF35" s="12"/>
      <c r="IPG35" s="12"/>
      <c r="IPH35" s="12"/>
      <c r="IPI35" s="13"/>
      <c r="IPJ35" s="9"/>
      <c r="IPK35" s="9"/>
      <c r="IPL35" s="9"/>
      <c r="IPM35" s="9"/>
      <c r="IPN35" s="10"/>
      <c r="IPO35" s="11"/>
      <c r="IPP35" s="12"/>
      <c r="IPQ35" s="12"/>
      <c r="IPR35" s="12"/>
      <c r="IPS35" s="13"/>
      <c r="IPT35" s="9"/>
      <c r="IPU35" s="9"/>
      <c r="IPV35" s="9"/>
      <c r="IPW35" s="9"/>
      <c r="IPX35" s="10"/>
      <c r="IPY35" s="11"/>
      <c r="IPZ35" s="12"/>
      <c r="IQA35" s="12"/>
      <c r="IQB35" s="12"/>
      <c r="IQC35" s="13"/>
      <c r="IQD35" s="9"/>
      <c r="IQE35" s="9"/>
      <c r="IQF35" s="9"/>
      <c r="IQG35" s="9"/>
      <c r="IQH35" s="10"/>
      <c r="IQI35" s="11"/>
      <c r="IQJ35" s="12"/>
      <c r="IQK35" s="12"/>
      <c r="IQL35" s="12"/>
      <c r="IQM35" s="13"/>
      <c r="IQN35" s="9"/>
      <c r="IQO35" s="9"/>
      <c r="IQP35" s="9"/>
      <c r="IQQ35" s="9"/>
      <c r="IQR35" s="10"/>
      <c r="IQS35" s="11"/>
      <c r="IQT35" s="12"/>
      <c r="IQU35" s="12"/>
      <c r="IQV35" s="12"/>
      <c r="IQW35" s="13"/>
      <c r="IQX35" s="9"/>
      <c r="IQY35" s="9"/>
      <c r="IQZ35" s="9"/>
      <c r="IRA35" s="9"/>
      <c r="IRB35" s="10"/>
      <c r="IRC35" s="11"/>
      <c r="IRD35" s="12"/>
      <c r="IRE35" s="12"/>
      <c r="IRF35" s="12"/>
      <c r="IRG35" s="13"/>
      <c r="IRH35" s="9"/>
      <c r="IRI35" s="9"/>
      <c r="IRJ35" s="9"/>
      <c r="IRK35" s="9"/>
      <c r="IRL35" s="10"/>
      <c r="IRM35" s="11"/>
      <c r="IRN35" s="12"/>
      <c r="IRO35" s="12"/>
      <c r="IRP35" s="12"/>
      <c r="IRQ35" s="13"/>
      <c r="IRR35" s="9"/>
      <c r="IRS35" s="9"/>
      <c r="IRT35" s="9"/>
      <c r="IRU35" s="9"/>
      <c r="IRV35" s="10"/>
      <c r="IRW35" s="11"/>
      <c r="IRX35" s="12"/>
      <c r="IRY35" s="12"/>
      <c r="IRZ35" s="12"/>
      <c r="ISA35" s="13"/>
      <c r="ISB35" s="9"/>
      <c r="ISC35" s="9"/>
      <c r="ISD35" s="9"/>
      <c r="ISE35" s="9"/>
      <c r="ISF35" s="10"/>
      <c r="ISG35" s="11"/>
      <c r="ISH35" s="12"/>
      <c r="ISI35" s="12"/>
      <c r="ISJ35" s="12"/>
      <c r="ISK35" s="13"/>
      <c r="ISL35" s="9"/>
      <c r="ISM35" s="9"/>
      <c r="ISN35" s="9"/>
      <c r="ISO35" s="9"/>
      <c r="ISP35" s="10"/>
      <c r="ISQ35" s="11"/>
      <c r="ISR35" s="12"/>
      <c r="ISS35" s="12"/>
      <c r="IST35" s="12"/>
      <c r="ISU35" s="13"/>
      <c r="ISV35" s="9"/>
      <c r="ISW35" s="9"/>
      <c r="ISX35" s="9"/>
      <c r="ISY35" s="9"/>
      <c r="ISZ35" s="10"/>
      <c r="ITA35" s="11"/>
      <c r="ITB35" s="12"/>
      <c r="ITC35" s="12"/>
      <c r="ITD35" s="12"/>
      <c r="ITE35" s="13"/>
      <c r="ITF35" s="9"/>
      <c r="ITG35" s="9"/>
      <c r="ITH35" s="9"/>
      <c r="ITI35" s="9"/>
      <c r="ITJ35" s="10"/>
      <c r="ITK35" s="11"/>
      <c r="ITL35" s="12"/>
      <c r="ITM35" s="12"/>
      <c r="ITN35" s="12"/>
      <c r="ITO35" s="13"/>
      <c r="ITP35" s="9"/>
      <c r="ITQ35" s="9"/>
      <c r="ITR35" s="9"/>
      <c r="ITS35" s="9"/>
      <c r="ITT35" s="10"/>
      <c r="ITU35" s="11"/>
      <c r="ITV35" s="12"/>
      <c r="ITW35" s="12"/>
      <c r="ITX35" s="12"/>
      <c r="ITY35" s="13"/>
      <c r="ITZ35" s="9"/>
      <c r="IUA35" s="9"/>
      <c r="IUB35" s="9"/>
      <c r="IUC35" s="9"/>
      <c r="IUD35" s="10"/>
      <c r="IUE35" s="11"/>
      <c r="IUF35" s="12"/>
      <c r="IUG35" s="12"/>
      <c r="IUH35" s="12"/>
      <c r="IUI35" s="13"/>
      <c r="IUJ35" s="9"/>
      <c r="IUK35" s="9"/>
      <c r="IUL35" s="9"/>
      <c r="IUM35" s="9"/>
      <c r="IUN35" s="10"/>
      <c r="IUO35" s="11"/>
      <c r="IUP35" s="12"/>
      <c r="IUQ35" s="12"/>
      <c r="IUR35" s="12"/>
      <c r="IUS35" s="13"/>
      <c r="IUT35" s="9"/>
      <c r="IUU35" s="9"/>
      <c r="IUV35" s="9"/>
      <c r="IUW35" s="9"/>
      <c r="IUX35" s="10"/>
      <c r="IUY35" s="11"/>
      <c r="IUZ35" s="12"/>
      <c r="IVA35" s="12"/>
      <c r="IVB35" s="12"/>
      <c r="IVC35" s="13"/>
      <c r="IVD35" s="9"/>
      <c r="IVE35" s="9"/>
      <c r="IVF35" s="9"/>
      <c r="IVG35" s="9"/>
      <c r="IVH35" s="10"/>
      <c r="IVI35" s="11"/>
      <c r="IVJ35" s="12"/>
      <c r="IVK35" s="12"/>
      <c r="IVL35" s="12"/>
      <c r="IVM35" s="13"/>
      <c r="IVN35" s="9"/>
      <c r="IVO35" s="9"/>
      <c r="IVP35" s="9"/>
      <c r="IVQ35" s="9"/>
      <c r="IVR35" s="10"/>
      <c r="IVS35" s="11"/>
      <c r="IVT35" s="12"/>
      <c r="IVU35" s="12"/>
      <c r="IVV35" s="12"/>
      <c r="IVW35" s="13"/>
      <c r="IVX35" s="9"/>
      <c r="IVY35" s="9"/>
      <c r="IVZ35" s="9"/>
      <c r="IWA35" s="9"/>
      <c r="IWB35" s="10"/>
      <c r="IWC35" s="11"/>
      <c r="IWD35" s="12"/>
      <c r="IWE35" s="12"/>
      <c r="IWF35" s="12"/>
      <c r="IWG35" s="13"/>
      <c r="IWH35" s="9"/>
      <c r="IWI35" s="9"/>
      <c r="IWJ35" s="9"/>
      <c r="IWK35" s="9"/>
      <c r="IWL35" s="10"/>
      <c r="IWM35" s="11"/>
      <c r="IWN35" s="12"/>
      <c r="IWO35" s="12"/>
      <c r="IWP35" s="12"/>
      <c r="IWQ35" s="13"/>
      <c r="IWR35" s="9"/>
      <c r="IWS35" s="9"/>
      <c r="IWT35" s="9"/>
      <c r="IWU35" s="9"/>
      <c r="IWV35" s="10"/>
      <c r="IWW35" s="11"/>
      <c r="IWX35" s="12"/>
      <c r="IWY35" s="12"/>
      <c r="IWZ35" s="12"/>
      <c r="IXA35" s="13"/>
      <c r="IXB35" s="9"/>
      <c r="IXC35" s="9"/>
      <c r="IXD35" s="9"/>
      <c r="IXE35" s="9"/>
      <c r="IXF35" s="10"/>
      <c r="IXG35" s="11"/>
      <c r="IXH35" s="12"/>
      <c r="IXI35" s="12"/>
      <c r="IXJ35" s="12"/>
      <c r="IXK35" s="13"/>
      <c r="IXL35" s="9"/>
      <c r="IXM35" s="9"/>
      <c r="IXN35" s="9"/>
      <c r="IXO35" s="9"/>
      <c r="IXP35" s="10"/>
      <c r="IXQ35" s="11"/>
      <c r="IXR35" s="12"/>
      <c r="IXS35" s="12"/>
      <c r="IXT35" s="12"/>
      <c r="IXU35" s="13"/>
      <c r="IXV35" s="9"/>
      <c r="IXW35" s="9"/>
      <c r="IXX35" s="9"/>
      <c r="IXY35" s="9"/>
      <c r="IXZ35" s="10"/>
      <c r="IYA35" s="11"/>
      <c r="IYB35" s="12"/>
      <c r="IYC35" s="12"/>
      <c r="IYD35" s="12"/>
      <c r="IYE35" s="13"/>
      <c r="IYF35" s="9"/>
      <c r="IYG35" s="9"/>
      <c r="IYH35" s="9"/>
      <c r="IYI35" s="9"/>
      <c r="IYJ35" s="10"/>
      <c r="IYK35" s="11"/>
      <c r="IYL35" s="12"/>
      <c r="IYM35" s="12"/>
      <c r="IYN35" s="12"/>
      <c r="IYO35" s="13"/>
      <c r="IYP35" s="9"/>
      <c r="IYQ35" s="9"/>
      <c r="IYR35" s="9"/>
      <c r="IYS35" s="9"/>
      <c r="IYT35" s="10"/>
      <c r="IYU35" s="11"/>
      <c r="IYV35" s="12"/>
      <c r="IYW35" s="12"/>
      <c r="IYX35" s="12"/>
      <c r="IYY35" s="13"/>
      <c r="IYZ35" s="9"/>
      <c r="IZA35" s="9"/>
      <c r="IZB35" s="9"/>
      <c r="IZC35" s="9"/>
      <c r="IZD35" s="10"/>
      <c r="IZE35" s="11"/>
      <c r="IZF35" s="12"/>
      <c r="IZG35" s="12"/>
      <c r="IZH35" s="12"/>
      <c r="IZI35" s="13"/>
      <c r="IZJ35" s="9"/>
      <c r="IZK35" s="9"/>
      <c r="IZL35" s="9"/>
      <c r="IZM35" s="9"/>
      <c r="IZN35" s="10"/>
      <c r="IZO35" s="11"/>
      <c r="IZP35" s="12"/>
      <c r="IZQ35" s="12"/>
      <c r="IZR35" s="12"/>
      <c r="IZS35" s="13"/>
      <c r="IZT35" s="9"/>
      <c r="IZU35" s="9"/>
      <c r="IZV35" s="9"/>
      <c r="IZW35" s="9"/>
      <c r="IZX35" s="10"/>
      <c r="IZY35" s="11"/>
      <c r="IZZ35" s="12"/>
      <c r="JAA35" s="12"/>
      <c r="JAB35" s="12"/>
      <c r="JAC35" s="13"/>
      <c r="JAD35" s="9"/>
      <c r="JAE35" s="9"/>
      <c r="JAF35" s="9"/>
      <c r="JAG35" s="9"/>
      <c r="JAH35" s="10"/>
      <c r="JAI35" s="11"/>
      <c r="JAJ35" s="12"/>
      <c r="JAK35" s="12"/>
      <c r="JAL35" s="12"/>
      <c r="JAM35" s="13"/>
      <c r="JAN35" s="9"/>
      <c r="JAO35" s="9"/>
      <c r="JAP35" s="9"/>
      <c r="JAQ35" s="9"/>
      <c r="JAR35" s="10"/>
      <c r="JAS35" s="11"/>
      <c r="JAT35" s="12"/>
      <c r="JAU35" s="12"/>
      <c r="JAV35" s="12"/>
      <c r="JAW35" s="13"/>
      <c r="JAX35" s="9"/>
      <c r="JAY35" s="9"/>
      <c r="JAZ35" s="9"/>
      <c r="JBA35" s="9"/>
      <c r="JBB35" s="10"/>
      <c r="JBC35" s="11"/>
      <c r="JBD35" s="12"/>
      <c r="JBE35" s="12"/>
      <c r="JBF35" s="12"/>
      <c r="JBG35" s="13"/>
      <c r="JBH35" s="9"/>
      <c r="JBI35" s="9"/>
      <c r="JBJ35" s="9"/>
      <c r="JBK35" s="9"/>
      <c r="JBL35" s="10"/>
      <c r="JBM35" s="11"/>
      <c r="JBN35" s="12"/>
      <c r="JBO35" s="12"/>
      <c r="JBP35" s="12"/>
      <c r="JBQ35" s="13"/>
      <c r="JBR35" s="9"/>
      <c r="JBS35" s="9"/>
      <c r="JBT35" s="9"/>
      <c r="JBU35" s="9"/>
      <c r="JBV35" s="10"/>
      <c r="JBW35" s="11"/>
      <c r="JBX35" s="12"/>
      <c r="JBY35" s="12"/>
      <c r="JBZ35" s="12"/>
      <c r="JCA35" s="13"/>
      <c r="JCB35" s="9"/>
      <c r="JCC35" s="9"/>
      <c r="JCD35" s="9"/>
      <c r="JCE35" s="9"/>
      <c r="JCF35" s="10"/>
      <c r="JCG35" s="11"/>
      <c r="JCH35" s="12"/>
      <c r="JCI35" s="12"/>
      <c r="JCJ35" s="12"/>
      <c r="JCK35" s="13"/>
      <c r="JCL35" s="9"/>
      <c r="JCM35" s="9"/>
      <c r="JCN35" s="9"/>
      <c r="JCO35" s="9"/>
      <c r="JCP35" s="10"/>
      <c r="JCQ35" s="11"/>
      <c r="JCR35" s="12"/>
      <c r="JCS35" s="12"/>
      <c r="JCT35" s="12"/>
      <c r="JCU35" s="13"/>
      <c r="JCV35" s="9"/>
      <c r="JCW35" s="9"/>
      <c r="JCX35" s="9"/>
      <c r="JCY35" s="9"/>
      <c r="JCZ35" s="10"/>
      <c r="JDA35" s="11"/>
      <c r="JDB35" s="12"/>
      <c r="JDC35" s="12"/>
      <c r="JDD35" s="12"/>
      <c r="JDE35" s="13"/>
      <c r="JDF35" s="9"/>
      <c r="JDG35" s="9"/>
      <c r="JDH35" s="9"/>
      <c r="JDI35" s="9"/>
      <c r="JDJ35" s="10"/>
      <c r="JDK35" s="11"/>
      <c r="JDL35" s="12"/>
      <c r="JDM35" s="12"/>
      <c r="JDN35" s="12"/>
      <c r="JDO35" s="13"/>
      <c r="JDP35" s="9"/>
      <c r="JDQ35" s="9"/>
      <c r="JDR35" s="9"/>
      <c r="JDS35" s="9"/>
      <c r="JDT35" s="10"/>
      <c r="JDU35" s="11"/>
      <c r="JDV35" s="12"/>
      <c r="JDW35" s="12"/>
      <c r="JDX35" s="12"/>
      <c r="JDY35" s="13"/>
      <c r="JDZ35" s="9"/>
      <c r="JEA35" s="9"/>
      <c r="JEB35" s="9"/>
      <c r="JEC35" s="9"/>
      <c r="JED35" s="10"/>
      <c r="JEE35" s="11"/>
      <c r="JEF35" s="12"/>
      <c r="JEG35" s="12"/>
      <c r="JEH35" s="12"/>
      <c r="JEI35" s="13"/>
      <c r="JEJ35" s="9"/>
      <c r="JEK35" s="9"/>
      <c r="JEL35" s="9"/>
      <c r="JEM35" s="9"/>
      <c r="JEN35" s="10"/>
      <c r="JEO35" s="11"/>
      <c r="JEP35" s="12"/>
      <c r="JEQ35" s="12"/>
      <c r="JER35" s="12"/>
      <c r="JES35" s="13"/>
      <c r="JET35" s="9"/>
      <c r="JEU35" s="9"/>
      <c r="JEV35" s="9"/>
      <c r="JEW35" s="9"/>
      <c r="JEX35" s="10"/>
      <c r="JEY35" s="11"/>
      <c r="JEZ35" s="12"/>
      <c r="JFA35" s="12"/>
      <c r="JFB35" s="12"/>
      <c r="JFC35" s="13"/>
      <c r="JFD35" s="9"/>
      <c r="JFE35" s="9"/>
      <c r="JFF35" s="9"/>
      <c r="JFG35" s="9"/>
      <c r="JFH35" s="10"/>
      <c r="JFI35" s="11"/>
      <c r="JFJ35" s="12"/>
      <c r="JFK35" s="12"/>
      <c r="JFL35" s="12"/>
      <c r="JFM35" s="13"/>
      <c r="JFN35" s="9"/>
      <c r="JFO35" s="9"/>
      <c r="JFP35" s="9"/>
      <c r="JFQ35" s="9"/>
      <c r="JFR35" s="10"/>
      <c r="JFS35" s="11"/>
      <c r="JFT35" s="12"/>
      <c r="JFU35" s="12"/>
      <c r="JFV35" s="12"/>
      <c r="JFW35" s="13"/>
      <c r="JFX35" s="9"/>
      <c r="JFY35" s="9"/>
      <c r="JFZ35" s="9"/>
      <c r="JGA35" s="9"/>
      <c r="JGB35" s="10"/>
      <c r="JGC35" s="11"/>
      <c r="JGD35" s="12"/>
      <c r="JGE35" s="12"/>
      <c r="JGF35" s="12"/>
      <c r="JGG35" s="13"/>
      <c r="JGH35" s="9"/>
      <c r="JGI35" s="9"/>
      <c r="JGJ35" s="9"/>
      <c r="JGK35" s="9"/>
      <c r="JGL35" s="10"/>
      <c r="JGM35" s="11"/>
      <c r="JGN35" s="12"/>
      <c r="JGO35" s="12"/>
      <c r="JGP35" s="12"/>
      <c r="JGQ35" s="13"/>
      <c r="JGR35" s="9"/>
      <c r="JGS35" s="9"/>
      <c r="JGT35" s="9"/>
      <c r="JGU35" s="9"/>
      <c r="JGV35" s="10"/>
      <c r="JGW35" s="11"/>
      <c r="JGX35" s="12"/>
      <c r="JGY35" s="12"/>
      <c r="JGZ35" s="12"/>
      <c r="JHA35" s="13"/>
      <c r="JHB35" s="9"/>
      <c r="JHC35" s="9"/>
      <c r="JHD35" s="9"/>
      <c r="JHE35" s="9"/>
      <c r="JHF35" s="10"/>
      <c r="JHG35" s="11"/>
      <c r="JHH35" s="12"/>
      <c r="JHI35" s="12"/>
      <c r="JHJ35" s="12"/>
      <c r="JHK35" s="13"/>
      <c r="JHL35" s="9"/>
      <c r="JHM35" s="9"/>
      <c r="JHN35" s="9"/>
      <c r="JHO35" s="9"/>
      <c r="JHP35" s="10"/>
      <c r="JHQ35" s="11"/>
      <c r="JHR35" s="12"/>
      <c r="JHS35" s="12"/>
      <c r="JHT35" s="12"/>
      <c r="JHU35" s="13"/>
      <c r="JHV35" s="9"/>
      <c r="JHW35" s="9"/>
      <c r="JHX35" s="9"/>
      <c r="JHY35" s="9"/>
      <c r="JHZ35" s="10"/>
      <c r="JIA35" s="11"/>
      <c r="JIB35" s="12"/>
      <c r="JIC35" s="12"/>
      <c r="JID35" s="12"/>
      <c r="JIE35" s="13"/>
      <c r="JIF35" s="9"/>
      <c r="JIG35" s="9"/>
      <c r="JIH35" s="9"/>
      <c r="JII35" s="9"/>
      <c r="JIJ35" s="10"/>
      <c r="JIK35" s="11"/>
      <c r="JIL35" s="12"/>
      <c r="JIM35" s="12"/>
      <c r="JIN35" s="12"/>
      <c r="JIO35" s="13"/>
      <c r="JIP35" s="9"/>
      <c r="JIQ35" s="9"/>
      <c r="JIR35" s="9"/>
      <c r="JIS35" s="9"/>
      <c r="JIT35" s="10"/>
      <c r="JIU35" s="11"/>
      <c r="JIV35" s="12"/>
      <c r="JIW35" s="12"/>
      <c r="JIX35" s="12"/>
      <c r="JIY35" s="13"/>
      <c r="JIZ35" s="9"/>
      <c r="JJA35" s="9"/>
      <c r="JJB35" s="9"/>
      <c r="JJC35" s="9"/>
      <c r="JJD35" s="10"/>
      <c r="JJE35" s="11"/>
      <c r="JJF35" s="12"/>
      <c r="JJG35" s="12"/>
      <c r="JJH35" s="12"/>
      <c r="JJI35" s="13"/>
      <c r="JJJ35" s="9"/>
      <c r="JJK35" s="9"/>
      <c r="JJL35" s="9"/>
      <c r="JJM35" s="9"/>
      <c r="JJN35" s="10"/>
      <c r="JJO35" s="11"/>
      <c r="JJP35" s="12"/>
      <c r="JJQ35" s="12"/>
      <c r="JJR35" s="12"/>
      <c r="JJS35" s="13"/>
      <c r="JJT35" s="9"/>
      <c r="JJU35" s="9"/>
      <c r="JJV35" s="9"/>
      <c r="JJW35" s="9"/>
      <c r="JJX35" s="10"/>
      <c r="JJY35" s="11"/>
      <c r="JJZ35" s="12"/>
      <c r="JKA35" s="12"/>
      <c r="JKB35" s="12"/>
      <c r="JKC35" s="13"/>
      <c r="JKD35" s="9"/>
      <c r="JKE35" s="9"/>
      <c r="JKF35" s="9"/>
      <c r="JKG35" s="9"/>
      <c r="JKH35" s="10"/>
      <c r="JKI35" s="11"/>
      <c r="JKJ35" s="12"/>
      <c r="JKK35" s="12"/>
      <c r="JKL35" s="12"/>
      <c r="JKM35" s="13"/>
      <c r="JKN35" s="9"/>
      <c r="JKO35" s="9"/>
      <c r="JKP35" s="9"/>
      <c r="JKQ35" s="9"/>
      <c r="JKR35" s="10"/>
      <c r="JKS35" s="11"/>
      <c r="JKT35" s="12"/>
      <c r="JKU35" s="12"/>
      <c r="JKV35" s="12"/>
      <c r="JKW35" s="13"/>
      <c r="JKX35" s="9"/>
      <c r="JKY35" s="9"/>
      <c r="JKZ35" s="9"/>
      <c r="JLA35" s="9"/>
      <c r="JLB35" s="10"/>
      <c r="JLC35" s="11"/>
      <c r="JLD35" s="12"/>
      <c r="JLE35" s="12"/>
      <c r="JLF35" s="12"/>
      <c r="JLG35" s="13"/>
      <c r="JLH35" s="9"/>
      <c r="JLI35" s="9"/>
      <c r="JLJ35" s="9"/>
      <c r="JLK35" s="9"/>
      <c r="JLL35" s="10"/>
      <c r="JLM35" s="11"/>
      <c r="JLN35" s="12"/>
      <c r="JLO35" s="12"/>
      <c r="JLP35" s="12"/>
      <c r="JLQ35" s="13"/>
      <c r="JLR35" s="9"/>
      <c r="JLS35" s="9"/>
      <c r="JLT35" s="9"/>
      <c r="JLU35" s="9"/>
      <c r="JLV35" s="10"/>
      <c r="JLW35" s="11"/>
      <c r="JLX35" s="12"/>
      <c r="JLY35" s="12"/>
      <c r="JLZ35" s="12"/>
      <c r="JMA35" s="13"/>
      <c r="JMB35" s="9"/>
      <c r="JMC35" s="9"/>
      <c r="JMD35" s="9"/>
      <c r="JME35" s="9"/>
      <c r="JMF35" s="10"/>
      <c r="JMG35" s="11"/>
      <c r="JMH35" s="12"/>
      <c r="JMI35" s="12"/>
      <c r="JMJ35" s="12"/>
      <c r="JMK35" s="13"/>
      <c r="JML35" s="9"/>
      <c r="JMM35" s="9"/>
      <c r="JMN35" s="9"/>
      <c r="JMO35" s="9"/>
      <c r="JMP35" s="10"/>
      <c r="JMQ35" s="11"/>
      <c r="JMR35" s="12"/>
      <c r="JMS35" s="12"/>
      <c r="JMT35" s="12"/>
      <c r="JMU35" s="13"/>
      <c r="JMV35" s="9"/>
      <c r="JMW35" s="9"/>
      <c r="JMX35" s="9"/>
      <c r="JMY35" s="9"/>
      <c r="JMZ35" s="10"/>
      <c r="JNA35" s="11"/>
      <c r="JNB35" s="12"/>
      <c r="JNC35" s="12"/>
      <c r="JND35" s="12"/>
      <c r="JNE35" s="13"/>
      <c r="JNF35" s="9"/>
      <c r="JNG35" s="9"/>
      <c r="JNH35" s="9"/>
      <c r="JNI35" s="9"/>
      <c r="JNJ35" s="10"/>
      <c r="JNK35" s="11"/>
      <c r="JNL35" s="12"/>
      <c r="JNM35" s="12"/>
      <c r="JNN35" s="12"/>
      <c r="JNO35" s="13"/>
      <c r="JNP35" s="9"/>
      <c r="JNQ35" s="9"/>
      <c r="JNR35" s="9"/>
      <c r="JNS35" s="9"/>
      <c r="JNT35" s="10"/>
      <c r="JNU35" s="11"/>
      <c r="JNV35" s="12"/>
      <c r="JNW35" s="12"/>
      <c r="JNX35" s="12"/>
      <c r="JNY35" s="13"/>
      <c r="JNZ35" s="9"/>
      <c r="JOA35" s="9"/>
      <c r="JOB35" s="9"/>
      <c r="JOC35" s="9"/>
      <c r="JOD35" s="10"/>
      <c r="JOE35" s="11"/>
      <c r="JOF35" s="12"/>
      <c r="JOG35" s="12"/>
      <c r="JOH35" s="12"/>
      <c r="JOI35" s="13"/>
      <c r="JOJ35" s="9"/>
      <c r="JOK35" s="9"/>
      <c r="JOL35" s="9"/>
      <c r="JOM35" s="9"/>
      <c r="JON35" s="10"/>
      <c r="JOO35" s="11"/>
      <c r="JOP35" s="12"/>
      <c r="JOQ35" s="12"/>
      <c r="JOR35" s="12"/>
      <c r="JOS35" s="13"/>
      <c r="JOT35" s="9"/>
      <c r="JOU35" s="9"/>
      <c r="JOV35" s="9"/>
      <c r="JOW35" s="9"/>
      <c r="JOX35" s="10"/>
      <c r="JOY35" s="11"/>
      <c r="JOZ35" s="12"/>
      <c r="JPA35" s="12"/>
      <c r="JPB35" s="12"/>
      <c r="JPC35" s="13"/>
      <c r="JPD35" s="9"/>
      <c r="JPE35" s="9"/>
      <c r="JPF35" s="9"/>
      <c r="JPG35" s="9"/>
      <c r="JPH35" s="10"/>
      <c r="JPI35" s="11"/>
      <c r="JPJ35" s="12"/>
      <c r="JPK35" s="12"/>
      <c r="JPL35" s="12"/>
      <c r="JPM35" s="13"/>
      <c r="JPN35" s="9"/>
      <c r="JPO35" s="9"/>
      <c r="JPP35" s="9"/>
      <c r="JPQ35" s="9"/>
      <c r="JPR35" s="10"/>
      <c r="JPS35" s="11"/>
      <c r="JPT35" s="12"/>
      <c r="JPU35" s="12"/>
      <c r="JPV35" s="12"/>
      <c r="JPW35" s="13"/>
      <c r="JPX35" s="9"/>
      <c r="JPY35" s="9"/>
      <c r="JPZ35" s="9"/>
      <c r="JQA35" s="9"/>
      <c r="JQB35" s="10"/>
      <c r="JQC35" s="11"/>
      <c r="JQD35" s="12"/>
      <c r="JQE35" s="12"/>
      <c r="JQF35" s="12"/>
      <c r="JQG35" s="13"/>
      <c r="JQH35" s="9"/>
      <c r="JQI35" s="9"/>
      <c r="JQJ35" s="9"/>
      <c r="JQK35" s="9"/>
      <c r="JQL35" s="10"/>
      <c r="JQM35" s="11"/>
      <c r="JQN35" s="12"/>
      <c r="JQO35" s="12"/>
      <c r="JQP35" s="12"/>
      <c r="JQQ35" s="13"/>
      <c r="JQR35" s="9"/>
      <c r="JQS35" s="9"/>
      <c r="JQT35" s="9"/>
      <c r="JQU35" s="9"/>
      <c r="JQV35" s="10"/>
      <c r="JQW35" s="11"/>
      <c r="JQX35" s="12"/>
      <c r="JQY35" s="12"/>
      <c r="JQZ35" s="12"/>
      <c r="JRA35" s="13"/>
      <c r="JRB35" s="9"/>
      <c r="JRC35" s="9"/>
      <c r="JRD35" s="9"/>
      <c r="JRE35" s="9"/>
      <c r="JRF35" s="10"/>
      <c r="JRG35" s="11"/>
      <c r="JRH35" s="12"/>
      <c r="JRI35" s="12"/>
      <c r="JRJ35" s="12"/>
      <c r="JRK35" s="13"/>
      <c r="JRL35" s="9"/>
      <c r="JRM35" s="9"/>
      <c r="JRN35" s="9"/>
      <c r="JRO35" s="9"/>
      <c r="JRP35" s="10"/>
      <c r="JRQ35" s="11"/>
      <c r="JRR35" s="12"/>
      <c r="JRS35" s="12"/>
      <c r="JRT35" s="12"/>
      <c r="JRU35" s="13"/>
      <c r="JRV35" s="9"/>
      <c r="JRW35" s="9"/>
      <c r="JRX35" s="9"/>
      <c r="JRY35" s="9"/>
      <c r="JRZ35" s="10"/>
      <c r="JSA35" s="11"/>
      <c r="JSB35" s="12"/>
      <c r="JSC35" s="12"/>
      <c r="JSD35" s="12"/>
      <c r="JSE35" s="13"/>
      <c r="JSF35" s="9"/>
      <c r="JSG35" s="9"/>
      <c r="JSH35" s="9"/>
      <c r="JSI35" s="9"/>
      <c r="JSJ35" s="10"/>
      <c r="JSK35" s="11"/>
      <c r="JSL35" s="12"/>
      <c r="JSM35" s="12"/>
      <c r="JSN35" s="12"/>
      <c r="JSO35" s="13"/>
      <c r="JSP35" s="9"/>
      <c r="JSQ35" s="9"/>
      <c r="JSR35" s="9"/>
      <c r="JSS35" s="9"/>
      <c r="JST35" s="10"/>
      <c r="JSU35" s="11"/>
      <c r="JSV35" s="12"/>
      <c r="JSW35" s="12"/>
      <c r="JSX35" s="12"/>
      <c r="JSY35" s="13"/>
      <c r="JSZ35" s="9"/>
      <c r="JTA35" s="9"/>
      <c r="JTB35" s="9"/>
      <c r="JTC35" s="9"/>
      <c r="JTD35" s="10"/>
      <c r="JTE35" s="11"/>
      <c r="JTF35" s="12"/>
      <c r="JTG35" s="12"/>
      <c r="JTH35" s="12"/>
      <c r="JTI35" s="13"/>
      <c r="JTJ35" s="9"/>
      <c r="JTK35" s="9"/>
      <c r="JTL35" s="9"/>
      <c r="JTM35" s="9"/>
      <c r="JTN35" s="10"/>
      <c r="JTO35" s="11"/>
      <c r="JTP35" s="12"/>
      <c r="JTQ35" s="12"/>
      <c r="JTR35" s="12"/>
      <c r="JTS35" s="13"/>
      <c r="JTT35" s="9"/>
      <c r="JTU35" s="9"/>
      <c r="JTV35" s="9"/>
      <c r="JTW35" s="9"/>
      <c r="JTX35" s="10"/>
      <c r="JTY35" s="11"/>
      <c r="JTZ35" s="12"/>
      <c r="JUA35" s="12"/>
      <c r="JUB35" s="12"/>
      <c r="JUC35" s="13"/>
      <c r="JUD35" s="9"/>
      <c r="JUE35" s="9"/>
      <c r="JUF35" s="9"/>
      <c r="JUG35" s="9"/>
      <c r="JUH35" s="10"/>
      <c r="JUI35" s="11"/>
      <c r="JUJ35" s="12"/>
      <c r="JUK35" s="12"/>
      <c r="JUL35" s="12"/>
      <c r="JUM35" s="13"/>
      <c r="JUN35" s="9"/>
      <c r="JUO35" s="9"/>
      <c r="JUP35" s="9"/>
      <c r="JUQ35" s="9"/>
      <c r="JUR35" s="10"/>
      <c r="JUS35" s="11"/>
      <c r="JUT35" s="12"/>
      <c r="JUU35" s="12"/>
      <c r="JUV35" s="12"/>
      <c r="JUW35" s="13"/>
      <c r="JUX35" s="9"/>
      <c r="JUY35" s="9"/>
      <c r="JUZ35" s="9"/>
      <c r="JVA35" s="9"/>
      <c r="JVB35" s="10"/>
      <c r="JVC35" s="11"/>
      <c r="JVD35" s="12"/>
      <c r="JVE35" s="12"/>
      <c r="JVF35" s="12"/>
      <c r="JVG35" s="13"/>
      <c r="JVH35" s="9"/>
      <c r="JVI35" s="9"/>
      <c r="JVJ35" s="9"/>
      <c r="JVK35" s="9"/>
      <c r="JVL35" s="10"/>
      <c r="JVM35" s="11"/>
      <c r="JVN35" s="12"/>
      <c r="JVO35" s="12"/>
      <c r="JVP35" s="12"/>
      <c r="JVQ35" s="13"/>
      <c r="JVR35" s="9"/>
      <c r="JVS35" s="9"/>
      <c r="JVT35" s="9"/>
      <c r="JVU35" s="9"/>
      <c r="JVV35" s="10"/>
      <c r="JVW35" s="11"/>
      <c r="JVX35" s="12"/>
      <c r="JVY35" s="12"/>
      <c r="JVZ35" s="12"/>
      <c r="JWA35" s="13"/>
      <c r="JWB35" s="9"/>
      <c r="JWC35" s="9"/>
      <c r="JWD35" s="9"/>
      <c r="JWE35" s="9"/>
      <c r="JWF35" s="10"/>
      <c r="JWG35" s="11"/>
      <c r="JWH35" s="12"/>
      <c r="JWI35" s="12"/>
      <c r="JWJ35" s="12"/>
      <c r="JWK35" s="13"/>
      <c r="JWL35" s="9"/>
      <c r="JWM35" s="9"/>
      <c r="JWN35" s="9"/>
      <c r="JWO35" s="9"/>
      <c r="JWP35" s="10"/>
      <c r="JWQ35" s="11"/>
      <c r="JWR35" s="12"/>
      <c r="JWS35" s="12"/>
      <c r="JWT35" s="12"/>
      <c r="JWU35" s="13"/>
      <c r="JWV35" s="9"/>
      <c r="JWW35" s="9"/>
      <c r="JWX35" s="9"/>
      <c r="JWY35" s="9"/>
      <c r="JWZ35" s="10"/>
      <c r="JXA35" s="11"/>
      <c r="JXB35" s="12"/>
      <c r="JXC35" s="12"/>
      <c r="JXD35" s="12"/>
      <c r="JXE35" s="13"/>
      <c r="JXF35" s="9"/>
      <c r="JXG35" s="9"/>
      <c r="JXH35" s="9"/>
      <c r="JXI35" s="9"/>
      <c r="JXJ35" s="10"/>
      <c r="JXK35" s="11"/>
      <c r="JXL35" s="12"/>
      <c r="JXM35" s="12"/>
      <c r="JXN35" s="12"/>
      <c r="JXO35" s="13"/>
      <c r="JXP35" s="9"/>
      <c r="JXQ35" s="9"/>
      <c r="JXR35" s="9"/>
      <c r="JXS35" s="9"/>
      <c r="JXT35" s="10"/>
      <c r="JXU35" s="11"/>
      <c r="JXV35" s="12"/>
      <c r="JXW35" s="12"/>
      <c r="JXX35" s="12"/>
      <c r="JXY35" s="13"/>
      <c r="JXZ35" s="9"/>
      <c r="JYA35" s="9"/>
      <c r="JYB35" s="9"/>
      <c r="JYC35" s="9"/>
      <c r="JYD35" s="10"/>
      <c r="JYE35" s="11"/>
      <c r="JYF35" s="12"/>
      <c r="JYG35" s="12"/>
      <c r="JYH35" s="12"/>
      <c r="JYI35" s="13"/>
      <c r="JYJ35" s="9"/>
      <c r="JYK35" s="9"/>
      <c r="JYL35" s="9"/>
      <c r="JYM35" s="9"/>
      <c r="JYN35" s="10"/>
      <c r="JYO35" s="11"/>
      <c r="JYP35" s="12"/>
      <c r="JYQ35" s="12"/>
      <c r="JYR35" s="12"/>
      <c r="JYS35" s="13"/>
      <c r="JYT35" s="9"/>
      <c r="JYU35" s="9"/>
      <c r="JYV35" s="9"/>
      <c r="JYW35" s="9"/>
      <c r="JYX35" s="10"/>
      <c r="JYY35" s="11"/>
      <c r="JYZ35" s="12"/>
      <c r="JZA35" s="12"/>
      <c r="JZB35" s="12"/>
      <c r="JZC35" s="13"/>
      <c r="JZD35" s="9"/>
      <c r="JZE35" s="9"/>
      <c r="JZF35" s="9"/>
      <c r="JZG35" s="9"/>
      <c r="JZH35" s="10"/>
      <c r="JZI35" s="11"/>
      <c r="JZJ35" s="12"/>
      <c r="JZK35" s="12"/>
      <c r="JZL35" s="12"/>
      <c r="JZM35" s="13"/>
      <c r="JZN35" s="9"/>
      <c r="JZO35" s="9"/>
      <c r="JZP35" s="9"/>
      <c r="JZQ35" s="9"/>
      <c r="JZR35" s="10"/>
      <c r="JZS35" s="11"/>
      <c r="JZT35" s="12"/>
      <c r="JZU35" s="12"/>
      <c r="JZV35" s="12"/>
      <c r="JZW35" s="13"/>
      <c r="JZX35" s="9"/>
      <c r="JZY35" s="9"/>
      <c r="JZZ35" s="9"/>
      <c r="KAA35" s="9"/>
      <c r="KAB35" s="10"/>
      <c r="KAC35" s="11"/>
      <c r="KAD35" s="12"/>
      <c r="KAE35" s="12"/>
      <c r="KAF35" s="12"/>
      <c r="KAG35" s="13"/>
      <c r="KAH35" s="9"/>
      <c r="KAI35" s="9"/>
      <c r="KAJ35" s="9"/>
      <c r="KAK35" s="9"/>
      <c r="KAL35" s="10"/>
      <c r="KAM35" s="11"/>
      <c r="KAN35" s="12"/>
      <c r="KAO35" s="12"/>
      <c r="KAP35" s="12"/>
      <c r="KAQ35" s="13"/>
      <c r="KAR35" s="9"/>
      <c r="KAS35" s="9"/>
      <c r="KAT35" s="9"/>
      <c r="KAU35" s="9"/>
      <c r="KAV35" s="10"/>
      <c r="KAW35" s="11"/>
      <c r="KAX35" s="12"/>
      <c r="KAY35" s="12"/>
      <c r="KAZ35" s="12"/>
      <c r="KBA35" s="13"/>
      <c r="KBB35" s="9"/>
      <c r="KBC35" s="9"/>
      <c r="KBD35" s="9"/>
      <c r="KBE35" s="9"/>
      <c r="KBF35" s="10"/>
      <c r="KBG35" s="11"/>
      <c r="KBH35" s="12"/>
      <c r="KBI35" s="12"/>
      <c r="KBJ35" s="12"/>
      <c r="KBK35" s="13"/>
      <c r="KBL35" s="9"/>
      <c r="KBM35" s="9"/>
      <c r="KBN35" s="9"/>
      <c r="KBO35" s="9"/>
      <c r="KBP35" s="10"/>
      <c r="KBQ35" s="11"/>
      <c r="KBR35" s="12"/>
      <c r="KBS35" s="12"/>
      <c r="KBT35" s="12"/>
      <c r="KBU35" s="13"/>
      <c r="KBV35" s="9"/>
      <c r="KBW35" s="9"/>
      <c r="KBX35" s="9"/>
      <c r="KBY35" s="9"/>
      <c r="KBZ35" s="10"/>
      <c r="KCA35" s="11"/>
      <c r="KCB35" s="12"/>
      <c r="KCC35" s="12"/>
      <c r="KCD35" s="12"/>
      <c r="KCE35" s="13"/>
      <c r="KCF35" s="9"/>
      <c r="KCG35" s="9"/>
      <c r="KCH35" s="9"/>
      <c r="KCI35" s="9"/>
      <c r="KCJ35" s="10"/>
      <c r="KCK35" s="11"/>
      <c r="KCL35" s="12"/>
      <c r="KCM35" s="12"/>
      <c r="KCN35" s="12"/>
      <c r="KCO35" s="13"/>
      <c r="KCP35" s="9"/>
      <c r="KCQ35" s="9"/>
      <c r="KCR35" s="9"/>
      <c r="KCS35" s="9"/>
      <c r="KCT35" s="10"/>
      <c r="KCU35" s="11"/>
      <c r="KCV35" s="12"/>
      <c r="KCW35" s="12"/>
      <c r="KCX35" s="12"/>
      <c r="KCY35" s="13"/>
      <c r="KCZ35" s="9"/>
      <c r="KDA35" s="9"/>
      <c r="KDB35" s="9"/>
      <c r="KDC35" s="9"/>
      <c r="KDD35" s="10"/>
      <c r="KDE35" s="11"/>
      <c r="KDF35" s="12"/>
      <c r="KDG35" s="12"/>
      <c r="KDH35" s="12"/>
      <c r="KDI35" s="13"/>
      <c r="KDJ35" s="9"/>
      <c r="KDK35" s="9"/>
      <c r="KDL35" s="9"/>
      <c r="KDM35" s="9"/>
      <c r="KDN35" s="10"/>
      <c r="KDO35" s="11"/>
      <c r="KDP35" s="12"/>
      <c r="KDQ35" s="12"/>
      <c r="KDR35" s="12"/>
      <c r="KDS35" s="13"/>
      <c r="KDT35" s="9"/>
      <c r="KDU35" s="9"/>
      <c r="KDV35" s="9"/>
      <c r="KDW35" s="9"/>
      <c r="KDX35" s="10"/>
      <c r="KDY35" s="11"/>
      <c r="KDZ35" s="12"/>
      <c r="KEA35" s="12"/>
      <c r="KEB35" s="12"/>
      <c r="KEC35" s="13"/>
      <c r="KED35" s="9"/>
      <c r="KEE35" s="9"/>
      <c r="KEF35" s="9"/>
      <c r="KEG35" s="9"/>
      <c r="KEH35" s="10"/>
      <c r="KEI35" s="11"/>
      <c r="KEJ35" s="12"/>
      <c r="KEK35" s="12"/>
      <c r="KEL35" s="12"/>
      <c r="KEM35" s="13"/>
      <c r="KEN35" s="9"/>
      <c r="KEO35" s="9"/>
      <c r="KEP35" s="9"/>
      <c r="KEQ35" s="9"/>
      <c r="KER35" s="10"/>
      <c r="KES35" s="11"/>
      <c r="KET35" s="12"/>
      <c r="KEU35" s="12"/>
      <c r="KEV35" s="12"/>
      <c r="KEW35" s="13"/>
      <c r="KEX35" s="9"/>
      <c r="KEY35" s="9"/>
      <c r="KEZ35" s="9"/>
      <c r="KFA35" s="9"/>
      <c r="KFB35" s="10"/>
      <c r="KFC35" s="11"/>
      <c r="KFD35" s="12"/>
      <c r="KFE35" s="12"/>
      <c r="KFF35" s="12"/>
      <c r="KFG35" s="13"/>
      <c r="KFH35" s="9"/>
      <c r="KFI35" s="9"/>
      <c r="KFJ35" s="9"/>
      <c r="KFK35" s="9"/>
      <c r="KFL35" s="10"/>
      <c r="KFM35" s="11"/>
      <c r="KFN35" s="12"/>
      <c r="KFO35" s="12"/>
      <c r="KFP35" s="12"/>
      <c r="KFQ35" s="13"/>
      <c r="KFR35" s="9"/>
      <c r="KFS35" s="9"/>
      <c r="KFT35" s="9"/>
      <c r="KFU35" s="9"/>
      <c r="KFV35" s="10"/>
      <c r="KFW35" s="11"/>
      <c r="KFX35" s="12"/>
      <c r="KFY35" s="12"/>
      <c r="KFZ35" s="12"/>
      <c r="KGA35" s="13"/>
      <c r="KGB35" s="9"/>
      <c r="KGC35" s="9"/>
      <c r="KGD35" s="9"/>
      <c r="KGE35" s="9"/>
      <c r="KGF35" s="10"/>
      <c r="KGG35" s="11"/>
      <c r="KGH35" s="12"/>
      <c r="KGI35" s="12"/>
      <c r="KGJ35" s="12"/>
      <c r="KGK35" s="13"/>
      <c r="KGL35" s="9"/>
      <c r="KGM35" s="9"/>
      <c r="KGN35" s="9"/>
      <c r="KGO35" s="9"/>
      <c r="KGP35" s="10"/>
      <c r="KGQ35" s="11"/>
      <c r="KGR35" s="12"/>
      <c r="KGS35" s="12"/>
      <c r="KGT35" s="12"/>
      <c r="KGU35" s="13"/>
      <c r="KGV35" s="9"/>
      <c r="KGW35" s="9"/>
      <c r="KGX35" s="9"/>
      <c r="KGY35" s="9"/>
      <c r="KGZ35" s="10"/>
      <c r="KHA35" s="11"/>
      <c r="KHB35" s="12"/>
      <c r="KHC35" s="12"/>
      <c r="KHD35" s="12"/>
      <c r="KHE35" s="13"/>
      <c r="KHF35" s="9"/>
      <c r="KHG35" s="9"/>
      <c r="KHH35" s="9"/>
      <c r="KHI35" s="9"/>
      <c r="KHJ35" s="10"/>
      <c r="KHK35" s="11"/>
      <c r="KHL35" s="12"/>
      <c r="KHM35" s="12"/>
      <c r="KHN35" s="12"/>
      <c r="KHO35" s="13"/>
      <c r="KHP35" s="9"/>
      <c r="KHQ35" s="9"/>
      <c r="KHR35" s="9"/>
      <c r="KHS35" s="9"/>
      <c r="KHT35" s="10"/>
      <c r="KHU35" s="11"/>
      <c r="KHV35" s="12"/>
      <c r="KHW35" s="12"/>
      <c r="KHX35" s="12"/>
      <c r="KHY35" s="13"/>
      <c r="KHZ35" s="9"/>
      <c r="KIA35" s="9"/>
      <c r="KIB35" s="9"/>
      <c r="KIC35" s="9"/>
      <c r="KID35" s="10"/>
      <c r="KIE35" s="11"/>
      <c r="KIF35" s="12"/>
      <c r="KIG35" s="12"/>
      <c r="KIH35" s="12"/>
      <c r="KII35" s="13"/>
      <c r="KIJ35" s="9"/>
      <c r="KIK35" s="9"/>
      <c r="KIL35" s="9"/>
      <c r="KIM35" s="9"/>
      <c r="KIN35" s="10"/>
      <c r="KIO35" s="11"/>
      <c r="KIP35" s="12"/>
      <c r="KIQ35" s="12"/>
      <c r="KIR35" s="12"/>
      <c r="KIS35" s="13"/>
      <c r="KIT35" s="9"/>
      <c r="KIU35" s="9"/>
      <c r="KIV35" s="9"/>
      <c r="KIW35" s="9"/>
      <c r="KIX35" s="10"/>
      <c r="KIY35" s="11"/>
      <c r="KIZ35" s="12"/>
      <c r="KJA35" s="12"/>
      <c r="KJB35" s="12"/>
      <c r="KJC35" s="13"/>
      <c r="KJD35" s="9"/>
      <c r="KJE35" s="9"/>
      <c r="KJF35" s="9"/>
      <c r="KJG35" s="9"/>
      <c r="KJH35" s="10"/>
      <c r="KJI35" s="11"/>
      <c r="KJJ35" s="12"/>
      <c r="KJK35" s="12"/>
      <c r="KJL35" s="12"/>
      <c r="KJM35" s="13"/>
      <c r="KJN35" s="9"/>
      <c r="KJO35" s="9"/>
      <c r="KJP35" s="9"/>
      <c r="KJQ35" s="9"/>
      <c r="KJR35" s="10"/>
      <c r="KJS35" s="11"/>
      <c r="KJT35" s="12"/>
      <c r="KJU35" s="12"/>
      <c r="KJV35" s="12"/>
      <c r="KJW35" s="13"/>
      <c r="KJX35" s="9"/>
      <c r="KJY35" s="9"/>
      <c r="KJZ35" s="9"/>
      <c r="KKA35" s="9"/>
      <c r="KKB35" s="10"/>
      <c r="KKC35" s="11"/>
      <c r="KKD35" s="12"/>
      <c r="KKE35" s="12"/>
      <c r="KKF35" s="12"/>
      <c r="KKG35" s="13"/>
      <c r="KKH35" s="9"/>
      <c r="KKI35" s="9"/>
      <c r="KKJ35" s="9"/>
      <c r="KKK35" s="9"/>
      <c r="KKL35" s="10"/>
      <c r="KKM35" s="11"/>
      <c r="KKN35" s="12"/>
      <c r="KKO35" s="12"/>
      <c r="KKP35" s="12"/>
      <c r="KKQ35" s="13"/>
      <c r="KKR35" s="9"/>
      <c r="KKS35" s="9"/>
      <c r="KKT35" s="9"/>
      <c r="KKU35" s="9"/>
      <c r="KKV35" s="10"/>
      <c r="KKW35" s="11"/>
      <c r="KKX35" s="12"/>
      <c r="KKY35" s="12"/>
      <c r="KKZ35" s="12"/>
      <c r="KLA35" s="13"/>
      <c r="KLB35" s="9"/>
      <c r="KLC35" s="9"/>
      <c r="KLD35" s="9"/>
      <c r="KLE35" s="9"/>
      <c r="KLF35" s="10"/>
      <c r="KLG35" s="11"/>
      <c r="KLH35" s="12"/>
      <c r="KLI35" s="12"/>
      <c r="KLJ35" s="12"/>
      <c r="KLK35" s="13"/>
      <c r="KLL35" s="9"/>
      <c r="KLM35" s="9"/>
      <c r="KLN35" s="9"/>
      <c r="KLO35" s="9"/>
      <c r="KLP35" s="10"/>
      <c r="KLQ35" s="11"/>
      <c r="KLR35" s="12"/>
      <c r="KLS35" s="12"/>
      <c r="KLT35" s="12"/>
      <c r="KLU35" s="13"/>
      <c r="KLV35" s="9"/>
      <c r="KLW35" s="9"/>
      <c r="KLX35" s="9"/>
      <c r="KLY35" s="9"/>
      <c r="KLZ35" s="10"/>
      <c r="KMA35" s="11"/>
      <c r="KMB35" s="12"/>
      <c r="KMC35" s="12"/>
      <c r="KMD35" s="12"/>
      <c r="KME35" s="13"/>
      <c r="KMF35" s="9"/>
      <c r="KMG35" s="9"/>
      <c r="KMH35" s="9"/>
      <c r="KMI35" s="9"/>
      <c r="KMJ35" s="10"/>
      <c r="KMK35" s="11"/>
      <c r="KML35" s="12"/>
      <c r="KMM35" s="12"/>
      <c r="KMN35" s="12"/>
      <c r="KMO35" s="13"/>
      <c r="KMP35" s="9"/>
      <c r="KMQ35" s="9"/>
      <c r="KMR35" s="9"/>
      <c r="KMS35" s="9"/>
      <c r="KMT35" s="10"/>
      <c r="KMU35" s="11"/>
      <c r="KMV35" s="12"/>
      <c r="KMW35" s="12"/>
      <c r="KMX35" s="12"/>
      <c r="KMY35" s="13"/>
      <c r="KMZ35" s="9"/>
      <c r="KNA35" s="9"/>
      <c r="KNB35" s="9"/>
      <c r="KNC35" s="9"/>
      <c r="KND35" s="10"/>
      <c r="KNE35" s="11"/>
      <c r="KNF35" s="12"/>
      <c r="KNG35" s="12"/>
      <c r="KNH35" s="12"/>
      <c r="KNI35" s="13"/>
      <c r="KNJ35" s="9"/>
      <c r="KNK35" s="9"/>
      <c r="KNL35" s="9"/>
      <c r="KNM35" s="9"/>
      <c r="KNN35" s="10"/>
      <c r="KNO35" s="11"/>
      <c r="KNP35" s="12"/>
      <c r="KNQ35" s="12"/>
      <c r="KNR35" s="12"/>
      <c r="KNS35" s="13"/>
      <c r="KNT35" s="9"/>
      <c r="KNU35" s="9"/>
      <c r="KNV35" s="9"/>
      <c r="KNW35" s="9"/>
      <c r="KNX35" s="10"/>
      <c r="KNY35" s="11"/>
      <c r="KNZ35" s="12"/>
      <c r="KOA35" s="12"/>
      <c r="KOB35" s="12"/>
      <c r="KOC35" s="13"/>
      <c r="KOD35" s="9"/>
      <c r="KOE35" s="9"/>
      <c r="KOF35" s="9"/>
      <c r="KOG35" s="9"/>
      <c r="KOH35" s="10"/>
      <c r="KOI35" s="11"/>
      <c r="KOJ35" s="12"/>
      <c r="KOK35" s="12"/>
      <c r="KOL35" s="12"/>
      <c r="KOM35" s="13"/>
      <c r="KON35" s="9"/>
      <c r="KOO35" s="9"/>
      <c r="KOP35" s="9"/>
      <c r="KOQ35" s="9"/>
      <c r="KOR35" s="10"/>
      <c r="KOS35" s="11"/>
      <c r="KOT35" s="12"/>
      <c r="KOU35" s="12"/>
      <c r="KOV35" s="12"/>
      <c r="KOW35" s="13"/>
      <c r="KOX35" s="9"/>
      <c r="KOY35" s="9"/>
      <c r="KOZ35" s="9"/>
      <c r="KPA35" s="9"/>
      <c r="KPB35" s="10"/>
      <c r="KPC35" s="11"/>
      <c r="KPD35" s="12"/>
      <c r="KPE35" s="12"/>
      <c r="KPF35" s="12"/>
      <c r="KPG35" s="13"/>
      <c r="KPH35" s="9"/>
      <c r="KPI35" s="9"/>
      <c r="KPJ35" s="9"/>
      <c r="KPK35" s="9"/>
      <c r="KPL35" s="10"/>
      <c r="KPM35" s="11"/>
      <c r="KPN35" s="12"/>
      <c r="KPO35" s="12"/>
      <c r="KPP35" s="12"/>
      <c r="KPQ35" s="13"/>
      <c r="KPR35" s="9"/>
      <c r="KPS35" s="9"/>
      <c r="KPT35" s="9"/>
      <c r="KPU35" s="9"/>
      <c r="KPV35" s="10"/>
      <c r="KPW35" s="11"/>
      <c r="KPX35" s="12"/>
      <c r="KPY35" s="12"/>
      <c r="KPZ35" s="12"/>
      <c r="KQA35" s="13"/>
      <c r="KQB35" s="9"/>
      <c r="KQC35" s="9"/>
      <c r="KQD35" s="9"/>
      <c r="KQE35" s="9"/>
      <c r="KQF35" s="10"/>
      <c r="KQG35" s="11"/>
      <c r="KQH35" s="12"/>
      <c r="KQI35" s="12"/>
      <c r="KQJ35" s="12"/>
      <c r="KQK35" s="13"/>
      <c r="KQL35" s="9"/>
      <c r="KQM35" s="9"/>
      <c r="KQN35" s="9"/>
      <c r="KQO35" s="9"/>
      <c r="KQP35" s="10"/>
      <c r="KQQ35" s="11"/>
      <c r="KQR35" s="12"/>
      <c r="KQS35" s="12"/>
      <c r="KQT35" s="12"/>
      <c r="KQU35" s="13"/>
      <c r="KQV35" s="9"/>
      <c r="KQW35" s="9"/>
      <c r="KQX35" s="9"/>
      <c r="KQY35" s="9"/>
      <c r="KQZ35" s="10"/>
      <c r="KRA35" s="11"/>
      <c r="KRB35" s="12"/>
      <c r="KRC35" s="12"/>
      <c r="KRD35" s="12"/>
      <c r="KRE35" s="13"/>
      <c r="KRF35" s="9"/>
      <c r="KRG35" s="9"/>
      <c r="KRH35" s="9"/>
      <c r="KRI35" s="9"/>
      <c r="KRJ35" s="10"/>
      <c r="KRK35" s="11"/>
      <c r="KRL35" s="12"/>
      <c r="KRM35" s="12"/>
      <c r="KRN35" s="12"/>
      <c r="KRO35" s="13"/>
      <c r="KRP35" s="9"/>
      <c r="KRQ35" s="9"/>
      <c r="KRR35" s="9"/>
      <c r="KRS35" s="9"/>
      <c r="KRT35" s="10"/>
      <c r="KRU35" s="11"/>
      <c r="KRV35" s="12"/>
      <c r="KRW35" s="12"/>
      <c r="KRX35" s="12"/>
      <c r="KRY35" s="13"/>
      <c r="KRZ35" s="9"/>
      <c r="KSA35" s="9"/>
      <c r="KSB35" s="9"/>
      <c r="KSC35" s="9"/>
      <c r="KSD35" s="10"/>
      <c r="KSE35" s="11"/>
      <c r="KSF35" s="12"/>
      <c r="KSG35" s="12"/>
      <c r="KSH35" s="12"/>
      <c r="KSI35" s="13"/>
      <c r="KSJ35" s="9"/>
      <c r="KSK35" s="9"/>
      <c r="KSL35" s="9"/>
      <c r="KSM35" s="9"/>
      <c r="KSN35" s="10"/>
      <c r="KSO35" s="11"/>
      <c r="KSP35" s="12"/>
      <c r="KSQ35" s="12"/>
      <c r="KSR35" s="12"/>
      <c r="KSS35" s="13"/>
      <c r="KST35" s="9"/>
      <c r="KSU35" s="9"/>
      <c r="KSV35" s="9"/>
      <c r="KSW35" s="9"/>
      <c r="KSX35" s="10"/>
      <c r="KSY35" s="11"/>
      <c r="KSZ35" s="12"/>
      <c r="KTA35" s="12"/>
      <c r="KTB35" s="12"/>
      <c r="KTC35" s="13"/>
      <c r="KTD35" s="9"/>
      <c r="KTE35" s="9"/>
      <c r="KTF35" s="9"/>
      <c r="KTG35" s="9"/>
      <c r="KTH35" s="10"/>
      <c r="KTI35" s="11"/>
      <c r="KTJ35" s="12"/>
      <c r="KTK35" s="12"/>
      <c r="KTL35" s="12"/>
      <c r="KTM35" s="13"/>
      <c r="KTN35" s="9"/>
      <c r="KTO35" s="9"/>
      <c r="KTP35" s="9"/>
      <c r="KTQ35" s="9"/>
      <c r="KTR35" s="10"/>
      <c r="KTS35" s="11"/>
      <c r="KTT35" s="12"/>
      <c r="KTU35" s="12"/>
      <c r="KTV35" s="12"/>
      <c r="KTW35" s="13"/>
      <c r="KTX35" s="9"/>
      <c r="KTY35" s="9"/>
      <c r="KTZ35" s="9"/>
      <c r="KUA35" s="9"/>
      <c r="KUB35" s="10"/>
      <c r="KUC35" s="11"/>
      <c r="KUD35" s="12"/>
      <c r="KUE35" s="12"/>
      <c r="KUF35" s="12"/>
      <c r="KUG35" s="13"/>
      <c r="KUH35" s="9"/>
      <c r="KUI35" s="9"/>
      <c r="KUJ35" s="9"/>
      <c r="KUK35" s="9"/>
      <c r="KUL35" s="10"/>
      <c r="KUM35" s="11"/>
      <c r="KUN35" s="12"/>
      <c r="KUO35" s="12"/>
      <c r="KUP35" s="12"/>
      <c r="KUQ35" s="13"/>
      <c r="KUR35" s="9"/>
      <c r="KUS35" s="9"/>
      <c r="KUT35" s="9"/>
      <c r="KUU35" s="9"/>
      <c r="KUV35" s="10"/>
      <c r="KUW35" s="11"/>
      <c r="KUX35" s="12"/>
      <c r="KUY35" s="12"/>
      <c r="KUZ35" s="12"/>
      <c r="KVA35" s="13"/>
      <c r="KVB35" s="9"/>
      <c r="KVC35" s="9"/>
      <c r="KVD35" s="9"/>
      <c r="KVE35" s="9"/>
      <c r="KVF35" s="10"/>
      <c r="KVG35" s="11"/>
      <c r="KVH35" s="12"/>
      <c r="KVI35" s="12"/>
      <c r="KVJ35" s="12"/>
      <c r="KVK35" s="13"/>
      <c r="KVL35" s="9"/>
      <c r="KVM35" s="9"/>
      <c r="KVN35" s="9"/>
      <c r="KVO35" s="9"/>
      <c r="KVP35" s="10"/>
      <c r="KVQ35" s="11"/>
      <c r="KVR35" s="12"/>
      <c r="KVS35" s="12"/>
      <c r="KVT35" s="12"/>
      <c r="KVU35" s="13"/>
      <c r="KVV35" s="9"/>
      <c r="KVW35" s="9"/>
      <c r="KVX35" s="9"/>
      <c r="KVY35" s="9"/>
      <c r="KVZ35" s="10"/>
      <c r="KWA35" s="11"/>
      <c r="KWB35" s="12"/>
      <c r="KWC35" s="12"/>
      <c r="KWD35" s="12"/>
      <c r="KWE35" s="13"/>
      <c r="KWF35" s="9"/>
      <c r="KWG35" s="9"/>
      <c r="KWH35" s="9"/>
      <c r="KWI35" s="9"/>
      <c r="KWJ35" s="10"/>
      <c r="KWK35" s="11"/>
      <c r="KWL35" s="12"/>
      <c r="KWM35" s="12"/>
      <c r="KWN35" s="12"/>
      <c r="KWO35" s="13"/>
      <c r="KWP35" s="9"/>
      <c r="KWQ35" s="9"/>
      <c r="KWR35" s="9"/>
      <c r="KWS35" s="9"/>
      <c r="KWT35" s="10"/>
      <c r="KWU35" s="11"/>
      <c r="KWV35" s="12"/>
      <c r="KWW35" s="12"/>
      <c r="KWX35" s="12"/>
      <c r="KWY35" s="13"/>
      <c r="KWZ35" s="9"/>
      <c r="KXA35" s="9"/>
      <c r="KXB35" s="9"/>
      <c r="KXC35" s="9"/>
      <c r="KXD35" s="10"/>
      <c r="KXE35" s="11"/>
      <c r="KXF35" s="12"/>
      <c r="KXG35" s="12"/>
      <c r="KXH35" s="12"/>
      <c r="KXI35" s="13"/>
      <c r="KXJ35" s="9"/>
      <c r="KXK35" s="9"/>
      <c r="KXL35" s="9"/>
      <c r="KXM35" s="9"/>
      <c r="KXN35" s="10"/>
      <c r="KXO35" s="11"/>
      <c r="KXP35" s="12"/>
      <c r="KXQ35" s="12"/>
      <c r="KXR35" s="12"/>
      <c r="KXS35" s="13"/>
      <c r="KXT35" s="9"/>
      <c r="KXU35" s="9"/>
      <c r="KXV35" s="9"/>
      <c r="KXW35" s="9"/>
      <c r="KXX35" s="10"/>
      <c r="KXY35" s="11"/>
      <c r="KXZ35" s="12"/>
      <c r="KYA35" s="12"/>
      <c r="KYB35" s="12"/>
      <c r="KYC35" s="13"/>
      <c r="KYD35" s="9"/>
      <c r="KYE35" s="9"/>
      <c r="KYF35" s="9"/>
      <c r="KYG35" s="9"/>
      <c r="KYH35" s="10"/>
      <c r="KYI35" s="11"/>
      <c r="KYJ35" s="12"/>
      <c r="KYK35" s="12"/>
      <c r="KYL35" s="12"/>
      <c r="KYM35" s="13"/>
      <c r="KYN35" s="9"/>
      <c r="KYO35" s="9"/>
      <c r="KYP35" s="9"/>
      <c r="KYQ35" s="9"/>
      <c r="KYR35" s="10"/>
      <c r="KYS35" s="11"/>
      <c r="KYT35" s="12"/>
      <c r="KYU35" s="12"/>
      <c r="KYV35" s="12"/>
      <c r="KYW35" s="13"/>
      <c r="KYX35" s="9"/>
      <c r="KYY35" s="9"/>
      <c r="KYZ35" s="9"/>
      <c r="KZA35" s="9"/>
      <c r="KZB35" s="10"/>
      <c r="KZC35" s="11"/>
      <c r="KZD35" s="12"/>
      <c r="KZE35" s="12"/>
      <c r="KZF35" s="12"/>
      <c r="KZG35" s="13"/>
      <c r="KZH35" s="9"/>
      <c r="KZI35" s="9"/>
      <c r="KZJ35" s="9"/>
      <c r="KZK35" s="9"/>
      <c r="KZL35" s="10"/>
      <c r="KZM35" s="11"/>
      <c r="KZN35" s="12"/>
      <c r="KZO35" s="12"/>
      <c r="KZP35" s="12"/>
      <c r="KZQ35" s="13"/>
      <c r="KZR35" s="9"/>
      <c r="KZS35" s="9"/>
      <c r="KZT35" s="9"/>
      <c r="KZU35" s="9"/>
      <c r="KZV35" s="10"/>
      <c r="KZW35" s="11"/>
      <c r="KZX35" s="12"/>
      <c r="KZY35" s="12"/>
      <c r="KZZ35" s="12"/>
      <c r="LAA35" s="13"/>
      <c r="LAB35" s="9"/>
      <c r="LAC35" s="9"/>
      <c r="LAD35" s="9"/>
      <c r="LAE35" s="9"/>
      <c r="LAF35" s="10"/>
      <c r="LAG35" s="11"/>
      <c r="LAH35" s="12"/>
      <c r="LAI35" s="12"/>
      <c r="LAJ35" s="12"/>
      <c r="LAK35" s="13"/>
      <c r="LAL35" s="9"/>
      <c r="LAM35" s="9"/>
      <c r="LAN35" s="9"/>
      <c r="LAO35" s="9"/>
      <c r="LAP35" s="10"/>
      <c r="LAQ35" s="11"/>
      <c r="LAR35" s="12"/>
      <c r="LAS35" s="12"/>
      <c r="LAT35" s="12"/>
      <c r="LAU35" s="13"/>
      <c r="LAV35" s="9"/>
      <c r="LAW35" s="9"/>
      <c r="LAX35" s="9"/>
      <c r="LAY35" s="9"/>
      <c r="LAZ35" s="10"/>
      <c r="LBA35" s="11"/>
      <c r="LBB35" s="12"/>
      <c r="LBC35" s="12"/>
      <c r="LBD35" s="12"/>
      <c r="LBE35" s="13"/>
      <c r="LBF35" s="9"/>
      <c r="LBG35" s="9"/>
      <c r="LBH35" s="9"/>
      <c r="LBI35" s="9"/>
      <c r="LBJ35" s="10"/>
      <c r="LBK35" s="11"/>
      <c r="LBL35" s="12"/>
      <c r="LBM35" s="12"/>
      <c r="LBN35" s="12"/>
      <c r="LBO35" s="13"/>
      <c r="LBP35" s="9"/>
      <c r="LBQ35" s="9"/>
      <c r="LBR35" s="9"/>
      <c r="LBS35" s="9"/>
      <c r="LBT35" s="10"/>
      <c r="LBU35" s="11"/>
      <c r="LBV35" s="12"/>
      <c r="LBW35" s="12"/>
      <c r="LBX35" s="12"/>
      <c r="LBY35" s="13"/>
      <c r="LBZ35" s="9"/>
      <c r="LCA35" s="9"/>
      <c r="LCB35" s="9"/>
      <c r="LCC35" s="9"/>
      <c r="LCD35" s="10"/>
      <c r="LCE35" s="11"/>
      <c r="LCF35" s="12"/>
      <c r="LCG35" s="12"/>
      <c r="LCH35" s="12"/>
      <c r="LCI35" s="13"/>
      <c r="LCJ35" s="9"/>
      <c r="LCK35" s="9"/>
      <c r="LCL35" s="9"/>
      <c r="LCM35" s="9"/>
      <c r="LCN35" s="10"/>
      <c r="LCO35" s="11"/>
      <c r="LCP35" s="12"/>
      <c r="LCQ35" s="12"/>
      <c r="LCR35" s="12"/>
      <c r="LCS35" s="13"/>
      <c r="LCT35" s="9"/>
      <c r="LCU35" s="9"/>
      <c r="LCV35" s="9"/>
      <c r="LCW35" s="9"/>
      <c r="LCX35" s="10"/>
      <c r="LCY35" s="11"/>
      <c r="LCZ35" s="12"/>
      <c r="LDA35" s="12"/>
      <c r="LDB35" s="12"/>
      <c r="LDC35" s="13"/>
      <c r="LDD35" s="9"/>
      <c r="LDE35" s="9"/>
      <c r="LDF35" s="9"/>
      <c r="LDG35" s="9"/>
      <c r="LDH35" s="10"/>
      <c r="LDI35" s="11"/>
      <c r="LDJ35" s="12"/>
      <c r="LDK35" s="12"/>
      <c r="LDL35" s="12"/>
      <c r="LDM35" s="13"/>
      <c r="LDN35" s="9"/>
      <c r="LDO35" s="9"/>
      <c r="LDP35" s="9"/>
      <c r="LDQ35" s="9"/>
      <c r="LDR35" s="10"/>
      <c r="LDS35" s="11"/>
      <c r="LDT35" s="12"/>
      <c r="LDU35" s="12"/>
      <c r="LDV35" s="12"/>
      <c r="LDW35" s="13"/>
      <c r="LDX35" s="9"/>
      <c r="LDY35" s="9"/>
      <c r="LDZ35" s="9"/>
      <c r="LEA35" s="9"/>
      <c r="LEB35" s="10"/>
      <c r="LEC35" s="11"/>
      <c r="LED35" s="12"/>
      <c r="LEE35" s="12"/>
      <c r="LEF35" s="12"/>
      <c r="LEG35" s="13"/>
      <c r="LEH35" s="9"/>
      <c r="LEI35" s="9"/>
      <c r="LEJ35" s="9"/>
      <c r="LEK35" s="9"/>
      <c r="LEL35" s="10"/>
      <c r="LEM35" s="11"/>
      <c r="LEN35" s="12"/>
      <c r="LEO35" s="12"/>
      <c r="LEP35" s="12"/>
      <c r="LEQ35" s="13"/>
      <c r="LER35" s="9"/>
      <c r="LES35" s="9"/>
      <c r="LET35" s="9"/>
      <c r="LEU35" s="9"/>
      <c r="LEV35" s="10"/>
      <c r="LEW35" s="11"/>
      <c r="LEX35" s="12"/>
      <c r="LEY35" s="12"/>
      <c r="LEZ35" s="12"/>
      <c r="LFA35" s="13"/>
      <c r="LFB35" s="9"/>
      <c r="LFC35" s="9"/>
      <c r="LFD35" s="9"/>
      <c r="LFE35" s="9"/>
      <c r="LFF35" s="10"/>
      <c r="LFG35" s="11"/>
      <c r="LFH35" s="12"/>
      <c r="LFI35" s="12"/>
      <c r="LFJ35" s="12"/>
      <c r="LFK35" s="13"/>
      <c r="LFL35" s="9"/>
      <c r="LFM35" s="9"/>
      <c r="LFN35" s="9"/>
      <c r="LFO35" s="9"/>
      <c r="LFP35" s="10"/>
      <c r="LFQ35" s="11"/>
      <c r="LFR35" s="12"/>
      <c r="LFS35" s="12"/>
      <c r="LFT35" s="12"/>
      <c r="LFU35" s="13"/>
      <c r="LFV35" s="9"/>
      <c r="LFW35" s="9"/>
      <c r="LFX35" s="9"/>
      <c r="LFY35" s="9"/>
      <c r="LFZ35" s="10"/>
      <c r="LGA35" s="11"/>
      <c r="LGB35" s="12"/>
      <c r="LGC35" s="12"/>
      <c r="LGD35" s="12"/>
      <c r="LGE35" s="13"/>
      <c r="LGF35" s="9"/>
      <c r="LGG35" s="9"/>
      <c r="LGH35" s="9"/>
      <c r="LGI35" s="9"/>
      <c r="LGJ35" s="10"/>
      <c r="LGK35" s="11"/>
      <c r="LGL35" s="12"/>
      <c r="LGM35" s="12"/>
      <c r="LGN35" s="12"/>
      <c r="LGO35" s="13"/>
      <c r="LGP35" s="9"/>
      <c r="LGQ35" s="9"/>
      <c r="LGR35" s="9"/>
      <c r="LGS35" s="9"/>
      <c r="LGT35" s="10"/>
      <c r="LGU35" s="11"/>
      <c r="LGV35" s="12"/>
      <c r="LGW35" s="12"/>
      <c r="LGX35" s="12"/>
      <c r="LGY35" s="13"/>
      <c r="LGZ35" s="9"/>
      <c r="LHA35" s="9"/>
      <c r="LHB35" s="9"/>
      <c r="LHC35" s="9"/>
      <c r="LHD35" s="10"/>
      <c r="LHE35" s="11"/>
      <c r="LHF35" s="12"/>
      <c r="LHG35" s="12"/>
      <c r="LHH35" s="12"/>
      <c r="LHI35" s="13"/>
      <c r="LHJ35" s="9"/>
      <c r="LHK35" s="9"/>
      <c r="LHL35" s="9"/>
      <c r="LHM35" s="9"/>
      <c r="LHN35" s="10"/>
      <c r="LHO35" s="11"/>
      <c r="LHP35" s="12"/>
      <c r="LHQ35" s="12"/>
      <c r="LHR35" s="12"/>
      <c r="LHS35" s="13"/>
      <c r="LHT35" s="9"/>
      <c r="LHU35" s="9"/>
      <c r="LHV35" s="9"/>
      <c r="LHW35" s="9"/>
      <c r="LHX35" s="10"/>
      <c r="LHY35" s="11"/>
      <c r="LHZ35" s="12"/>
      <c r="LIA35" s="12"/>
      <c r="LIB35" s="12"/>
      <c r="LIC35" s="13"/>
      <c r="LID35" s="9"/>
      <c r="LIE35" s="9"/>
      <c r="LIF35" s="9"/>
      <c r="LIG35" s="9"/>
      <c r="LIH35" s="10"/>
      <c r="LII35" s="11"/>
      <c r="LIJ35" s="12"/>
      <c r="LIK35" s="12"/>
      <c r="LIL35" s="12"/>
      <c r="LIM35" s="13"/>
      <c r="LIN35" s="9"/>
      <c r="LIO35" s="9"/>
      <c r="LIP35" s="9"/>
      <c r="LIQ35" s="9"/>
      <c r="LIR35" s="10"/>
      <c r="LIS35" s="11"/>
      <c r="LIT35" s="12"/>
      <c r="LIU35" s="12"/>
      <c r="LIV35" s="12"/>
      <c r="LIW35" s="13"/>
      <c r="LIX35" s="9"/>
      <c r="LIY35" s="9"/>
      <c r="LIZ35" s="9"/>
      <c r="LJA35" s="9"/>
      <c r="LJB35" s="10"/>
      <c r="LJC35" s="11"/>
      <c r="LJD35" s="12"/>
      <c r="LJE35" s="12"/>
      <c r="LJF35" s="12"/>
      <c r="LJG35" s="13"/>
      <c r="LJH35" s="9"/>
      <c r="LJI35" s="9"/>
      <c r="LJJ35" s="9"/>
      <c r="LJK35" s="9"/>
      <c r="LJL35" s="10"/>
      <c r="LJM35" s="11"/>
      <c r="LJN35" s="12"/>
      <c r="LJO35" s="12"/>
      <c r="LJP35" s="12"/>
      <c r="LJQ35" s="13"/>
      <c r="LJR35" s="9"/>
      <c r="LJS35" s="9"/>
      <c r="LJT35" s="9"/>
      <c r="LJU35" s="9"/>
      <c r="LJV35" s="10"/>
      <c r="LJW35" s="11"/>
      <c r="LJX35" s="12"/>
      <c r="LJY35" s="12"/>
      <c r="LJZ35" s="12"/>
      <c r="LKA35" s="13"/>
      <c r="LKB35" s="9"/>
      <c r="LKC35" s="9"/>
      <c r="LKD35" s="9"/>
      <c r="LKE35" s="9"/>
      <c r="LKF35" s="10"/>
      <c r="LKG35" s="11"/>
      <c r="LKH35" s="12"/>
      <c r="LKI35" s="12"/>
      <c r="LKJ35" s="12"/>
      <c r="LKK35" s="13"/>
      <c r="LKL35" s="9"/>
      <c r="LKM35" s="9"/>
      <c r="LKN35" s="9"/>
      <c r="LKO35" s="9"/>
      <c r="LKP35" s="10"/>
      <c r="LKQ35" s="11"/>
      <c r="LKR35" s="12"/>
      <c r="LKS35" s="12"/>
      <c r="LKT35" s="12"/>
      <c r="LKU35" s="13"/>
      <c r="LKV35" s="9"/>
      <c r="LKW35" s="9"/>
      <c r="LKX35" s="9"/>
      <c r="LKY35" s="9"/>
      <c r="LKZ35" s="10"/>
      <c r="LLA35" s="11"/>
      <c r="LLB35" s="12"/>
      <c r="LLC35" s="12"/>
      <c r="LLD35" s="12"/>
      <c r="LLE35" s="13"/>
      <c r="LLF35" s="9"/>
      <c r="LLG35" s="9"/>
      <c r="LLH35" s="9"/>
      <c r="LLI35" s="9"/>
      <c r="LLJ35" s="10"/>
      <c r="LLK35" s="11"/>
      <c r="LLL35" s="12"/>
      <c r="LLM35" s="12"/>
      <c r="LLN35" s="12"/>
      <c r="LLO35" s="13"/>
      <c r="LLP35" s="9"/>
      <c r="LLQ35" s="9"/>
      <c r="LLR35" s="9"/>
      <c r="LLS35" s="9"/>
      <c r="LLT35" s="10"/>
      <c r="LLU35" s="11"/>
      <c r="LLV35" s="12"/>
      <c r="LLW35" s="12"/>
      <c r="LLX35" s="12"/>
      <c r="LLY35" s="13"/>
      <c r="LLZ35" s="9"/>
      <c r="LMA35" s="9"/>
      <c r="LMB35" s="9"/>
      <c r="LMC35" s="9"/>
      <c r="LMD35" s="10"/>
      <c r="LME35" s="11"/>
      <c r="LMF35" s="12"/>
      <c r="LMG35" s="12"/>
      <c r="LMH35" s="12"/>
      <c r="LMI35" s="13"/>
      <c r="LMJ35" s="9"/>
      <c r="LMK35" s="9"/>
      <c r="LML35" s="9"/>
      <c r="LMM35" s="9"/>
      <c r="LMN35" s="10"/>
      <c r="LMO35" s="11"/>
      <c r="LMP35" s="12"/>
      <c r="LMQ35" s="12"/>
      <c r="LMR35" s="12"/>
      <c r="LMS35" s="13"/>
      <c r="LMT35" s="9"/>
      <c r="LMU35" s="9"/>
      <c r="LMV35" s="9"/>
      <c r="LMW35" s="9"/>
      <c r="LMX35" s="10"/>
      <c r="LMY35" s="11"/>
      <c r="LMZ35" s="12"/>
      <c r="LNA35" s="12"/>
      <c r="LNB35" s="12"/>
      <c r="LNC35" s="13"/>
      <c r="LND35" s="9"/>
      <c r="LNE35" s="9"/>
      <c r="LNF35" s="9"/>
      <c r="LNG35" s="9"/>
      <c r="LNH35" s="10"/>
      <c r="LNI35" s="11"/>
      <c r="LNJ35" s="12"/>
      <c r="LNK35" s="12"/>
      <c r="LNL35" s="12"/>
      <c r="LNM35" s="13"/>
      <c r="LNN35" s="9"/>
      <c r="LNO35" s="9"/>
      <c r="LNP35" s="9"/>
      <c r="LNQ35" s="9"/>
      <c r="LNR35" s="10"/>
      <c r="LNS35" s="11"/>
      <c r="LNT35" s="12"/>
      <c r="LNU35" s="12"/>
      <c r="LNV35" s="12"/>
      <c r="LNW35" s="13"/>
      <c r="LNX35" s="9"/>
      <c r="LNY35" s="9"/>
      <c r="LNZ35" s="9"/>
      <c r="LOA35" s="9"/>
      <c r="LOB35" s="10"/>
      <c r="LOC35" s="11"/>
      <c r="LOD35" s="12"/>
      <c r="LOE35" s="12"/>
      <c r="LOF35" s="12"/>
      <c r="LOG35" s="13"/>
      <c r="LOH35" s="9"/>
      <c r="LOI35" s="9"/>
      <c r="LOJ35" s="9"/>
      <c r="LOK35" s="9"/>
      <c r="LOL35" s="10"/>
      <c r="LOM35" s="11"/>
      <c r="LON35" s="12"/>
      <c r="LOO35" s="12"/>
      <c r="LOP35" s="12"/>
      <c r="LOQ35" s="13"/>
      <c r="LOR35" s="9"/>
      <c r="LOS35" s="9"/>
      <c r="LOT35" s="9"/>
      <c r="LOU35" s="9"/>
      <c r="LOV35" s="10"/>
      <c r="LOW35" s="11"/>
      <c r="LOX35" s="12"/>
      <c r="LOY35" s="12"/>
      <c r="LOZ35" s="12"/>
      <c r="LPA35" s="13"/>
      <c r="LPB35" s="9"/>
      <c r="LPC35" s="9"/>
      <c r="LPD35" s="9"/>
      <c r="LPE35" s="9"/>
      <c r="LPF35" s="10"/>
      <c r="LPG35" s="11"/>
      <c r="LPH35" s="12"/>
      <c r="LPI35" s="12"/>
      <c r="LPJ35" s="12"/>
      <c r="LPK35" s="13"/>
      <c r="LPL35" s="9"/>
      <c r="LPM35" s="9"/>
      <c r="LPN35" s="9"/>
      <c r="LPO35" s="9"/>
      <c r="LPP35" s="10"/>
      <c r="LPQ35" s="11"/>
      <c r="LPR35" s="12"/>
      <c r="LPS35" s="12"/>
      <c r="LPT35" s="12"/>
      <c r="LPU35" s="13"/>
      <c r="LPV35" s="9"/>
      <c r="LPW35" s="9"/>
      <c r="LPX35" s="9"/>
      <c r="LPY35" s="9"/>
      <c r="LPZ35" s="10"/>
      <c r="LQA35" s="11"/>
      <c r="LQB35" s="12"/>
      <c r="LQC35" s="12"/>
      <c r="LQD35" s="12"/>
      <c r="LQE35" s="13"/>
      <c r="LQF35" s="9"/>
      <c r="LQG35" s="9"/>
      <c r="LQH35" s="9"/>
      <c r="LQI35" s="9"/>
      <c r="LQJ35" s="10"/>
      <c r="LQK35" s="11"/>
      <c r="LQL35" s="12"/>
      <c r="LQM35" s="12"/>
      <c r="LQN35" s="12"/>
      <c r="LQO35" s="13"/>
      <c r="LQP35" s="9"/>
      <c r="LQQ35" s="9"/>
      <c r="LQR35" s="9"/>
      <c r="LQS35" s="9"/>
      <c r="LQT35" s="10"/>
      <c r="LQU35" s="11"/>
      <c r="LQV35" s="12"/>
      <c r="LQW35" s="12"/>
      <c r="LQX35" s="12"/>
      <c r="LQY35" s="13"/>
      <c r="LQZ35" s="9"/>
      <c r="LRA35" s="9"/>
      <c r="LRB35" s="9"/>
      <c r="LRC35" s="9"/>
      <c r="LRD35" s="10"/>
      <c r="LRE35" s="11"/>
      <c r="LRF35" s="12"/>
      <c r="LRG35" s="12"/>
      <c r="LRH35" s="12"/>
      <c r="LRI35" s="13"/>
      <c r="LRJ35" s="9"/>
      <c r="LRK35" s="9"/>
      <c r="LRL35" s="9"/>
      <c r="LRM35" s="9"/>
      <c r="LRN35" s="10"/>
      <c r="LRO35" s="11"/>
      <c r="LRP35" s="12"/>
      <c r="LRQ35" s="12"/>
      <c r="LRR35" s="12"/>
      <c r="LRS35" s="13"/>
      <c r="LRT35" s="9"/>
      <c r="LRU35" s="9"/>
      <c r="LRV35" s="9"/>
      <c r="LRW35" s="9"/>
      <c r="LRX35" s="10"/>
      <c r="LRY35" s="11"/>
      <c r="LRZ35" s="12"/>
      <c r="LSA35" s="12"/>
      <c r="LSB35" s="12"/>
      <c r="LSC35" s="13"/>
      <c r="LSD35" s="9"/>
      <c r="LSE35" s="9"/>
      <c r="LSF35" s="9"/>
      <c r="LSG35" s="9"/>
      <c r="LSH35" s="10"/>
      <c r="LSI35" s="11"/>
      <c r="LSJ35" s="12"/>
      <c r="LSK35" s="12"/>
      <c r="LSL35" s="12"/>
      <c r="LSM35" s="13"/>
      <c r="LSN35" s="9"/>
      <c r="LSO35" s="9"/>
      <c r="LSP35" s="9"/>
      <c r="LSQ35" s="9"/>
      <c r="LSR35" s="10"/>
      <c r="LSS35" s="11"/>
      <c r="LST35" s="12"/>
      <c r="LSU35" s="12"/>
      <c r="LSV35" s="12"/>
      <c r="LSW35" s="13"/>
      <c r="LSX35" s="9"/>
      <c r="LSY35" s="9"/>
      <c r="LSZ35" s="9"/>
      <c r="LTA35" s="9"/>
      <c r="LTB35" s="10"/>
      <c r="LTC35" s="11"/>
      <c r="LTD35" s="12"/>
      <c r="LTE35" s="12"/>
      <c r="LTF35" s="12"/>
      <c r="LTG35" s="13"/>
      <c r="LTH35" s="9"/>
      <c r="LTI35" s="9"/>
      <c r="LTJ35" s="9"/>
      <c r="LTK35" s="9"/>
      <c r="LTL35" s="10"/>
      <c r="LTM35" s="11"/>
      <c r="LTN35" s="12"/>
      <c r="LTO35" s="12"/>
      <c r="LTP35" s="12"/>
      <c r="LTQ35" s="13"/>
      <c r="LTR35" s="9"/>
      <c r="LTS35" s="9"/>
      <c r="LTT35" s="9"/>
      <c r="LTU35" s="9"/>
      <c r="LTV35" s="10"/>
      <c r="LTW35" s="11"/>
      <c r="LTX35" s="12"/>
      <c r="LTY35" s="12"/>
      <c r="LTZ35" s="12"/>
      <c r="LUA35" s="13"/>
      <c r="LUB35" s="9"/>
      <c r="LUC35" s="9"/>
      <c r="LUD35" s="9"/>
      <c r="LUE35" s="9"/>
      <c r="LUF35" s="10"/>
      <c r="LUG35" s="11"/>
      <c r="LUH35" s="12"/>
      <c r="LUI35" s="12"/>
      <c r="LUJ35" s="12"/>
      <c r="LUK35" s="13"/>
      <c r="LUL35" s="9"/>
      <c r="LUM35" s="9"/>
      <c r="LUN35" s="9"/>
      <c r="LUO35" s="9"/>
      <c r="LUP35" s="10"/>
      <c r="LUQ35" s="11"/>
      <c r="LUR35" s="12"/>
      <c r="LUS35" s="12"/>
      <c r="LUT35" s="12"/>
      <c r="LUU35" s="13"/>
      <c r="LUV35" s="9"/>
      <c r="LUW35" s="9"/>
      <c r="LUX35" s="9"/>
      <c r="LUY35" s="9"/>
      <c r="LUZ35" s="10"/>
      <c r="LVA35" s="11"/>
      <c r="LVB35" s="12"/>
      <c r="LVC35" s="12"/>
      <c r="LVD35" s="12"/>
      <c r="LVE35" s="13"/>
      <c r="LVF35" s="9"/>
      <c r="LVG35" s="9"/>
      <c r="LVH35" s="9"/>
      <c r="LVI35" s="9"/>
      <c r="LVJ35" s="10"/>
      <c r="LVK35" s="11"/>
      <c r="LVL35" s="12"/>
      <c r="LVM35" s="12"/>
      <c r="LVN35" s="12"/>
      <c r="LVO35" s="13"/>
      <c r="LVP35" s="9"/>
      <c r="LVQ35" s="9"/>
      <c r="LVR35" s="9"/>
      <c r="LVS35" s="9"/>
      <c r="LVT35" s="10"/>
      <c r="LVU35" s="11"/>
      <c r="LVV35" s="12"/>
      <c r="LVW35" s="12"/>
      <c r="LVX35" s="12"/>
      <c r="LVY35" s="13"/>
      <c r="LVZ35" s="9"/>
      <c r="LWA35" s="9"/>
      <c r="LWB35" s="9"/>
      <c r="LWC35" s="9"/>
      <c r="LWD35" s="10"/>
      <c r="LWE35" s="11"/>
      <c r="LWF35" s="12"/>
      <c r="LWG35" s="12"/>
      <c r="LWH35" s="12"/>
      <c r="LWI35" s="13"/>
      <c r="LWJ35" s="9"/>
      <c r="LWK35" s="9"/>
      <c r="LWL35" s="9"/>
      <c r="LWM35" s="9"/>
      <c r="LWN35" s="10"/>
      <c r="LWO35" s="11"/>
      <c r="LWP35" s="12"/>
      <c r="LWQ35" s="12"/>
      <c r="LWR35" s="12"/>
      <c r="LWS35" s="13"/>
      <c r="LWT35" s="9"/>
      <c r="LWU35" s="9"/>
      <c r="LWV35" s="9"/>
      <c r="LWW35" s="9"/>
      <c r="LWX35" s="10"/>
      <c r="LWY35" s="11"/>
      <c r="LWZ35" s="12"/>
      <c r="LXA35" s="12"/>
      <c r="LXB35" s="12"/>
      <c r="LXC35" s="13"/>
      <c r="LXD35" s="9"/>
      <c r="LXE35" s="9"/>
      <c r="LXF35" s="9"/>
      <c r="LXG35" s="9"/>
      <c r="LXH35" s="10"/>
      <c r="LXI35" s="11"/>
      <c r="LXJ35" s="12"/>
      <c r="LXK35" s="12"/>
      <c r="LXL35" s="12"/>
      <c r="LXM35" s="13"/>
      <c r="LXN35" s="9"/>
      <c r="LXO35" s="9"/>
      <c r="LXP35" s="9"/>
      <c r="LXQ35" s="9"/>
      <c r="LXR35" s="10"/>
      <c r="LXS35" s="11"/>
      <c r="LXT35" s="12"/>
      <c r="LXU35" s="12"/>
      <c r="LXV35" s="12"/>
      <c r="LXW35" s="13"/>
      <c r="LXX35" s="9"/>
      <c r="LXY35" s="9"/>
      <c r="LXZ35" s="9"/>
      <c r="LYA35" s="9"/>
      <c r="LYB35" s="10"/>
      <c r="LYC35" s="11"/>
      <c r="LYD35" s="12"/>
      <c r="LYE35" s="12"/>
      <c r="LYF35" s="12"/>
      <c r="LYG35" s="13"/>
      <c r="LYH35" s="9"/>
      <c r="LYI35" s="9"/>
      <c r="LYJ35" s="9"/>
      <c r="LYK35" s="9"/>
      <c r="LYL35" s="10"/>
      <c r="LYM35" s="11"/>
      <c r="LYN35" s="12"/>
      <c r="LYO35" s="12"/>
      <c r="LYP35" s="12"/>
      <c r="LYQ35" s="13"/>
      <c r="LYR35" s="9"/>
      <c r="LYS35" s="9"/>
      <c r="LYT35" s="9"/>
      <c r="LYU35" s="9"/>
      <c r="LYV35" s="10"/>
      <c r="LYW35" s="11"/>
      <c r="LYX35" s="12"/>
      <c r="LYY35" s="12"/>
      <c r="LYZ35" s="12"/>
      <c r="LZA35" s="13"/>
      <c r="LZB35" s="9"/>
      <c r="LZC35" s="9"/>
      <c r="LZD35" s="9"/>
      <c r="LZE35" s="9"/>
      <c r="LZF35" s="10"/>
      <c r="LZG35" s="11"/>
      <c r="LZH35" s="12"/>
      <c r="LZI35" s="12"/>
      <c r="LZJ35" s="12"/>
      <c r="LZK35" s="13"/>
      <c r="LZL35" s="9"/>
      <c r="LZM35" s="9"/>
      <c r="LZN35" s="9"/>
      <c r="LZO35" s="9"/>
      <c r="LZP35" s="10"/>
      <c r="LZQ35" s="11"/>
      <c r="LZR35" s="12"/>
      <c r="LZS35" s="12"/>
      <c r="LZT35" s="12"/>
      <c r="LZU35" s="13"/>
      <c r="LZV35" s="9"/>
      <c r="LZW35" s="9"/>
      <c r="LZX35" s="9"/>
      <c r="LZY35" s="9"/>
      <c r="LZZ35" s="10"/>
      <c r="MAA35" s="11"/>
      <c r="MAB35" s="12"/>
      <c r="MAC35" s="12"/>
      <c r="MAD35" s="12"/>
      <c r="MAE35" s="13"/>
      <c r="MAF35" s="9"/>
      <c r="MAG35" s="9"/>
      <c r="MAH35" s="9"/>
      <c r="MAI35" s="9"/>
      <c r="MAJ35" s="10"/>
      <c r="MAK35" s="11"/>
      <c r="MAL35" s="12"/>
      <c r="MAM35" s="12"/>
      <c r="MAN35" s="12"/>
      <c r="MAO35" s="13"/>
      <c r="MAP35" s="9"/>
      <c r="MAQ35" s="9"/>
      <c r="MAR35" s="9"/>
      <c r="MAS35" s="9"/>
      <c r="MAT35" s="10"/>
      <c r="MAU35" s="11"/>
      <c r="MAV35" s="12"/>
      <c r="MAW35" s="12"/>
      <c r="MAX35" s="12"/>
      <c r="MAY35" s="13"/>
      <c r="MAZ35" s="9"/>
      <c r="MBA35" s="9"/>
      <c r="MBB35" s="9"/>
      <c r="MBC35" s="9"/>
      <c r="MBD35" s="10"/>
      <c r="MBE35" s="11"/>
      <c r="MBF35" s="12"/>
      <c r="MBG35" s="12"/>
      <c r="MBH35" s="12"/>
      <c r="MBI35" s="13"/>
      <c r="MBJ35" s="9"/>
      <c r="MBK35" s="9"/>
      <c r="MBL35" s="9"/>
      <c r="MBM35" s="9"/>
      <c r="MBN35" s="10"/>
      <c r="MBO35" s="11"/>
      <c r="MBP35" s="12"/>
      <c r="MBQ35" s="12"/>
      <c r="MBR35" s="12"/>
      <c r="MBS35" s="13"/>
      <c r="MBT35" s="9"/>
      <c r="MBU35" s="9"/>
      <c r="MBV35" s="9"/>
      <c r="MBW35" s="9"/>
      <c r="MBX35" s="10"/>
      <c r="MBY35" s="11"/>
      <c r="MBZ35" s="12"/>
      <c r="MCA35" s="12"/>
      <c r="MCB35" s="12"/>
      <c r="MCC35" s="13"/>
      <c r="MCD35" s="9"/>
      <c r="MCE35" s="9"/>
      <c r="MCF35" s="9"/>
      <c r="MCG35" s="9"/>
      <c r="MCH35" s="10"/>
      <c r="MCI35" s="11"/>
      <c r="MCJ35" s="12"/>
      <c r="MCK35" s="12"/>
      <c r="MCL35" s="12"/>
      <c r="MCM35" s="13"/>
      <c r="MCN35" s="9"/>
      <c r="MCO35" s="9"/>
      <c r="MCP35" s="9"/>
      <c r="MCQ35" s="9"/>
      <c r="MCR35" s="10"/>
      <c r="MCS35" s="11"/>
      <c r="MCT35" s="12"/>
      <c r="MCU35" s="12"/>
      <c r="MCV35" s="12"/>
      <c r="MCW35" s="13"/>
      <c r="MCX35" s="9"/>
      <c r="MCY35" s="9"/>
      <c r="MCZ35" s="9"/>
      <c r="MDA35" s="9"/>
      <c r="MDB35" s="10"/>
      <c r="MDC35" s="11"/>
      <c r="MDD35" s="12"/>
      <c r="MDE35" s="12"/>
      <c r="MDF35" s="12"/>
      <c r="MDG35" s="13"/>
      <c r="MDH35" s="9"/>
      <c r="MDI35" s="9"/>
      <c r="MDJ35" s="9"/>
      <c r="MDK35" s="9"/>
      <c r="MDL35" s="10"/>
      <c r="MDM35" s="11"/>
      <c r="MDN35" s="12"/>
      <c r="MDO35" s="12"/>
      <c r="MDP35" s="12"/>
      <c r="MDQ35" s="13"/>
      <c r="MDR35" s="9"/>
      <c r="MDS35" s="9"/>
      <c r="MDT35" s="9"/>
      <c r="MDU35" s="9"/>
      <c r="MDV35" s="10"/>
      <c r="MDW35" s="11"/>
      <c r="MDX35" s="12"/>
      <c r="MDY35" s="12"/>
      <c r="MDZ35" s="12"/>
      <c r="MEA35" s="13"/>
      <c r="MEB35" s="9"/>
      <c r="MEC35" s="9"/>
      <c r="MED35" s="9"/>
      <c r="MEE35" s="9"/>
      <c r="MEF35" s="10"/>
      <c r="MEG35" s="11"/>
      <c r="MEH35" s="12"/>
      <c r="MEI35" s="12"/>
      <c r="MEJ35" s="12"/>
      <c r="MEK35" s="13"/>
      <c r="MEL35" s="9"/>
      <c r="MEM35" s="9"/>
      <c r="MEN35" s="9"/>
      <c r="MEO35" s="9"/>
      <c r="MEP35" s="10"/>
      <c r="MEQ35" s="11"/>
      <c r="MER35" s="12"/>
      <c r="MES35" s="12"/>
      <c r="MET35" s="12"/>
      <c r="MEU35" s="13"/>
      <c r="MEV35" s="9"/>
      <c r="MEW35" s="9"/>
      <c r="MEX35" s="9"/>
      <c r="MEY35" s="9"/>
      <c r="MEZ35" s="10"/>
      <c r="MFA35" s="11"/>
      <c r="MFB35" s="12"/>
      <c r="MFC35" s="12"/>
      <c r="MFD35" s="12"/>
      <c r="MFE35" s="13"/>
      <c r="MFF35" s="9"/>
      <c r="MFG35" s="9"/>
      <c r="MFH35" s="9"/>
      <c r="MFI35" s="9"/>
      <c r="MFJ35" s="10"/>
      <c r="MFK35" s="11"/>
      <c r="MFL35" s="12"/>
      <c r="MFM35" s="12"/>
      <c r="MFN35" s="12"/>
      <c r="MFO35" s="13"/>
      <c r="MFP35" s="9"/>
      <c r="MFQ35" s="9"/>
      <c r="MFR35" s="9"/>
      <c r="MFS35" s="9"/>
      <c r="MFT35" s="10"/>
      <c r="MFU35" s="11"/>
      <c r="MFV35" s="12"/>
      <c r="MFW35" s="12"/>
      <c r="MFX35" s="12"/>
      <c r="MFY35" s="13"/>
      <c r="MFZ35" s="9"/>
      <c r="MGA35" s="9"/>
      <c r="MGB35" s="9"/>
      <c r="MGC35" s="9"/>
      <c r="MGD35" s="10"/>
      <c r="MGE35" s="11"/>
      <c r="MGF35" s="12"/>
      <c r="MGG35" s="12"/>
      <c r="MGH35" s="12"/>
      <c r="MGI35" s="13"/>
      <c r="MGJ35" s="9"/>
      <c r="MGK35" s="9"/>
      <c r="MGL35" s="9"/>
      <c r="MGM35" s="9"/>
      <c r="MGN35" s="10"/>
      <c r="MGO35" s="11"/>
      <c r="MGP35" s="12"/>
      <c r="MGQ35" s="12"/>
      <c r="MGR35" s="12"/>
      <c r="MGS35" s="13"/>
      <c r="MGT35" s="9"/>
      <c r="MGU35" s="9"/>
      <c r="MGV35" s="9"/>
      <c r="MGW35" s="9"/>
      <c r="MGX35" s="10"/>
      <c r="MGY35" s="11"/>
      <c r="MGZ35" s="12"/>
      <c r="MHA35" s="12"/>
      <c r="MHB35" s="12"/>
      <c r="MHC35" s="13"/>
      <c r="MHD35" s="9"/>
      <c r="MHE35" s="9"/>
      <c r="MHF35" s="9"/>
      <c r="MHG35" s="9"/>
      <c r="MHH35" s="10"/>
      <c r="MHI35" s="11"/>
      <c r="MHJ35" s="12"/>
      <c r="MHK35" s="12"/>
      <c r="MHL35" s="12"/>
      <c r="MHM35" s="13"/>
      <c r="MHN35" s="9"/>
      <c r="MHO35" s="9"/>
      <c r="MHP35" s="9"/>
      <c r="MHQ35" s="9"/>
      <c r="MHR35" s="10"/>
      <c r="MHS35" s="11"/>
      <c r="MHT35" s="12"/>
      <c r="MHU35" s="12"/>
      <c r="MHV35" s="12"/>
      <c r="MHW35" s="13"/>
      <c r="MHX35" s="9"/>
      <c r="MHY35" s="9"/>
      <c r="MHZ35" s="9"/>
      <c r="MIA35" s="9"/>
      <c r="MIB35" s="10"/>
      <c r="MIC35" s="11"/>
      <c r="MID35" s="12"/>
      <c r="MIE35" s="12"/>
      <c r="MIF35" s="12"/>
      <c r="MIG35" s="13"/>
      <c r="MIH35" s="9"/>
      <c r="MII35" s="9"/>
      <c r="MIJ35" s="9"/>
      <c r="MIK35" s="9"/>
      <c r="MIL35" s="10"/>
      <c r="MIM35" s="11"/>
      <c r="MIN35" s="12"/>
      <c r="MIO35" s="12"/>
      <c r="MIP35" s="12"/>
      <c r="MIQ35" s="13"/>
      <c r="MIR35" s="9"/>
      <c r="MIS35" s="9"/>
      <c r="MIT35" s="9"/>
      <c r="MIU35" s="9"/>
      <c r="MIV35" s="10"/>
      <c r="MIW35" s="11"/>
      <c r="MIX35" s="12"/>
      <c r="MIY35" s="12"/>
      <c r="MIZ35" s="12"/>
      <c r="MJA35" s="13"/>
      <c r="MJB35" s="9"/>
      <c r="MJC35" s="9"/>
      <c r="MJD35" s="9"/>
      <c r="MJE35" s="9"/>
      <c r="MJF35" s="10"/>
      <c r="MJG35" s="11"/>
      <c r="MJH35" s="12"/>
      <c r="MJI35" s="12"/>
      <c r="MJJ35" s="12"/>
      <c r="MJK35" s="13"/>
      <c r="MJL35" s="9"/>
      <c r="MJM35" s="9"/>
      <c r="MJN35" s="9"/>
      <c r="MJO35" s="9"/>
      <c r="MJP35" s="10"/>
      <c r="MJQ35" s="11"/>
      <c r="MJR35" s="12"/>
      <c r="MJS35" s="12"/>
      <c r="MJT35" s="12"/>
      <c r="MJU35" s="13"/>
      <c r="MJV35" s="9"/>
      <c r="MJW35" s="9"/>
      <c r="MJX35" s="9"/>
      <c r="MJY35" s="9"/>
      <c r="MJZ35" s="10"/>
      <c r="MKA35" s="11"/>
      <c r="MKB35" s="12"/>
      <c r="MKC35" s="12"/>
      <c r="MKD35" s="12"/>
      <c r="MKE35" s="13"/>
      <c r="MKF35" s="9"/>
      <c r="MKG35" s="9"/>
      <c r="MKH35" s="9"/>
      <c r="MKI35" s="9"/>
      <c r="MKJ35" s="10"/>
      <c r="MKK35" s="11"/>
      <c r="MKL35" s="12"/>
      <c r="MKM35" s="12"/>
      <c r="MKN35" s="12"/>
      <c r="MKO35" s="13"/>
      <c r="MKP35" s="9"/>
      <c r="MKQ35" s="9"/>
      <c r="MKR35" s="9"/>
      <c r="MKS35" s="9"/>
      <c r="MKT35" s="10"/>
      <c r="MKU35" s="11"/>
      <c r="MKV35" s="12"/>
      <c r="MKW35" s="12"/>
      <c r="MKX35" s="12"/>
      <c r="MKY35" s="13"/>
      <c r="MKZ35" s="9"/>
      <c r="MLA35" s="9"/>
      <c r="MLB35" s="9"/>
      <c r="MLC35" s="9"/>
      <c r="MLD35" s="10"/>
      <c r="MLE35" s="11"/>
      <c r="MLF35" s="12"/>
      <c r="MLG35" s="12"/>
      <c r="MLH35" s="12"/>
      <c r="MLI35" s="13"/>
      <c r="MLJ35" s="9"/>
      <c r="MLK35" s="9"/>
      <c r="MLL35" s="9"/>
      <c r="MLM35" s="9"/>
      <c r="MLN35" s="10"/>
      <c r="MLO35" s="11"/>
      <c r="MLP35" s="12"/>
      <c r="MLQ35" s="12"/>
      <c r="MLR35" s="12"/>
      <c r="MLS35" s="13"/>
      <c r="MLT35" s="9"/>
      <c r="MLU35" s="9"/>
      <c r="MLV35" s="9"/>
      <c r="MLW35" s="9"/>
      <c r="MLX35" s="10"/>
      <c r="MLY35" s="11"/>
      <c r="MLZ35" s="12"/>
      <c r="MMA35" s="12"/>
      <c r="MMB35" s="12"/>
      <c r="MMC35" s="13"/>
      <c r="MMD35" s="9"/>
      <c r="MME35" s="9"/>
      <c r="MMF35" s="9"/>
      <c r="MMG35" s="9"/>
      <c r="MMH35" s="10"/>
      <c r="MMI35" s="11"/>
      <c r="MMJ35" s="12"/>
      <c r="MMK35" s="12"/>
      <c r="MML35" s="12"/>
      <c r="MMM35" s="13"/>
      <c r="MMN35" s="9"/>
      <c r="MMO35" s="9"/>
      <c r="MMP35" s="9"/>
      <c r="MMQ35" s="9"/>
      <c r="MMR35" s="10"/>
      <c r="MMS35" s="11"/>
      <c r="MMT35" s="12"/>
      <c r="MMU35" s="12"/>
      <c r="MMV35" s="12"/>
      <c r="MMW35" s="13"/>
      <c r="MMX35" s="9"/>
      <c r="MMY35" s="9"/>
      <c r="MMZ35" s="9"/>
      <c r="MNA35" s="9"/>
      <c r="MNB35" s="10"/>
      <c r="MNC35" s="11"/>
      <c r="MND35" s="12"/>
      <c r="MNE35" s="12"/>
      <c r="MNF35" s="12"/>
      <c r="MNG35" s="13"/>
      <c r="MNH35" s="9"/>
      <c r="MNI35" s="9"/>
      <c r="MNJ35" s="9"/>
      <c r="MNK35" s="9"/>
      <c r="MNL35" s="10"/>
      <c r="MNM35" s="11"/>
      <c r="MNN35" s="12"/>
      <c r="MNO35" s="12"/>
      <c r="MNP35" s="12"/>
      <c r="MNQ35" s="13"/>
      <c r="MNR35" s="9"/>
      <c r="MNS35" s="9"/>
      <c r="MNT35" s="9"/>
      <c r="MNU35" s="9"/>
      <c r="MNV35" s="10"/>
      <c r="MNW35" s="11"/>
      <c r="MNX35" s="12"/>
      <c r="MNY35" s="12"/>
      <c r="MNZ35" s="12"/>
      <c r="MOA35" s="13"/>
      <c r="MOB35" s="9"/>
      <c r="MOC35" s="9"/>
      <c r="MOD35" s="9"/>
      <c r="MOE35" s="9"/>
      <c r="MOF35" s="10"/>
      <c r="MOG35" s="11"/>
      <c r="MOH35" s="12"/>
      <c r="MOI35" s="12"/>
      <c r="MOJ35" s="12"/>
      <c r="MOK35" s="13"/>
      <c r="MOL35" s="9"/>
      <c r="MOM35" s="9"/>
      <c r="MON35" s="9"/>
      <c r="MOO35" s="9"/>
      <c r="MOP35" s="10"/>
      <c r="MOQ35" s="11"/>
      <c r="MOR35" s="12"/>
      <c r="MOS35" s="12"/>
      <c r="MOT35" s="12"/>
      <c r="MOU35" s="13"/>
      <c r="MOV35" s="9"/>
      <c r="MOW35" s="9"/>
      <c r="MOX35" s="9"/>
      <c r="MOY35" s="9"/>
      <c r="MOZ35" s="10"/>
      <c r="MPA35" s="11"/>
      <c r="MPB35" s="12"/>
      <c r="MPC35" s="12"/>
      <c r="MPD35" s="12"/>
      <c r="MPE35" s="13"/>
      <c r="MPF35" s="9"/>
      <c r="MPG35" s="9"/>
      <c r="MPH35" s="9"/>
      <c r="MPI35" s="9"/>
      <c r="MPJ35" s="10"/>
      <c r="MPK35" s="11"/>
      <c r="MPL35" s="12"/>
      <c r="MPM35" s="12"/>
      <c r="MPN35" s="12"/>
      <c r="MPO35" s="13"/>
      <c r="MPP35" s="9"/>
      <c r="MPQ35" s="9"/>
      <c r="MPR35" s="9"/>
      <c r="MPS35" s="9"/>
      <c r="MPT35" s="10"/>
      <c r="MPU35" s="11"/>
      <c r="MPV35" s="12"/>
      <c r="MPW35" s="12"/>
      <c r="MPX35" s="12"/>
      <c r="MPY35" s="13"/>
      <c r="MPZ35" s="9"/>
      <c r="MQA35" s="9"/>
      <c r="MQB35" s="9"/>
      <c r="MQC35" s="9"/>
      <c r="MQD35" s="10"/>
      <c r="MQE35" s="11"/>
      <c r="MQF35" s="12"/>
      <c r="MQG35" s="12"/>
      <c r="MQH35" s="12"/>
      <c r="MQI35" s="13"/>
      <c r="MQJ35" s="9"/>
      <c r="MQK35" s="9"/>
      <c r="MQL35" s="9"/>
      <c r="MQM35" s="9"/>
      <c r="MQN35" s="10"/>
      <c r="MQO35" s="11"/>
      <c r="MQP35" s="12"/>
      <c r="MQQ35" s="12"/>
      <c r="MQR35" s="12"/>
      <c r="MQS35" s="13"/>
      <c r="MQT35" s="9"/>
      <c r="MQU35" s="9"/>
      <c r="MQV35" s="9"/>
      <c r="MQW35" s="9"/>
      <c r="MQX35" s="10"/>
      <c r="MQY35" s="11"/>
      <c r="MQZ35" s="12"/>
      <c r="MRA35" s="12"/>
      <c r="MRB35" s="12"/>
      <c r="MRC35" s="13"/>
      <c r="MRD35" s="9"/>
      <c r="MRE35" s="9"/>
      <c r="MRF35" s="9"/>
      <c r="MRG35" s="9"/>
      <c r="MRH35" s="10"/>
      <c r="MRI35" s="11"/>
      <c r="MRJ35" s="12"/>
      <c r="MRK35" s="12"/>
      <c r="MRL35" s="12"/>
      <c r="MRM35" s="13"/>
      <c r="MRN35" s="9"/>
      <c r="MRO35" s="9"/>
      <c r="MRP35" s="9"/>
      <c r="MRQ35" s="9"/>
      <c r="MRR35" s="10"/>
      <c r="MRS35" s="11"/>
      <c r="MRT35" s="12"/>
      <c r="MRU35" s="12"/>
      <c r="MRV35" s="12"/>
      <c r="MRW35" s="13"/>
      <c r="MRX35" s="9"/>
      <c r="MRY35" s="9"/>
      <c r="MRZ35" s="9"/>
      <c r="MSA35" s="9"/>
      <c r="MSB35" s="10"/>
      <c r="MSC35" s="11"/>
      <c r="MSD35" s="12"/>
      <c r="MSE35" s="12"/>
      <c r="MSF35" s="12"/>
      <c r="MSG35" s="13"/>
      <c r="MSH35" s="9"/>
      <c r="MSI35" s="9"/>
      <c r="MSJ35" s="9"/>
      <c r="MSK35" s="9"/>
      <c r="MSL35" s="10"/>
      <c r="MSM35" s="11"/>
      <c r="MSN35" s="12"/>
      <c r="MSO35" s="12"/>
      <c r="MSP35" s="12"/>
      <c r="MSQ35" s="13"/>
      <c r="MSR35" s="9"/>
      <c r="MSS35" s="9"/>
      <c r="MST35" s="9"/>
      <c r="MSU35" s="9"/>
      <c r="MSV35" s="10"/>
      <c r="MSW35" s="11"/>
      <c r="MSX35" s="12"/>
      <c r="MSY35" s="12"/>
      <c r="MSZ35" s="12"/>
      <c r="MTA35" s="13"/>
      <c r="MTB35" s="9"/>
      <c r="MTC35" s="9"/>
      <c r="MTD35" s="9"/>
      <c r="MTE35" s="9"/>
      <c r="MTF35" s="10"/>
      <c r="MTG35" s="11"/>
      <c r="MTH35" s="12"/>
      <c r="MTI35" s="12"/>
      <c r="MTJ35" s="12"/>
      <c r="MTK35" s="13"/>
      <c r="MTL35" s="9"/>
      <c r="MTM35" s="9"/>
      <c r="MTN35" s="9"/>
      <c r="MTO35" s="9"/>
      <c r="MTP35" s="10"/>
      <c r="MTQ35" s="11"/>
      <c r="MTR35" s="12"/>
      <c r="MTS35" s="12"/>
      <c r="MTT35" s="12"/>
      <c r="MTU35" s="13"/>
      <c r="MTV35" s="9"/>
      <c r="MTW35" s="9"/>
      <c r="MTX35" s="9"/>
      <c r="MTY35" s="9"/>
      <c r="MTZ35" s="10"/>
      <c r="MUA35" s="11"/>
      <c r="MUB35" s="12"/>
      <c r="MUC35" s="12"/>
      <c r="MUD35" s="12"/>
      <c r="MUE35" s="13"/>
      <c r="MUF35" s="9"/>
      <c r="MUG35" s="9"/>
      <c r="MUH35" s="9"/>
      <c r="MUI35" s="9"/>
      <c r="MUJ35" s="10"/>
      <c r="MUK35" s="11"/>
      <c r="MUL35" s="12"/>
      <c r="MUM35" s="12"/>
      <c r="MUN35" s="12"/>
      <c r="MUO35" s="13"/>
      <c r="MUP35" s="9"/>
      <c r="MUQ35" s="9"/>
      <c r="MUR35" s="9"/>
      <c r="MUS35" s="9"/>
      <c r="MUT35" s="10"/>
      <c r="MUU35" s="11"/>
      <c r="MUV35" s="12"/>
      <c r="MUW35" s="12"/>
      <c r="MUX35" s="12"/>
      <c r="MUY35" s="13"/>
      <c r="MUZ35" s="9"/>
      <c r="MVA35" s="9"/>
      <c r="MVB35" s="9"/>
      <c r="MVC35" s="9"/>
      <c r="MVD35" s="10"/>
      <c r="MVE35" s="11"/>
      <c r="MVF35" s="12"/>
      <c r="MVG35" s="12"/>
      <c r="MVH35" s="12"/>
      <c r="MVI35" s="13"/>
      <c r="MVJ35" s="9"/>
      <c r="MVK35" s="9"/>
      <c r="MVL35" s="9"/>
      <c r="MVM35" s="9"/>
      <c r="MVN35" s="10"/>
      <c r="MVO35" s="11"/>
      <c r="MVP35" s="12"/>
      <c r="MVQ35" s="12"/>
      <c r="MVR35" s="12"/>
      <c r="MVS35" s="13"/>
      <c r="MVT35" s="9"/>
      <c r="MVU35" s="9"/>
      <c r="MVV35" s="9"/>
      <c r="MVW35" s="9"/>
      <c r="MVX35" s="10"/>
      <c r="MVY35" s="11"/>
      <c r="MVZ35" s="12"/>
      <c r="MWA35" s="12"/>
      <c r="MWB35" s="12"/>
      <c r="MWC35" s="13"/>
      <c r="MWD35" s="9"/>
      <c r="MWE35" s="9"/>
      <c r="MWF35" s="9"/>
      <c r="MWG35" s="9"/>
      <c r="MWH35" s="10"/>
      <c r="MWI35" s="11"/>
      <c r="MWJ35" s="12"/>
      <c r="MWK35" s="12"/>
      <c r="MWL35" s="12"/>
      <c r="MWM35" s="13"/>
      <c r="MWN35" s="9"/>
      <c r="MWO35" s="9"/>
      <c r="MWP35" s="9"/>
      <c r="MWQ35" s="9"/>
      <c r="MWR35" s="10"/>
      <c r="MWS35" s="11"/>
      <c r="MWT35" s="12"/>
      <c r="MWU35" s="12"/>
      <c r="MWV35" s="12"/>
      <c r="MWW35" s="13"/>
      <c r="MWX35" s="9"/>
      <c r="MWY35" s="9"/>
      <c r="MWZ35" s="9"/>
      <c r="MXA35" s="9"/>
      <c r="MXB35" s="10"/>
      <c r="MXC35" s="11"/>
      <c r="MXD35" s="12"/>
      <c r="MXE35" s="12"/>
      <c r="MXF35" s="12"/>
      <c r="MXG35" s="13"/>
      <c r="MXH35" s="9"/>
      <c r="MXI35" s="9"/>
      <c r="MXJ35" s="9"/>
      <c r="MXK35" s="9"/>
      <c r="MXL35" s="10"/>
      <c r="MXM35" s="11"/>
      <c r="MXN35" s="12"/>
      <c r="MXO35" s="12"/>
      <c r="MXP35" s="12"/>
      <c r="MXQ35" s="13"/>
      <c r="MXR35" s="9"/>
      <c r="MXS35" s="9"/>
      <c r="MXT35" s="9"/>
      <c r="MXU35" s="9"/>
      <c r="MXV35" s="10"/>
      <c r="MXW35" s="11"/>
      <c r="MXX35" s="12"/>
      <c r="MXY35" s="12"/>
      <c r="MXZ35" s="12"/>
      <c r="MYA35" s="13"/>
      <c r="MYB35" s="9"/>
      <c r="MYC35" s="9"/>
      <c r="MYD35" s="9"/>
      <c r="MYE35" s="9"/>
      <c r="MYF35" s="10"/>
      <c r="MYG35" s="11"/>
      <c r="MYH35" s="12"/>
      <c r="MYI35" s="12"/>
      <c r="MYJ35" s="12"/>
      <c r="MYK35" s="13"/>
      <c r="MYL35" s="9"/>
      <c r="MYM35" s="9"/>
      <c r="MYN35" s="9"/>
      <c r="MYO35" s="9"/>
      <c r="MYP35" s="10"/>
      <c r="MYQ35" s="11"/>
      <c r="MYR35" s="12"/>
      <c r="MYS35" s="12"/>
      <c r="MYT35" s="12"/>
      <c r="MYU35" s="13"/>
      <c r="MYV35" s="9"/>
      <c r="MYW35" s="9"/>
      <c r="MYX35" s="9"/>
      <c r="MYY35" s="9"/>
      <c r="MYZ35" s="10"/>
      <c r="MZA35" s="11"/>
      <c r="MZB35" s="12"/>
      <c r="MZC35" s="12"/>
      <c r="MZD35" s="12"/>
      <c r="MZE35" s="13"/>
      <c r="MZF35" s="9"/>
      <c r="MZG35" s="9"/>
      <c r="MZH35" s="9"/>
      <c r="MZI35" s="9"/>
      <c r="MZJ35" s="10"/>
      <c r="MZK35" s="11"/>
      <c r="MZL35" s="12"/>
      <c r="MZM35" s="12"/>
      <c r="MZN35" s="12"/>
      <c r="MZO35" s="13"/>
      <c r="MZP35" s="9"/>
      <c r="MZQ35" s="9"/>
      <c r="MZR35" s="9"/>
      <c r="MZS35" s="9"/>
      <c r="MZT35" s="10"/>
      <c r="MZU35" s="11"/>
      <c r="MZV35" s="12"/>
      <c r="MZW35" s="12"/>
      <c r="MZX35" s="12"/>
      <c r="MZY35" s="13"/>
      <c r="MZZ35" s="9"/>
      <c r="NAA35" s="9"/>
      <c r="NAB35" s="9"/>
      <c r="NAC35" s="9"/>
      <c r="NAD35" s="10"/>
      <c r="NAE35" s="11"/>
      <c r="NAF35" s="12"/>
      <c r="NAG35" s="12"/>
      <c r="NAH35" s="12"/>
      <c r="NAI35" s="13"/>
      <c r="NAJ35" s="9"/>
      <c r="NAK35" s="9"/>
      <c r="NAL35" s="9"/>
      <c r="NAM35" s="9"/>
      <c r="NAN35" s="10"/>
      <c r="NAO35" s="11"/>
      <c r="NAP35" s="12"/>
      <c r="NAQ35" s="12"/>
      <c r="NAR35" s="12"/>
      <c r="NAS35" s="13"/>
      <c r="NAT35" s="9"/>
      <c r="NAU35" s="9"/>
      <c r="NAV35" s="9"/>
      <c r="NAW35" s="9"/>
      <c r="NAX35" s="10"/>
      <c r="NAY35" s="11"/>
      <c r="NAZ35" s="12"/>
      <c r="NBA35" s="12"/>
      <c r="NBB35" s="12"/>
      <c r="NBC35" s="13"/>
      <c r="NBD35" s="9"/>
      <c r="NBE35" s="9"/>
      <c r="NBF35" s="9"/>
      <c r="NBG35" s="9"/>
      <c r="NBH35" s="10"/>
      <c r="NBI35" s="11"/>
      <c r="NBJ35" s="12"/>
      <c r="NBK35" s="12"/>
      <c r="NBL35" s="12"/>
      <c r="NBM35" s="13"/>
      <c r="NBN35" s="9"/>
      <c r="NBO35" s="9"/>
      <c r="NBP35" s="9"/>
      <c r="NBQ35" s="9"/>
      <c r="NBR35" s="10"/>
      <c r="NBS35" s="11"/>
      <c r="NBT35" s="12"/>
      <c r="NBU35" s="12"/>
      <c r="NBV35" s="12"/>
      <c r="NBW35" s="13"/>
      <c r="NBX35" s="9"/>
      <c r="NBY35" s="9"/>
      <c r="NBZ35" s="9"/>
      <c r="NCA35" s="9"/>
      <c r="NCB35" s="10"/>
      <c r="NCC35" s="11"/>
      <c r="NCD35" s="12"/>
      <c r="NCE35" s="12"/>
      <c r="NCF35" s="12"/>
      <c r="NCG35" s="13"/>
      <c r="NCH35" s="9"/>
      <c r="NCI35" s="9"/>
      <c r="NCJ35" s="9"/>
      <c r="NCK35" s="9"/>
      <c r="NCL35" s="10"/>
      <c r="NCM35" s="11"/>
      <c r="NCN35" s="12"/>
      <c r="NCO35" s="12"/>
      <c r="NCP35" s="12"/>
      <c r="NCQ35" s="13"/>
      <c r="NCR35" s="9"/>
      <c r="NCS35" s="9"/>
      <c r="NCT35" s="9"/>
      <c r="NCU35" s="9"/>
      <c r="NCV35" s="10"/>
      <c r="NCW35" s="11"/>
      <c r="NCX35" s="12"/>
      <c r="NCY35" s="12"/>
      <c r="NCZ35" s="12"/>
      <c r="NDA35" s="13"/>
      <c r="NDB35" s="9"/>
      <c r="NDC35" s="9"/>
      <c r="NDD35" s="9"/>
      <c r="NDE35" s="9"/>
      <c r="NDF35" s="10"/>
      <c r="NDG35" s="11"/>
      <c r="NDH35" s="12"/>
      <c r="NDI35" s="12"/>
      <c r="NDJ35" s="12"/>
      <c r="NDK35" s="13"/>
      <c r="NDL35" s="9"/>
      <c r="NDM35" s="9"/>
      <c r="NDN35" s="9"/>
      <c r="NDO35" s="9"/>
      <c r="NDP35" s="10"/>
      <c r="NDQ35" s="11"/>
      <c r="NDR35" s="12"/>
      <c r="NDS35" s="12"/>
      <c r="NDT35" s="12"/>
      <c r="NDU35" s="13"/>
      <c r="NDV35" s="9"/>
      <c r="NDW35" s="9"/>
      <c r="NDX35" s="9"/>
      <c r="NDY35" s="9"/>
      <c r="NDZ35" s="10"/>
      <c r="NEA35" s="11"/>
      <c r="NEB35" s="12"/>
      <c r="NEC35" s="12"/>
      <c r="NED35" s="12"/>
      <c r="NEE35" s="13"/>
      <c r="NEF35" s="9"/>
      <c r="NEG35" s="9"/>
      <c r="NEH35" s="9"/>
      <c r="NEI35" s="9"/>
      <c r="NEJ35" s="10"/>
      <c r="NEK35" s="11"/>
      <c r="NEL35" s="12"/>
      <c r="NEM35" s="12"/>
      <c r="NEN35" s="12"/>
      <c r="NEO35" s="13"/>
      <c r="NEP35" s="9"/>
      <c r="NEQ35" s="9"/>
      <c r="NER35" s="9"/>
      <c r="NES35" s="9"/>
      <c r="NET35" s="10"/>
      <c r="NEU35" s="11"/>
      <c r="NEV35" s="12"/>
      <c r="NEW35" s="12"/>
      <c r="NEX35" s="12"/>
      <c r="NEY35" s="13"/>
      <c r="NEZ35" s="9"/>
      <c r="NFA35" s="9"/>
      <c r="NFB35" s="9"/>
      <c r="NFC35" s="9"/>
      <c r="NFD35" s="10"/>
      <c r="NFE35" s="11"/>
      <c r="NFF35" s="12"/>
      <c r="NFG35" s="12"/>
      <c r="NFH35" s="12"/>
      <c r="NFI35" s="13"/>
      <c r="NFJ35" s="9"/>
      <c r="NFK35" s="9"/>
      <c r="NFL35" s="9"/>
      <c r="NFM35" s="9"/>
      <c r="NFN35" s="10"/>
      <c r="NFO35" s="11"/>
      <c r="NFP35" s="12"/>
      <c r="NFQ35" s="12"/>
      <c r="NFR35" s="12"/>
      <c r="NFS35" s="13"/>
      <c r="NFT35" s="9"/>
      <c r="NFU35" s="9"/>
      <c r="NFV35" s="9"/>
      <c r="NFW35" s="9"/>
      <c r="NFX35" s="10"/>
      <c r="NFY35" s="11"/>
      <c r="NFZ35" s="12"/>
      <c r="NGA35" s="12"/>
      <c r="NGB35" s="12"/>
      <c r="NGC35" s="13"/>
      <c r="NGD35" s="9"/>
      <c r="NGE35" s="9"/>
      <c r="NGF35" s="9"/>
      <c r="NGG35" s="9"/>
      <c r="NGH35" s="10"/>
      <c r="NGI35" s="11"/>
      <c r="NGJ35" s="12"/>
      <c r="NGK35" s="12"/>
      <c r="NGL35" s="12"/>
      <c r="NGM35" s="13"/>
      <c r="NGN35" s="9"/>
      <c r="NGO35" s="9"/>
      <c r="NGP35" s="9"/>
      <c r="NGQ35" s="9"/>
      <c r="NGR35" s="10"/>
      <c r="NGS35" s="11"/>
      <c r="NGT35" s="12"/>
      <c r="NGU35" s="12"/>
      <c r="NGV35" s="12"/>
      <c r="NGW35" s="13"/>
      <c r="NGX35" s="9"/>
      <c r="NGY35" s="9"/>
      <c r="NGZ35" s="9"/>
      <c r="NHA35" s="9"/>
      <c r="NHB35" s="10"/>
      <c r="NHC35" s="11"/>
      <c r="NHD35" s="12"/>
      <c r="NHE35" s="12"/>
      <c r="NHF35" s="12"/>
      <c r="NHG35" s="13"/>
      <c r="NHH35" s="9"/>
      <c r="NHI35" s="9"/>
      <c r="NHJ35" s="9"/>
      <c r="NHK35" s="9"/>
      <c r="NHL35" s="10"/>
      <c r="NHM35" s="11"/>
      <c r="NHN35" s="12"/>
      <c r="NHO35" s="12"/>
      <c r="NHP35" s="12"/>
      <c r="NHQ35" s="13"/>
      <c r="NHR35" s="9"/>
      <c r="NHS35" s="9"/>
      <c r="NHT35" s="9"/>
      <c r="NHU35" s="9"/>
      <c r="NHV35" s="10"/>
      <c r="NHW35" s="11"/>
      <c r="NHX35" s="12"/>
      <c r="NHY35" s="12"/>
      <c r="NHZ35" s="12"/>
      <c r="NIA35" s="13"/>
      <c r="NIB35" s="9"/>
      <c r="NIC35" s="9"/>
      <c r="NID35" s="9"/>
      <c r="NIE35" s="9"/>
      <c r="NIF35" s="10"/>
      <c r="NIG35" s="11"/>
      <c r="NIH35" s="12"/>
      <c r="NII35" s="12"/>
      <c r="NIJ35" s="12"/>
      <c r="NIK35" s="13"/>
      <c r="NIL35" s="9"/>
      <c r="NIM35" s="9"/>
      <c r="NIN35" s="9"/>
      <c r="NIO35" s="9"/>
      <c r="NIP35" s="10"/>
      <c r="NIQ35" s="11"/>
      <c r="NIR35" s="12"/>
      <c r="NIS35" s="12"/>
      <c r="NIT35" s="12"/>
      <c r="NIU35" s="13"/>
      <c r="NIV35" s="9"/>
      <c r="NIW35" s="9"/>
      <c r="NIX35" s="9"/>
      <c r="NIY35" s="9"/>
      <c r="NIZ35" s="10"/>
      <c r="NJA35" s="11"/>
      <c r="NJB35" s="12"/>
      <c r="NJC35" s="12"/>
      <c r="NJD35" s="12"/>
      <c r="NJE35" s="13"/>
      <c r="NJF35" s="9"/>
      <c r="NJG35" s="9"/>
      <c r="NJH35" s="9"/>
      <c r="NJI35" s="9"/>
      <c r="NJJ35" s="10"/>
      <c r="NJK35" s="11"/>
      <c r="NJL35" s="12"/>
      <c r="NJM35" s="12"/>
      <c r="NJN35" s="12"/>
      <c r="NJO35" s="13"/>
      <c r="NJP35" s="9"/>
      <c r="NJQ35" s="9"/>
      <c r="NJR35" s="9"/>
      <c r="NJS35" s="9"/>
      <c r="NJT35" s="10"/>
      <c r="NJU35" s="11"/>
      <c r="NJV35" s="12"/>
      <c r="NJW35" s="12"/>
      <c r="NJX35" s="12"/>
      <c r="NJY35" s="13"/>
      <c r="NJZ35" s="9"/>
      <c r="NKA35" s="9"/>
      <c r="NKB35" s="9"/>
      <c r="NKC35" s="9"/>
      <c r="NKD35" s="10"/>
      <c r="NKE35" s="11"/>
      <c r="NKF35" s="12"/>
      <c r="NKG35" s="12"/>
      <c r="NKH35" s="12"/>
      <c r="NKI35" s="13"/>
      <c r="NKJ35" s="9"/>
      <c r="NKK35" s="9"/>
      <c r="NKL35" s="9"/>
      <c r="NKM35" s="9"/>
      <c r="NKN35" s="10"/>
      <c r="NKO35" s="11"/>
      <c r="NKP35" s="12"/>
      <c r="NKQ35" s="12"/>
      <c r="NKR35" s="12"/>
      <c r="NKS35" s="13"/>
      <c r="NKT35" s="9"/>
      <c r="NKU35" s="9"/>
      <c r="NKV35" s="9"/>
      <c r="NKW35" s="9"/>
      <c r="NKX35" s="10"/>
      <c r="NKY35" s="11"/>
      <c r="NKZ35" s="12"/>
      <c r="NLA35" s="12"/>
      <c r="NLB35" s="12"/>
      <c r="NLC35" s="13"/>
      <c r="NLD35" s="9"/>
      <c r="NLE35" s="9"/>
      <c r="NLF35" s="9"/>
      <c r="NLG35" s="9"/>
      <c r="NLH35" s="10"/>
      <c r="NLI35" s="11"/>
      <c r="NLJ35" s="12"/>
      <c r="NLK35" s="12"/>
      <c r="NLL35" s="12"/>
      <c r="NLM35" s="13"/>
      <c r="NLN35" s="9"/>
      <c r="NLO35" s="9"/>
      <c r="NLP35" s="9"/>
      <c r="NLQ35" s="9"/>
      <c r="NLR35" s="10"/>
      <c r="NLS35" s="11"/>
      <c r="NLT35" s="12"/>
      <c r="NLU35" s="12"/>
      <c r="NLV35" s="12"/>
      <c r="NLW35" s="13"/>
      <c r="NLX35" s="9"/>
      <c r="NLY35" s="9"/>
      <c r="NLZ35" s="9"/>
      <c r="NMA35" s="9"/>
      <c r="NMB35" s="10"/>
      <c r="NMC35" s="11"/>
      <c r="NMD35" s="12"/>
      <c r="NME35" s="12"/>
      <c r="NMF35" s="12"/>
      <c r="NMG35" s="13"/>
      <c r="NMH35" s="9"/>
      <c r="NMI35" s="9"/>
      <c r="NMJ35" s="9"/>
      <c r="NMK35" s="9"/>
      <c r="NML35" s="10"/>
      <c r="NMM35" s="11"/>
      <c r="NMN35" s="12"/>
      <c r="NMO35" s="12"/>
      <c r="NMP35" s="12"/>
      <c r="NMQ35" s="13"/>
      <c r="NMR35" s="9"/>
      <c r="NMS35" s="9"/>
      <c r="NMT35" s="9"/>
      <c r="NMU35" s="9"/>
      <c r="NMV35" s="10"/>
      <c r="NMW35" s="11"/>
      <c r="NMX35" s="12"/>
      <c r="NMY35" s="12"/>
      <c r="NMZ35" s="12"/>
      <c r="NNA35" s="13"/>
      <c r="NNB35" s="9"/>
      <c r="NNC35" s="9"/>
      <c r="NND35" s="9"/>
      <c r="NNE35" s="9"/>
      <c r="NNF35" s="10"/>
      <c r="NNG35" s="11"/>
      <c r="NNH35" s="12"/>
      <c r="NNI35" s="12"/>
      <c r="NNJ35" s="12"/>
      <c r="NNK35" s="13"/>
      <c r="NNL35" s="9"/>
      <c r="NNM35" s="9"/>
      <c r="NNN35" s="9"/>
      <c r="NNO35" s="9"/>
      <c r="NNP35" s="10"/>
      <c r="NNQ35" s="11"/>
      <c r="NNR35" s="12"/>
      <c r="NNS35" s="12"/>
      <c r="NNT35" s="12"/>
      <c r="NNU35" s="13"/>
      <c r="NNV35" s="9"/>
      <c r="NNW35" s="9"/>
      <c r="NNX35" s="9"/>
      <c r="NNY35" s="9"/>
      <c r="NNZ35" s="10"/>
      <c r="NOA35" s="11"/>
      <c r="NOB35" s="12"/>
      <c r="NOC35" s="12"/>
      <c r="NOD35" s="12"/>
      <c r="NOE35" s="13"/>
      <c r="NOF35" s="9"/>
      <c r="NOG35" s="9"/>
      <c r="NOH35" s="9"/>
      <c r="NOI35" s="9"/>
      <c r="NOJ35" s="10"/>
      <c r="NOK35" s="11"/>
      <c r="NOL35" s="12"/>
      <c r="NOM35" s="12"/>
      <c r="NON35" s="12"/>
      <c r="NOO35" s="13"/>
      <c r="NOP35" s="9"/>
      <c r="NOQ35" s="9"/>
      <c r="NOR35" s="9"/>
      <c r="NOS35" s="9"/>
      <c r="NOT35" s="10"/>
      <c r="NOU35" s="11"/>
      <c r="NOV35" s="12"/>
      <c r="NOW35" s="12"/>
      <c r="NOX35" s="12"/>
      <c r="NOY35" s="13"/>
      <c r="NOZ35" s="9"/>
      <c r="NPA35" s="9"/>
      <c r="NPB35" s="9"/>
      <c r="NPC35" s="9"/>
      <c r="NPD35" s="10"/>
      <c r="NPE35" s="11"/>
      <c r="NPF35" s="12"/>
      <c r="NPG35" s="12"/>
      <c r="NPH35" s="12"/>
      <c r="NPI35" s="13"/>
      <c r="NPJ35" s="9"/>
      <c r="NPK35" s="9"/>
      <c r="NPL35" s="9"/>
      <c r="NPM35" s="9"/>
      <c r="NPN35" s="10"/>
      <c r="NPO35" s="11"/>
      <c r="NPP35" s="12"/>
      <c r="NPQ35" s="12"/>
      <c r="NPR35" s="12"/>
      <c r="NPS35" s="13"/>
      <c r="NPT35" s="9"/>
      <c r="NPU35" s="9"/>
      <c r="NPV35" s="9"/>
      <c r="NPW35" s="9"/>
      <c r="NPX35" s="10"/>
      <c r="NPY35" s="11"/>
      <c r="NPZ35" s="12"/>
      <c r="NQA35" s="12"/>
      <c r="NQB35" s="12"/>
      <c r="NQC35" s="13"/>
      <c r="NQD35" s="9"/>
      <c r="NQE35" s="9"/>
      <c r="NQF35" s="9"/>
      <c r="NQG35" s="9"/>
      <c r="NQH35" s="10"/>
      <c r="NQI35" s="11"/>
      <c r="NQJ35" s="12"/>
      <c r="NQK35" s="12"/>
      <c r="NQL35" s="12"/>
      <c r="NQM35" s="13"/>
      <c r="NQN35" s="9"/>
      <c r="NQO35" s="9"/>
      <c r="NQP35" s="9"/>
      <c r="NQQ35" s="9"/>
      <c r="NQR35" s="10"/>
      <c r="NQS35" s="11"/>
      <c r="NQT35" s="12"/>
      <c r="NQU35" s="12"/>
      <c r="NQV35" s="12"/>
      <c r="NQW35" s="13"/>
      <c r="NQX35" s="9"/>
      <c r="NQY35" s="9"/>
      <c r="NQZ35" s="9"/>
      <c r="NRA35" s="9"/>
      <c r="NRB35" s="10"/>
      <c r="NRC35" s="11"/>
      <c r="NRD35" s="12"/>
      <c r="NRE35" s="12"/>
      <c r="NRF35" s="12"/>
      <c r="NRG35" s="13"/>
      <c r="NRH35" s="9"/>
      <c r="NRI35" s="9"/>
      <c r="NRJ35" s="9"/>
      <c r="NRK35" s="9"/>
      <c r="NRL35" s="10"/>
      <c r="NRM35" s="11"/>
      <c r="NRN35" s="12"/>
      <c r="NRO35" s="12"/>
      <c r="NRP35" s="12"/>
      <c r="NRQ35" s="13"/>
      <c r="NRR35" s="9"/>
      <c r="NRS35" s="9"/>
      <c r="NRT35" s="9"/>
      <c r="NRU35" s="9"/>
      <c r="NRV35" s="10"/>
      <c r="NRW35" s="11"/>
      <c r="NRX35" s="12"/>
      <c r="NRY35" s="12"/>
      <c r="NRZ35" s="12"/>
      <c r="NSA35" s="13"/>
      <c r="NSB35" s="9"/>
      <c r="NSC35" s="9"/>
      <c r="NSD35" s="9"/>
      <c r="NSE35" s="9"/>
      <c r="NSF35" s="10"/>
      <c r="NSG35" s="11"/>
      <c r="NSH35" s="12"/>
      <c r="NSI35" s="12"/>
      <c r="NSJ35" s="12"/>
      <c r="NSK35" s="13"/>
      <c r="NSL35" s="9"/>
      <c r="NSM35" s="9"/>
      <c r="NSN35" s="9"/>
      <c r="NSO35" s="9"/>
      <c r="NSP35" s="10"/>
      <c r="NSQ35" s="11"/>
      <c r="NSR35" s="12"/>
      <c r="NSS35" s="12"/>
      <c r="NST35" s="12"/>
      <c r="NSU35" s="13"/>
      <c r="NSV35" s="9"/>
      <c r="NSW35" s="9"/>
      <c r="NSX35" s="9"/>
      <c r="NSY35" s="9"/>
      <c r="NSZ35" s="10"/>
      <c r="NTA35" s="11"/>
      <c r="NTB35" s="12"/>
      <c r="NTC35" s="12"/>
      <c r="NTD35" s="12"/>
      <c r="NTE35" s="13"/>
      <c r="NTF35" s="9"/>
      <c r="NTG35" s="9"/>
      <c r="NTH35" s="9"/>
      <c r="NTI35" s="9"/>
      <c r="NTJ35" s="10"/>
      <c r="NTK35" s="11"/>
      <c r="NTL35" s="12"/>
      <c r="NTM35" s="12"/>
      <c r="NTN35" s="12"/>
      <c r="NTO35" s="13"/>
      <c r="NTP35" s="9"/>
      <c r="NTQ35" s="9"/>
      <c r="NTR35" s="9"/>
      <c r="NTS35" s="9"/>
      <c r="NTT35" s="10"/>
      <c r="NTU35" s="11"/>
      <c r="NTV35" s="12"/>
      <c r="NTW35" s="12"/>
      <c r="NTX35" s="12"/>
      <c r="NTY35" s="13"/>
      <c r="NTZ35" s="9"/>
      <c r="NUA35" s="9"/>
      <c r="NUB35" s="9"/>
      <c r="NUC35" s="9"/>
      <c r="NUD35" s="10"/>
      <c r="NUE35" s="11"/>
      <c r="NUF35" s="12"/>
      <c r="NUG35" s="12"/>
      <c r="NUH35" s="12"/>
      <c r="NUI35" s="13"/>
      <c r="NUJ35" s="9"/>
      <c r="NUK35" s="9"/>
      <c r="NUL35" s="9"/>
      <c r="NUM35" s="9"/>
      <c r="NUN35" s="10"/>
      <c r="NUO35" s="11"/>
      <c r="NUP35" s="12"/>
      <c r="NUQ35" s="12"/>
      <c r="NUR35" s="12"/>
      <c r="NUS35" s="13"/>
      <c r="NUT35" s="9"/>
      <c r="NUU35" s="9"/>
      <c r="NUV35" s="9"/>
      <c r="NUW35" s="9"/>
      <c r="NUX35" s="10"/>
      <c r="NUY35" s="11"/>
      <c r="NUZ35" s="12"/>
      <c r="NVA35" s="12"/>
      <c r="NVB35" s="12"/>
      <c r="NVC35" s="13"/>
      <c r="NVD35" s="9"/>
      <c r="NVE35" s="9"/>
      <c r="NVF35" s="9"/>
      <c r="NVG35" s="9"/>
      <c r="NVH35" s="10"/>
      <c r="NVI35" s="11"/>
      <c r="NVJ35" s="12"/>
      <c r="NVK35" s="12"/>
      <c r="NVL35" s="12"/>
      <c r="NVM35" s="13"/>
      <c r="NVN35" s="9"/>
      <c r="NVO35" s="9"/>
      <c r="NVP35" s="9"/>
      <c r="NVQ35" s="9"/>
      <c r="NVR35" s="10"/>
      <c r="NVS35" s="11"/>
      <c r="NVT35" s="12"/>
      <c r="NVU35" s="12"/>
      <c r="NVV35" s="12"/>
      <c r="NVW35" s="13"/>
      <c r="NVX35" s="9"/>
      <c r="NVY35" s="9"/>
      <c r="NVZ35" s="9"/>
      <c r="NWA35" s="9"/>
      <c r="NWB35" s="10"/>
      <c r="NWC35" s="11"/>
      <c r="NWD35" s="12"/>
      <c r="NWE35" s="12"/>
      <c r="NWF35" s="12"/>
      <c r="NWG35" s="13"/>
      <c r="NWH35" s="9"/>
      <c r="NWI35" s="9"/>
      <c r="NWJ35" s="9"/>
      <c r="NWK35" s="9"/>
      <c r="NWL35" s="10"/>
      <c r="NWM35" s="11"/>
      <c r="NWN35" s="12"/>
      <c r="NWO35" s="12"/>
      <c r="NWP35" s="12"/>
      <c r="NWQ35" s="13"/>
      <c r="NWR35" s="9"/>
      <c r="NWS35" s="9"/>
      <c r="NWT35" s="9"/>
      <c r="NWU35" s="9"/>
      <c r="NWV35" s="10"/>
      <c r="NWW35" s="11"/>
      <c r="NWX35" s="12"/>
      <c r="NWY35" s="12"/>
      <c r="NWZ35" s="12"/>
      <c r="NXA35" s="13"/>
      <c r="NXB35" s="9"/>
      <c r="NXC35" s="9"/>
      <c r="NXD35" s="9"/>
      <c r="NXE35" s="9"/>
      <c r="NXF35" s="10"/>
      <c r="NXG35" s="11"/>
      <c r="NXH35" s="12"/>
      <c r="NXI35" s="12"/>
      <c r="NXJ35" s="12"/>
      <c r="NXK35" s="13"/>
      <c r="NXL35" s="9"/>
      <c r="NXM35" s="9"/>
      <c r="NXN35" s="9"/>
      <c r="NXO35" s="9"/>
      <c r="NXP35" s="10"/>
      <c r="NXQ35" s="11"/>
      <c r="NXR35" s="12"/>
      <c r="NXS35" s="12"/>
      <c r="NXT35" s="12"/>
      <c r="NXU35" s="13"/>
      <c r="NXV35" s="9"/>
      <c r="NXW35" s="9"/>
      <c r="NXX35" s="9"/>
      <c r="NXY35" s="9"/>
      <c r="NXZ35" s="10"/>
      <c r="NYA35" s="11"/>
      <c r="NYB35" s="12"/>
      <c r="NYC35" s="12"/>
      <c r="NYD35" s="12"/>
      <c r="NYE35" s="13"/>
      <c r="NYF35" s="9"/>
      <c r="NYG35" s="9"/>
      <c r="NYH35" s="9"/>
      <c r="NYI35" s="9"/>
      <c r="NYJ35" s="10"/>
      <c r="NYK35" s="11"/>
      <c r="NYL35" s="12"/>
      <c r="NYM35" s="12"/>
      <c r="NYN35" s="12"/>
      <c r="NYO35" s="13"/>
      <c r="NYP35" s="9"/>
      <c r="NYQ35" s="9"/>
      <c r="NYR35" s="9"/>
      <c r="NYS35" s="9"/>
      <c r="NYT35" s="10"/>
      <c r="NYU35" s="11"/>
      <c r="NYV35" s="12"/>
      <c r="NYW35" s="12"/>
      <c r="NYX35" s="12"/>
      <c r="NYY35" s="13"/>
      <c r="NYZ35" s="9"/>
      <c r="NZA35" s="9"/>
      <c r="NZB35" s="9"/>
      <c r="NZC35" s="9"/>
      <c r="NZD35" s="10"/>
      <c r="NZE35" s="11"/>
      <c r="NZF35" s="12"/>
      <c r="NZG35" s="12"/>
      <c r="NZH35" s="12"/>
      <c r="NZI35" s="13"/>
      <c r="NZJ35" s="9"/>
      <c r="NZK35" s="9"/>
      <c r="NZL35" s="9"/>
      <c r="NZM35" s="9"/>
      <c r="NZN35" s="10"/>
      <c r="NZO35" s="11"/>
      <c r="NZP35" s="12"/>
      <c r="NZQ35" s="12"/>
      <c r="NZR35" s="12"/>
      <c r="NZS35" s="13"/>
      <c r="NZT35" s="9"/>
      <c r="NZU35" s="9"/>
      <c r="NZV35" s="9"/>
      <c r="NZW35" s="9"/>
      <c r="NZX35" s="10"/>
      <c r="NZY35" s="11"/>
      <c r="NZZ35" s="12"/>
      <c r="OAA35" s="12"/>
      <c r="OAB35" s="12"/>
      <c r="OAC35" s="13"/>
      <c r="OAD35" s="9"/>
      <c r="OAE35" s="9"/>
      <c r="OAF35" s="9"/>
      <c r="OAG35" s="9"/>
      <c r="OAH35" s="10"/>
      <c r="OAI35" s="11"/>
      <c r="OAJ35" s="12"/>
      <c r="OAK35" s="12"/>
      <c r="OAL35" s="12"/>
      <c r="OAM35" s="13"/>
      <c r="OAN35" s="9"/>
      <c r="OAO35" s="9"/>
      <c r="OAP35" s="9"/>
      <c r="OAQ35" s="9"/>
      <c r="OAR35" s="10"/>
      <c r="OAS35" s="11"/>
      <c r="OAT35" s="12"/>
      <c r="OAU35" s="12"/>
      <c r="OAV35" s="12"/>
      <c r="OAW35" s="13"/>
      <c r="OAX35" s="9"/>
      <c r="OAY35" s="9"/>
      <c r="OAZ35" s="9"/>
      <c r="OBA35" s="9"/>
      <c r="OBB35" s="10"/>
      <c r="OBC35" s="11"/>
      <c r="OBD35" s="12"/>
      <c r="OBE35" s="12"/>
      <c r="OBF35" s="12"/>
      <c r="OBG35" s="13"/>
      <c r="OBH35" s="9"/>
      <c r="OBI35" s="9"/>
      <c r="OBJ35" s="9"/>
      <c r="OBK35" s="9"/>
      <c r="OBL35" s="10"/>
      <c r="OBM35" s="11"/>
      <c r="OBN35" s="12"/>
      <c r="OBO35" s="12"/>
      <c r="OBP35" s="12"/>
      <c r="OBQ35" s="13"/>
      <c r="OBR35" s="9"/>
      <c r="OBS35" s="9"/>
      <c r="OBT35" s="9"/>
      <c r="OBU35" s="9"/>
      <c r="OBV35" s="10"/>
      <c r="OBW35" s="11"/>
      <c r="OBX35" s="12"/>
      <c r="OBY35" s="12"/>
      <c r="OBZ35" s="12"/>
      <c r="OCA35" s="13"/>
      <c r="OCB35" s="9"/>
      <c r="OCC35" s="9"/>
      <c r="OCD35" s="9"/>
      <c r="OCE35" s="9"/>
      <c r="OCF35" s="10"/>
      <c r="OCG35" s="11"/>
      <c r="OCH35" s="12"/>
      <c r="OCI35" s="12"/>
      <c r="OCJ35" s="12"/>
      <c r="OCK35" s="13"/>
      <c r="OCL35" s="9"/>
      <c r="OCM35" s="9"/>
      <c r="OCN35" s="9"/>
      <c r="OCO35" s="9"/>
      <c r="OCP35" s="10"/>
      <c r="OCQ35" s="11"/>
      <c r="OCR35" s="12"/>
      <c r="OCS35" s="12"/>
      <c r="OCT35" s="12"/>
      <c r="OCU35" s="13"/>
      <c r="OCV35" s="9"/>
      <c r="OCW35" s="9"/>
      <c r="OCX35" s="9"/>
      <c r="OCY35" s="9"/>
      <c r="OCZ35" s="10"/>
      <c r="ODA35" s="11"/>
      <c r="ODB35" s="12"/>
      <c r="ODC35" s="12"/>
      <c r="ODD35" s="12"/>
      <c r="ODE35" s="13"/>
      <c r="ODF35" s="9"/>
      <c r="ODG35" s="9"/>
      <c r="ODH35" s="9"/>
      <c r="ODI35" s="9"/>
      <c r="ODJ35" s="10"/>
      <c r="ODK35" s="11"/>
      <c r="ODL35" s="12"/>
      <c r="ODM35" s="12"/>
      <c r="ODN35" s="12"/>
      <c r="ODO35" s="13"/>
      <c r="ODP35" s="9"/>
      <c r="ODQ35" s="9"/>
      <c r="ODR35" s="9"/>
      <c r="ODS35" s="9"/>
      <c r="ODT35" s="10"/>
      <c r="ODU35" s="11"/>
      <c r="ODV35" s="12"/>
      <c r="ODW35" s="12"/>
      <c r="ODX35" s="12"/>
      <c r="ODY35" s="13"/>
      <c r="ODZ35" s="9"/>
      <c r="OEA35" s="9"/>
      <c r="OEB35" s="9"/>
      <c r="OEC35" s="9"/>
      <c r="OED35" s="10"/>
      <c r="OEE35" s="11"/>
      <c r="OEF35" s="12"/>
      <c r="OEG35" s="12"/>
      <c r="OEH35" s="12"/>
      <c r="OEI35" s="13"/>
      <c r="OEJ35" s="9"/>
      <c r="OEK35" s="9"/>
      <c r="OEL35" s="9"/>
      <c r="OEM35" s="9"/>
      <c r="OEN35" s="10"/>
      <c r="OEO35" s="11"/>
      <c r="OEP35" s="12"/>
      <c r="OEQ35" s="12"/>
      <c r="OER35" s="12"/>
      <c r="OES35" s="13"/>
      <c r="OET35" s="9"/>
      <c r="OEU35" s="9"/>
      <c r="OEV35" s="9"/>
      <c r="OEW35" s="9"/>
      <c r="OEX35" s="10"/>
      <c r="OEY35" s="11"/>
      <c r="OEZ35" s="12"/>
      <c r="OFA35" s="12"/>
      <c r="OFB35" s="12"/>
      <c r="OFC35" s="13"/>
      <c r="OFD35" s="9"/>
      <c r="OFE35" s="9"/>
      <c r="OFF35" s="9"/>
      <c r="OFG35" s="9"/>
      <c r="OFH35" s="10"/>
      <c r="OFI35" s="11"/>
      <c r="OFJ35" s="12"/>
      <c r="OFK35" s="12"/>
      <c r="OFL35" s="12"/>
      <c r="OFM35" s="13"/>
      <c r="OFN35" s="9"/>
      <c r="OFO35" s="9"/>
      <c r="OFP35" s="9"/>
      <c r="OFQ35" s="9"/>
      <c r="OFR35" s="10"/>
      <c r="OFS35" s="11"/>
      <c r="OFT35" s="12"/>
      <c r="OFU35" s="12"/>
      <c r="OFV35" s="12"/>
      <c r="OFW35" s="13"/>
      <c r="OFX35" s="9"/>
      <c r="OFY35" s="9"/>
      <c r="OFZ35" s="9"/>
      <c r="OGA35" s="9"/>
      <c r="OGB35" s="10"/>
      <c r="OGC35" s="11"/>
      <c r="OGD35" s="12"/>
      <c r="OGE35" s="12"/>
      <c r="OGF35" s="12"/>
      <c r="OGG35" s="13"/>
      <c r="OGH35" s="9"/>
      <c r="OGI35" s="9"/>
      <c r="OGJ35" s="9"/>
      <c r="OGK35" s="9"/>
      <c r="OGL35" s="10"/>
      <c r="OGM35" s="11"/>
      <c r="OGN35" s="12"/>
      <c r="OGO35" s="12"/>
      <c r="OGP35" s="12"/>
      <c r="OGQ35" s="13"/>
      <c r="OGR35" s="9"/>
      <c r="OGS35" s="9"/>
      <c r="OGT35" s="9"/>
      <c r="OGU35" s="9"/>
      <c r="OGV35" s="10"/>
      <c r="OGW35" s="11"/>
      <c r="OGX35" s="12"/>
      <c r="OGY35" s="12"/>
      <c r="OGZ35" s="12"/>
      <c r="OHA35" s="13"/>
      <c r="OHB35" s="9"/>
      <c r="OHC35" s="9"/>
      <c r="OHD35" s="9"/>
      <c r="OHE35" s="9"/>
      <c r="OHF35" s="10"/>
      <c r="OHG35" s="11"/>
      <c r="OHH35" s="12"/>
      <c r="OHI35" s="12"/>
      <c r="OHJ35" s="12"/>
      <c r="OHK35" s="13"/>
      <c r="OHL35" s="9"/>
      <c r="OHM35" s="9"/>
      <c r="OHN35" s="9"/>
      <c r="OHO35" s="9"/>
      <c r="OHP35" s="10"/>
      <c r="OHQ35" s="11"/>
      <c r="OHR35" s="12"/>
      <c r="OHS35" s="12"/>
      <c r="OHT35" s="12"/>
      <c r="OHU35" s="13"/>
      <c r="OHV35" s="9"/>
      <c r="OHW35" s="9"/>
      <c r="OHX35" s="9"/>
      <c r="OHY35" s="9"/>
      <c r="OHZ35" s="10"/>
      <c r="OIA35" s="11"/>
      <c r="OIB35" s="12"/>
      <c r="OIC35" s="12"/>
      <c r="OID35" s="12"/>
      <c r="OIE35" s="13"/>
      <c r="OIF35" s="9"/>
      <c r="OIG35" s="9"/>
      <c r="OIH35" s="9"/>
      <c r="OII35" s="9"/>
      <c r="OIJ35" s="10"/>
      <c r="OIK35" s="11"/>
      <c r="OIL35" s="12"/>
      <c r="OIM35" s="12"/>
      <c r="OIN35" s="12"/>
      <c r="OIO35" s="13"/>
      <c r="OIP35" s="9"/>
      <c r="OIQ35" s="9"/>
      <c r="OIR35" s="9"/>
      <c r="OIS35" s="9"/>
      <c r="OIT35" s="10"/>
      <c r="OIU35" s="11"/>
      <c r="OIV35" s="12"/>
      <c r="OIW35" s="12"/>
      <c r="OIX35" s="12"/>
      <c r="OIY35" s="13"/>
      <c r="OIZ35" s="9"/>
      <c r="OJA35" s="9"/>
      <c r="OJB35" s="9"/>
      <c r="OJC35" s="9"/>
      <c r="OJD35" s="10"/>
      <c r="OJE35" s="11"/>
      <c r="OJF35" s="12"/>
      <c r="OJG35" s="12"/>
      <c r="OJH35" s="12"/>
      <c r="OJI35" s="13"/>
      <c r="OJJ35" s="9"/>
      <c r="OJK35" s="9"/>
      <c r="OJL35" s="9"/>
      <c r="OJM35" s="9"/>
      <c r="OJN35" s="10"/>
      <c r="OJO35" s="11"/>
      <c r="OJP35" s="12"/>
      <c r="OJQ35" s="12"/>
      <c r="OJR35" s="12"/>
      <c r="OJS35" s="13"/>
      <c r="OJT35" s="9"/>
      <c r="OJU35" s="9"/>
      <c r="OJV35" s="9"/>
      <c r="OJW35" s="9"/>
      <c r="OJX35" s="10"/>
      <c r="OJY35" s="11"/>
      <c r="OJZ35" s="12"/>
      <c r="OKA35" s="12"/>
      <c r="OKB35" s="12"/>
      <c r="OKC35" s="13"/>
      <c r="OKD35" s="9"/>
      <c r="OKE35" s="9"/>
      <c r="OKF35" s="9"/>
      <c r="OKG35" s="9"/>
      <c r="OKH35" s="10"/>
      <c r="OKI35" s="11"/>
      <c r="OKJ35" s="12"/>
      <c r="OKK35" s="12"/>
      <c r="OKL35" s="12"/>
      <c r="OKM35" s="13"/>
      <c r="OKN35" s="9"/>
      <c r="OKO35" s="9"/>
      <c r="OKP35" s="9"/>
      <c r="OKQ35" s="9"/>
      <c r="OKR35" s="10"/>
      <c r="OKS35" s="11"/>
      <c r="OKT35" s="12"/>
      <c r="OKU35" s="12"/>
      <c r="OKV35" s="12"/>
      <c r="OKW35" s="13"/>
      <c r="OKX35" s="9"/>
      <c r="OKY35" s="9"/>
      <c r="OKZ35" s="9"/>
      <c r="OLA35" s="9"/>
      <c r="OLB35" s="10"/>
      <c r="OLC35" s="11"/>
      <c r="OLD35" s="12"/>
      <c r="OLE35" s="12"/>
      <c r="OLF35" s="12"/>
      <c r="OLG35" s="13"/>
      <c r="OLH35" s="9"/>
      <c r="OLI35" s="9"/>
      <c r="OLJ35" s="9"/>
      <c r="OLK35" s="9"/>
      <c r="OLL35" s="10"/>
      <c r="OLM35" s="11"/>
      <c r="OLN35" s="12"/>
      <c r="OLO35" s="12"/>
      <c r="OLP35" s="12"/>
      <c r="OLQ35" s="13"/>
      <c r="OLR35" s="9"/>
      <c r="OLS35" s="9"/>
      <c r="OLT35" s="9"/>
      <c r="OLU35" s="9"/>
      <c r="OLV35" s="10"/>
      <c r="OLW35" s="11"/>
      <c r="OLX35" s="12"/>
      <c r="OLY35" s="12"/>
      <c r="OLZ35" s="12"/>
      <c r="OMA35" s="13"/>
      <c r="OMB35" s="9"/>
      <c r="OMC35" s="9"/>
      <c r="OMD35" s="9"/>
      <c r="OME35" s="9"/>
      <c r="OMF35" s="10"/>
      <c r="OMG35" s="11"/>
      <c r="OMH35" s="12"/>
      <c r="OMI35" s="12"/>
      <c r="OMJ35" s="12"/>
      <c r="OMK35" s="13"/>
      <c r="OML35" s="9"/>
      <c r="OMM35" s="9"/>
      <c r="OMN35" s="9"/>
      <c r="OMO35" s="9"/>
      <c r="OMP35" s="10"/>
      <c r="OMQ35" s="11"/>
      <c r="OMR35" s="12"/>
      <c r="OMS35" s="12"/>
      <c r="OMT35" s="12"/>
      <c r="OMU35" s="13"/>
      <c r="OMV35" s="9"/>
      <c r="OMW35" s="9"/>
      <c r="OMX35" s="9"/>
      <c r="OMY35" s="9"/>
      <c r="OMZ35" s="10"/>
      <c r="ONA35" s="11"/>
      <c r="ONB35" s="12"/>
      <c r="ONC35" s="12"/>
      <c r="OND35" s="12"/>
      <c r="ONE35" s="13"/>
      <c r="ONF35" s="9"/>
      <c r="ONG35" s="9"/>
      <c r="ONH35" s="9"/>
      <c r="ONI35" s="9"/>
      <c r="ONJ35" s="10"/>
      <c r="ONK35" s="11"/>
      <c r="ONL35" s="12"/>
      <c r="ONM35" s="12"/>
      <c r="ONN35" s="12"/>
      <c r="ONO35" s="13"/>
      <c r="ONP35" s="9"/>
      <c r="ONQ35" s="9"/>
      <c r="ONR35" s="9"/>
      <c r="ONS35" s="9"/>
      <c r="ONT35" s="10"/>
      <c r="ONU35" s="11"/>
      <c r="ONV35" s="12"/>
      <c r="ONW35" s="12"/>
      <c r="ONX35" s="12"/>
      <c r="ONY35" s="13"/>
      <c r="ONZ35" s="9"/>
      <c r="OOA35" s="9"/>
      <c r="OOB35" s="9"/>
      <c r="OOC35" s="9"/>
      <c r="OOD35" s="10"/>
      <c r="OOE35" s="11"/>
      <c r="OOF35" s="12"/>
      <c r="OOG35" s="12"/>
      <c r="OOH35" s="12"/>
      <c r="OOI35" s="13"/>
      <c r="OOJ35" s="9"/>
      <c r="OOK35" s="9"/>
      <c r="OOL35" s="9"/>
      <c r="OOM35" s="9"/>
      <c r="OON35" s="10"/>
      <c r="OOO35" s="11"/>
      <c r="OOP35" s="12"/>
      <c r="OOQ35" s="12"/>
      <c r="OOR35" s="12"/>
      <c r="OOS35" s="13"/>
      <c r="OOT35" s="9"/>
      <c r="OOU35" s="9"/>
      <c r="OOV35" s="9"/>
      <c r="OOW35" s="9"/>
      <c r="OOX35" s="10"/>
      <c r="OOY35" s="11"/>
      <c r="OOZ35" s="12"/>
      <c r="OPA35" s="12"/>
      <c r="OPB35" s="12"/>
      <c r="OPC35" s="13"/>
      <c r="OPD35" s="9"/>
      <c r="OPE35" s="9"/>
      <c r="OPF35" s="9"/>
      <c r="OPG35" s="9"/>
      <c r="OPH35" s="10"/>
      <c r="OPI35" s="11"/>
      <c r="OPJ35" s="12"/>
      <c r="OPK35" s="12"/>
      <c r="OPL35" s="12"/>
      <c r="OPM35" s="13"/>
      <c r="OPN35" s="9"/>
      <c r="OPO35" s="9"/>
      <c r="OPP35" s="9"/>
      <c r="OPQ35" s="9"/>
      <c r="OPR35" s="10"/>
      <c r="OPS35" s="11"/>
      <c r="OPT35" s="12"/>
      <c r="OPU35" s="12"/>
      <c r="OPV35" s="12"/>
      <c r="OPW35" s="13"/>
      <c r="OPX35" s="9"/>
      <c r="OPY35" s="9"/>
      <c r="OPZ35" s="9"/>
      <c r="OQA35" s="9"/>
      <c r="OQB35" s="10"/>
      <c r="OQC35" s="11"/>
      <c r="OQD35" s="12"/>
      <c r="OQE35" s="12"/>
      <c r="OQF35" s="12"/>
      <c r="OQG35" s="13"/>
      <c r="OQH35" s="9"/>
      <c r="OQI35" s="9"/>
      <c r="OQJ35" s="9"/>
      <c r="OQK35" s="9"/>
      <c r="OQL35" s="10"/>
      <c r="OQM35" s="11"/>
      <c r="OQN35" s="12"/>
      <c r="OQO35" s="12"/>
      <c r="OQP35" s="12"/>
      <c r="OQQ35" s="13"/>
      <c r="OQR35" s="9"/>
      <c r="OQS35" s="9"/>
      <c r="OQT35" s="9"/>
      <c r="OQU35" s="9"/>
      <c r="OQV35" s="10"/>
      <c r="OQW35" s="11"/>
      <c r="OQX35" s="12"/>
      <c r="OQY35" s="12"/>
      <c r="OQZ35" s="12"/>
      <c r="ORA35" s="13"/>
      <c r="ORB35" s="9"/>
      <c r="ORC35" s="9"/>
      <c r="ORD35" s="9"/>
      <c r="ORE35" s="9"/>
      <c r="ORF35" s="10"/>
      <c r="ORG35" s="11"/>
      <c r="ORH35" s="12"/>
      <c r="ORI35" s="12"/>
      <c r="ORJ35" s="12"/>
      <c r="ORK35" s="13"/>
      <c r="ORL35" s="9"/>
      <c r="ORM35" s="9"/>
      <c r="ORN35" s="9"/>
      <c r="ORO35" s="9"/>
      <c r="ORP35" s="10"/>
      <c r="ORQ35" s="11"/>
      <c r="ORR35" s="12"/>
      <c r="ORS35" s="12"/>
      <c r="ORT35" s="12"/>
      <c r="ORU35" s="13"/>
      <c r="ORV35" s="9"/>
      <c r="ORW35" s="9"/>
      <c r="ORX35" s="9"/>
      <c r="ORY35" s="9"/>
      <c r="ORZ35" s="10"/>
      <c r="OSA35" s="11"/>
      <c r="OSB35" s="12"/>
      <c r="OSC35" s="12"/>
      <c r="OSD35" s="12"/>
      <c r="OSE35" s="13"/>
      <c r="OSF35" s="9"/>
      <c r="OSG35" s="9"/>
      <c r="OSH35" s="9"/>
      <c r="OSI35" s="9"/>
      <c r="OSJ35" s="10"/>
      <c r="OSK35" s="11"/>
      <c r="OSL35" s="12"/>
      <c r="OSM35" s="12"/>
      <c r="OSN35" s="12"/>
      <c r="OSO35" s="13"/>
      <c r="OSP35" s="9"/>
      <c r="OSQ35" s="9"/>
      <c r="OSR35" s="9"/>
      <c r="OSS35" s="9"/>
      <c r="OST35" s="10"/>
      <c r="OSU35" s="11"/>
      <c r="OSV35" s="12"/>
      <c r="OSW35" s="12"/>
      <c r="OSX35" s="12"/>
      <c r="OSY35" s="13"/>
      <c r="OSZ35" s="9"/>
      <c r="OTA35" s="9"/>
      <c r="OTB35" s="9"/>
      <c r="OTC35" s="9"/>
      <c r="OTD35" s="10"/>
      <c r="OTE35" s="11"/>
      <c r="OTF35" s="12"/>
      <c r="OTG35" s="12"/>
      <c r="OTH35" s="12"/>
      <c r="OTI35" s="13"/>
      <c r="OTJ35" s="9"/>
      <c r="OTK35" s="9"/>
      <c r="OTL35" s="9"/>
      <c r="OTM35" s="9"/>
      <c r="OTN35" s="10"/>
      <c r="OTO35" s="11"/>
      <c r="OTP35" s="12"/>
      <c r="OTQ35" s="12"/>
      <c r="OTR35" s="12"/>
      <c r="OTS35" s="13"/>
      <c r="OTT35" s="9"/>
      <c r="OTU35" s="9"/>
      <c r="OTV35" s="9"/>
      <c r="OTW35" s="9"/>
      <c r="OTX35" s="10"/>
      <c r="OTY35" s="11"/>
      <c r="OTZ35" s="12"/>
      <c r="OUA35" s="12"/>
      <c r="OUB35" s="12"/>
      <c r="OUC35" s="13"/>
      <c r="OUD35" s="9"/>
      <c r="OUE35" s="9"/>
      <c r="OUF35" s="9"/>
      <c r="OUG35" s="9"/>
      <c r="OUH35" s="10"/>
      <c r="OUI35" s="11"/>
      <c r="OUJ35" s="12"/>
      <c r="OUK35" s="12"/>
      <c r="OUL35" s="12"/>
      <c r="OUM35" s="13"/>
      <c r="OUN35" s="9"/>
      <c r="OUO35" s="9"/>
      <c r="OUP35" s="9"/>
      <c r="OUQ35" s="9"/>
      <c r="OUR35" s="10"/>
      <c r="OUS35" s="11"/>
      <c r="OUT35" s="12"/>
      <c r="OUU35" s="12"/>
      <c r="OUV35" s="12"/>
      <c r="OUW35" s="13"/>
      <c r="OUX35" s="9"/>
      <c r="OUY35" s="9"/>
      <c r="OUZ35" s="9"/>
      <c r="OVA35" s="9"/>
      <c r="OVB35" s="10"/>
      <c r="OVC35" s="11"/>
      <c r="OVD35" s="12"/>
      <c r="OVE35" s="12"/>
      <c r="OVF35" s="12"/>
      <c r="OVG35" s="13"/>
      <c r="OVH35" s="9"/>
      <c r="OVI35" s="9"/>
      <c r="OVJ35" s="9"/>
      <c r="OVK35" s="9"/>
      <c r="OVL35" s="10"/>
      <c r="OVM35" s="11"/>
      <c r="OVN35" s="12"/>
      <c r="OVO35" s="12"/>
      <c r="OVP35" s="12"/>
      <c r="OVQ35" s="13"/>
      <c r="OVR35" s="9"/>
      <c r="OVS35" s="9"/>
      <c r="OVT35" s="9"/>
      <c r="OVU35" s="9"/>
      <c r="OVV35" s="10"/>
      <c r="OVW35" s="11"/>
      <c r="OVX35" s="12"/>
      <c r="OVY35" s="12"/>
      <c r="OVZ35" s="12"/>
      <c r="OWA35" s="13"/>
      <c r="OWB35" s="9"/>
      <c r="OWC35" s="9"/>
      <c r="OWD35" s="9"/>
      <c r="OWE35" s="9"/>
      <c r="OWF35" s="10"/>
      <c r="OWG35" s="11"/>
      <c r="OWH35" s="12"/>
      <c r="OWI35" s="12"/>
      <c r="OWJ35" s="12"/>
      <c r="OWK35" s="13"/>
      <c r="OWL35" s="9"/>
      <c r="OWM35" s="9"/>
      <c r="OWN35" s="9"/>
      <c r="OWO35" s="9"/>
      <c r="OWP35" s="10"/>
      <c r="OWQ35" s="11"/>
      <c r="OWR35" s="12"/>
      <c r="OWS35" s="12"/>
      <c r="OWT35" s="12"/>
      <c r="OWU35" s="13"/>
      <c r="OWV35" s="9"/>
      <c r="OWW35" s="9"/>
      <c r="OWX35" s="9"/>
      <c r="OWY35" s="9"/>
      <c r="OWZ35" s="10"/>
      <c r="OXA35" s="11"/>
      <c r="OXB35" s="12"/>
      <c r="OXC35" s="12"/>
      <c r="OXD35" s="12"/>
      <c r="OXE35" s="13"/>
      <c r="OXF35" s="9"/>
      <c r="OXG35" s="9"/>
      <c r="OXH35" s="9"/>
      <c r="OXI35" s="9"/>
      <c r="OXJ35" s="10"/>
      <c r="OXK35" s="11"/>
      <c r="OXL35" s="12"/>
      <c r="OXM35" s="12"/>
      <c r="OXN35" s="12"/>
      <c r="OXO35" s="13"/>
      <c r="OXP35" s="9"/>
      <c r="OXQ35" s="9"/>
      <c r="OXR35" s="9"/>
      <c r="OXS35" s="9"/>
      <c r="OXT35" s="10"/>
      <c r="OXU35" s="11"/>
      <c r="OXV35" s="12"/>
      <c r="OXW35" s="12"/>
      <c r="OXX35" s="12"/>
      <c r="OXY35" s="13"/>
      <c r="OXZ35" s="9"/>
      <c r="OYA35" s="9"/>
      <c r="OYB35" s="9"/>
      <c r="OYC35" s="9"/>
      <c r="OYD35" s="10"/>
      <c r="OYE35" s="11"/>
      <c r="OYF35" s="12"/>
      <c r="OYG35" s="12"/>
      <c r="OYH35" s="12"/>
      <c r="OYI35" s="13"/>
      <c r="OYJ35" s="9"/>
      <c r="OYK35" s="9"/>
      <c r="OYL35" s="9"/>
      <c r="OYM35" s="9"/>
      <c r="OYN35" s="10"/>
      <c r="OYO35" s="11"/>
      <c r="OYP35" s="12"/>
      <c r="OYQ35" s="12"/>
      <c r="OYR35" s="12"/>
      <c r="OYS35" s="13"/>
      <c r="OYT35" s="9"/>
      <c r="OYU35" s="9"/>
      <c r="OYV35" s="9"/>
      <c r="OYW35" s="9"/>
      <c r="OYX35" s="10"/>
      <c r="OYY35" s="11"/>
      <c r="OYZ35" s="12"/>
      <c r="OZA35" s="12"/>
      <c r="OZB35" s="12"/>
      <c r="OZC35" s="13"/>
      <c r="OZD35" s="9"/>
      <c r="OZE35" s="9"/>
      <c r="OZF35" s="9"/>
      <c r="OZG35" s="9"/>
      <c r="OZH35" s="10"/>
      <c r="OZI35" s="11"/>
      <c r="OZJ35" s="12"/>
      <c r="OZK35" s="12"/>
      <c r="OZL35" s="12"/>
      <c r="OZM35" s="13"/>
      <c r="OZN35" s="9"/>
      <c r="OZO35" s="9"/>
      <c r="OZP35" s="9"/>
      <c r="OZQ35" s="9"/>
      <c r="OZR35" s="10"/>
      <c r="OZS35" s="11"/>
      <c r="OZT35" s="12"/>
      <c r="OZU35" s="12"/>
      <c r="OZV35" s="12"/>
      <c r="OZW35" s="13"/>
      <c r="OZX35" s="9"/>
      <c r="OZY35" s="9"/>
      <c r="OZZ35" s="9"/>
      <c r="PAA35" s="9"/>
      <c r="PAB35" s="10"/>
      <c r="PAC35" s="11"/>
      <c r="PAD35" s="12"/>
      <c r="PAE35" s="12"/>
      <c r="PAF35" s="12"/>
      <c r="PAG35" s="13"/>
      <c r="PAH35" s="9"/>
      <c r="PAI35" s="9"/>
      <c r="PAJ35" s="9"/>
      <c r="PAK35" s="9"/>
      <c r="PAL35" s="10"/>
      <c r="PAM35" s="11"/>
      <c r="PAN35" s="12"/>
      <c r="PAO35" s="12"/>
      <c r="PAP35" s="12"/>
      <c r="PAQ35" s="13"/>
      <c r="PAR35" s="9"/>
      <c r="PAS35" s="9"/>
      <c r="PAT35" s="9"/>
      <c r="PAU35" s="9"/>
      <c r="PAV35" s="10"/>
      <c r="PAW35" s="11"/>
      <c r="PAX35" s="12"/>
      <c r="PAY35" s="12"/>
      <c r="PAZ35" s="12"/>
      <c r="PBA35" s="13"/>
      <c r="PBB35" s="9"/>
      <c r="PBC35" s="9"/>
      <c r="PBD35" s="9"/>
      <c r="PBE35" s="9"/>
      <c r="PBF35" s="10"/>
      <c r="PBG35" s="11"/>
      <c r="PBH35" s="12"/>
      <c r="PBI35" s="12"/>
      <c r="PBJ35" s="12"/>
      <c r="PBK35" s="13"/>
      <c r="PBL35" s="9"/>
      <c r="PBM35" s="9"/>
      <c r="PBN35" s="9"/>
      <c r="PBO35" s="9"/>
      <c r="PBP35" s="10"/>
      <c r="PBQ35" s="11"/>
      <c r="PBR35" s="12"/>
      <c r="PBS35" s="12"/>
      <c r="PBT35" s="12"/>
      <c r="PBU35" s="13"/>
      <c r="PBV35" s="9"/>
      <c r="PBW35" s="9"/>
      <c r="PBX35" s="9"/>
      <c r="PBY35" s="9"/>
      <c r="PBZ35" s="10"/>
      <c r="PCA35" s="11"/>
      <c r="PCB35" s="12"/>
      <c r="PCC35" s="12"/>
      <c r="PCD35" s="12"/>
      <c r="PCE35" s="13"/>
      <c r="PCF35" s="9"/>
      <c r="PCG35" s="9"/>
      <c r="PCH35" s="9"/>
      <c r="PCI35" s="9"/>
      <c r="PCJ35" s="10"/>
      <c r="PCK35" s="11"/>
      <c r="PCL35" s="12"/>
      <c r="PCM35" s="12"/>
      <c r="PCN35" s="12"/>
      <c r="PCO35" s="13"/>
      <c r="PCP35" s="9"/>
      <c r="PCQ35" s="9"/>
      <c r="PCR35" s="9"/>
      <c r="PCS35" s="9"/>
      <c r="PCT35" s="10"/>
      <c r="PCU35" s="11"/>
      <c r="PCV35" s="12"/>
      <c r="PCW35" s="12"/>
      <c r="PCX35" s="12"/>
      <c r="PCY35" s="13"/>
      <c r="PCZ35" s="9"/>
      <c r="PDA35" s="9"/>
      <c r="PDB35" s="9"/>
      <c r="PDC35" s="9"/>
      <c r="PDD35" s="10"/>
      <c r="PDE35" s="11"/>
      <c r="PDF35" s="12"/>
      <c r="PDG35" s="12"/>
      <c r="PDH35" s="12"/>
      <c r="PDI35" s="13"/>
      <c r="PDJ35" s="9"/>
      <c r="PDK35" s="9"/>
      <c r="PDL35" s="9"/>
      <c r="PDM35" s="9"/>
      <c r="PDN35" s="10"/>
      <c r="PDO35" s="11"/>
      <c r="PDP35" s="12"/>
      <c r="PDQ35" s="12"/>
      <c r="PDR35" s="12"/>
      <c r="PDS35" s="13"/>
      <c r="PDT35" s="9"/>
      <c r="PDU35" s="9"/>
      <c r="PDV35" s="9"/>
      <c r="PDW35" s="9"/>
      <c r="PDX35" s="10"/>
      <c r="PDY35" s="11"/>
      <c r="PDZ35" s="12"/>
      <c r="PEA35" s="12"/>
      <c r="PEB35" s="12"/>
      <c r="PEC35" s="13"/>
      <c r="PED35" s="9"/>
      <c r="PEE35" s="9"/>
      <c r="PEF35" s="9"/>
      <c r="PEG35" s="9"/>
      <c r="PEH35" s="10"/>
      <c r="PEI35" s="11"/>
      <c r="PEJ35" s="12"/>
      <c r="PEK35" s="12"/>
      <c r="PEL35" s="12"/>
      <c r="PEM35" s="13"/>
      <c r="PEN35" s="9"/>
      <c r="PEO35" s="9"/>
      <c r="PEP35" s="9"/>
      <c r="PEQ35" s="9"/>
      <c r="PER35" s="10"/>
      <c r="PES35" s="11"/>
      <c r="PET35" s="12"/>
      <c r="PEU35" s="12"/>
      <c r="PEV35" s="12"/>
      <c r="PEW35" s="13"/>
      <c r="PEX35" s="9"/>
      <c r="PEY35" s="9"/>
      <c r="PEZ35" s="9"/>
      <c r="PFA35" s="9"/>
      <c r="PFB35" s="10"/>
      <c r="PFC35" s="11"/>
      <c r="PFD35" s="12"/>
      <c r="PFE35" s="12"/>
      <c r="PFF35" s="12"/>
      <c r="PFG35" s="13"/>
      <c r="PFH35" s="9"/>
      <c r="PFI35" s="9"/>
      <c r="PFJ35" s="9"/>
      <c r="PFK35" s="9"/>
      <c r="PFL35" s="10"/>
      <c r="PFM35" s="11"/>
      <c r="PFN35" s="12"/>
      <c r="PFO35" s="12"/>
      <c r="PFP35" s="12"/>
      <c r="PFQ35" s="13"/>
      <c r="PFR35" s="9"/>
      <c r="PFS35" s="9"/>
      <c r="PFT35" s="9"/>
      <c r="PFU35" s="9"/>
      <c r="PFV35" s="10"/>
      <c r="PFW35" s="11"/>
      <c r="PFX35" s="12"/>
      <c r="PFY35" s="12"/>
      <c r="PFZ35" s="12"/>
      <c r="PGA35" s="13"/>
      <c r="PGB35" s="9"/>
      <c r="PGC35" s="9"/>
      <c r="PGD35" s="9"/>
      <c r="PGE35" s="9"/>
      <c r="PGF35" s="10"/>
      <c r="PGG35" s="11"/>
      <c r="PGH35" s="12"/>
      <c r="PGI35" s="12"/>
      <c r="PGJ35" s="12"/>
      <c r="PGK35" s="13"/>
      <c r="PGL35" s="9"/>
      <c r="PGM35" s="9"/>
      <c r="PGN35" s="9"/>
      <c r="PGO35" s="9"/>
      <c r="PGP35" s="10"/>
      <c r="PGQ35" s="11"/>
      <c r="PGR35" s="12"/>
      <c r="PGS35" s="12"/>
      <c r="PGT35" s="12"/>
      <c r="PGU35" s="13"/>
      <c r="PGV35" s="9"/>
      <c r="PGW35" s="9"/>
      <c r="PGX35" s="9"/>
      <c r="PGY35" s="9"/>
      <c r="PGZ35" s="10"/>
      <c r="PHA35" s="11"/>
      <c r="PHB35" s="12"/>
      <c r="PHC35" s="12"/>
      <c r="PHD35" s="12"/>
      <c r="PHE35" s="13"/>
      <c r="PHF35" s="9"/>
      <c r="PHG35" s="9"/>
      <c r="PHH35" s="9"/>
      <c r="PHI35" s="9"/>
      <c r="PHJ35" s="10"/>
      <c r="PHK35" s="11"/>
      <c r="PHL35" s="12"/>
      <c r="PHM35" s="12"/>
      <c r="PHN35" s="12"/>
      <c r="PHO35" s="13"/>
      <c r="PHP35" s="9"/>
      <c r="PHQ35" s="9"/>
      <c r="PHR35" s="9"/>
      <c r="PHS35" s="9"/>
      <c r="PHT35" s="10"/>
      <c r="PHU35" s="11"/>
      <c r="PHV35" s="12"/>
      <c r="PHW35" s="12"/>
      <c r="PHX35" s="12"/>
      <c r="PHY35" s="13"/>
      <c r="PHZ35" s="9"/>
      <c r="PIA35" s="9"/>
      <c r="PIB35" s="9"/>
      <c r="PIC35" s="9"/>
      <c r="PID35" s="10"/>
      <c r="PIE35" s="11"/>
      <c r="PIF35" s="12"/>
      <c r="PIG35" s="12"/>
      <c r="PIH35" s="12"/>
      <c r="PII35" s="13"/>
      <c r="PIJ35" s="9"/>
      <c r="PIK35" s="9"/>
      <c r="PIL35" s="9"/>
      <c r="PIM35" s="9"/>
      <c r="PIN35" s="10"/>
      <c r="PIO35" s="11"/>
      <c r="PIP35" s="12"/>
      <c r="PIQ35" s="12"/>
      <c r="PIR35" s="12"/>
      <c r="PIS35" s="13"/>
      <c r="PIT35" s="9"/>
      <c r="PIU35" s="9"/>
      <c r="PIV35" s="9"/>
      <c r="PIW35" s="9"/>
      <c r="PIX35" s="10"/>
      <c r="PIY35" s="11"/>
      <c r="PIZ35" s="12"/>
      <c r="PJA35" s="12"/>
      <c r="PJB35" s="12"/>
      <c r="PJC35" s="13"/>
      <c r="PJD35" s="9"/>
      <c r="PJE35" s="9"/>
      <c r="PJF35" s="9"/>
      <c r="PJG35" s="9"/>
      <c r="PJH35" s="10"/>
      <c r="PJI35" s="11"/>
      <c r="PJJ35" s="12"/>
      <c r="PJK35" s="12"/>
      <c r="PJL35" s="12"/>
      <c r="PJM35" s="13"/>
      <c r="PJN35" s="9"/>
      <c r="PJO35" s="9"/>
      <c r="PJP35" s="9"/>
      <c r="PJQ35" s="9"/>
      <c r="PJR35" s="10"/>
      <c r="PJS35" s="11"/>
      <c r="PJT35" s="12"/>
      <c r="PJU35" s="12"/>
      <c r="PJV35" s="12"/>
      <c r="PJW35" s="13"/>
      <c r="PJX35" s="9"/>
      <c r="PJY35" s="9"/>
      <c r="PJZ35" s="9"/>
      <c r="PKA35" s="9"/>
      <c r="PKB35" s="10"/>
      <c r="PKC35" s="11"/>
      <c r="PKD35" s="12"/>
      <c r="PKE35" s="12"/>
      <c r="PKF35" s="12"/>
      <c r="PKG35" s="13"/>
      <c r="PKH35" s="9"/>
      <c r="PKI35" s="9"/>
      <c r="PKJ35" s="9"/>
      <c r="PKK35" s="9"/>
      <c r="PKL35" s="10"/>
      <c r="PKM35" s="11"/>
      <c r="PKN35" s="12"/>
      <c r="PKO35" s="12"/>
      <c r="PKP35" s="12"/>
      <c r="PKQ35" s="13"/>
      <c r="PKR35" s="9"/>
      <c r="PKS35" s="9"/>
      <c r="PKT35" s="9"/>
      <c r="PKU35" s="9"/>
      <c r="PKV35" s="10"/>
      <c r="PKW35" s="11"/>
      <c r="PKX35" s="12"/>
      <c r="PKY35" s="12"/>
      <c r="PKZ35" s="12"/>
      <c r="PLA35" s="13"/>
      <c r="PLB35" s="9"/>
      <c r="PLC35" s="9"/>
      <c r="PLD35" s="9"/>
      <c r="PLE35" s="9"/>
      <c r="PLF35" s="10"/>
      <c r="PLG35" s="11"/>
      <c r="PLH35" s="12"/>
      <c r="PLI35" s="12"/>
      <c r="PLJ35" s="12"/>
      <c r="PLK35" s="13"/>
      <c r="PLL35" s="9"/>
      <c r="PLM35" s="9"/>
      <c r="PLN35" s="9"/>
      <c r="PLO35" s="9"/>
      <c r="PLP35" s="10"/>
      <c r="PLQ35" s="11"/>
      <c r="PLR35" s="12"/>
      <c r="PLS35" s="12"/>
      <c r="PLT35" s="12"/>
      <c r="PLU35" s="13"/>
      <c r="PLV35" s="9"/>
      <c r="PLW35" s="9"/>
      <c r="PLX35" s="9"/>
      <c r="PLY35" s="9"/>
      <c r="PLZ35" s="10"/>
      <c r="PMA35" s="11"/>
      <c r="PMB35" s="12"/>
      <c r="PMC35" s="12"/>
      <c r="PMD35" s="12"/>
      <c r="PME35" s="13"/>
      <c r="PMF35" s="9"/>
      <c r="PMG35" s="9"/>
      <c r="PMH35" s="9"/>
      <c r="PMI35" s="9"/>
      <c r="PMJ35" s="10"/>
      <c r="PMK35" s="11"/>
      <c r="PML35" s="12"/>
      <c r="PMM35" s="12"/>
      <c r="PMN35" s="12"/>
      <c r="PMO35" s="13"/>
      <c r="PMP35" s="9"/>
      <c r="PMQ35" s="9"/>
      <c r="PMR35" s="9"/>
      <c r="PMS35" s="9"/>
      <c r="PMT35" s="10"/>
      <c r="PMU35" s="11"/>
      <c r="PMV35" s="12"/>
      <c r="PMW35" s="12"/>
      <c r="PMX35" s="12"/>
      <c r="PMY35" s="13"/>
      <c r="PMZ35" s="9"/>
      <c r="PNA35" s="9"/>
      <c r="PNB35" s="9"/>
      <c r="PNC35" s="9"/>
      <c r="PND35" s="10"/>
      <c r="PNE35" s="11"/>
      <c r="PNF35" s="12"/>
      <c r="PNG35" s="12"/>
      <c r="PNH35" s="12"/>
      <c r="PNI35" s="13"/>
      <c r="PNJ35" s="9"/>
      <c r="PNK35" s="9"/>
      <c r="PNL35" s="9"/>
      <c r="PNM35" s="9"/>
      <c r="PNN35" s="10"/>
      <c r="PNO35" s="11"/>
      <c r="PNP35" s="12"/>
      <c r="PNQ35" s="12"/>
      <c r="PNR35" s="12"/>
      <c r="PNS35" s="13"/>
      <c r="PNT35" s="9"/>
      <c r="PNU35" s="9"/>
      <c r="PNV35" s="9"/>
      <c r="PNW35" s="9"/>
      <c r="PNX35" s="10"/>
      <c r="PNY35" s="11"/>
      <c r="PNZ35" s="12"/>
      <c r="POA35" s="12"/>
      <c r="POB35" s="12"/>
      <c r="POC35" s="13"/>
      <c r="POD35" s="9"/>
      <c r="POE35" s="9"/>
      <c r="POF35" s="9"/>
      <c r="POG35" s="9"/>
      <c r="POH35" s="10"/>
      <c r="POI35" s="11"/>
      <c r="POJ35" s="12"/>
      <c r="POK35" s="12"/>
      <c r="POL35" s="12"/>
      <c r="POM35" s="13"/>
      <c r="PON35" s="9"/>
      <c r="POO35" s="9"/>
      <c r="POP35" s="9"/>
      <c r="POQ35" s="9"/>
      <c r="POR35" s="10"/>
      <c r="POS35" s="11"/>
      <c r="POT35" s="12"/>
      <c r="POU35" s="12"/>
      <c r="POV35" s="12"/>
      <c r="POW35" s="13"/>
      <c r="POX35" s="9"/>
      <c r="POY35" s="9"/>
      <c r="POZ35" s="9"/>
      <c r="PPA35" s="9"/>
      <c r="PPB35" s="10"/>
      <c r="PPC35" s="11"/>
      <c r="PPD35" s="12"/>
      <c r="PPE35" s="12"/>
      <c r="PPF35" s="12"/>
      <c r="PPG35" s="13"/>
      <c r="PPH35" s="9"/>
      <c r="PPI35" s="9"/>
      <c r="PPJ35" s="9"/>
      <c r="PPK35" s="9"/>
      <c r="PPL35" s="10"/>
      <c r="PPM35" s="11"/>
      <c r="PPN35" s="12"/>
      <c r="PPO35" s="12"/>
      <c r="PPP35" s="12"/>
      <c r="PPQ35" s="13"/>
      <c r="PPR35" s="9"/>
      <c r="PPS35" s="9"/>
      <c r="PPT35" s="9"/>
      <c r="PPU35" s="9"/>
      <c r="PPV35" s="10"/>
      <c r="PPW35" s="11"/>
      <c r="PPX35" s="12"/>
      <c r="PPY35" s="12"/>
      <c r="PPZ35" s="12"/>
      <c r="PQA35" s="13"/>
      <c r="PQB35" s="9"/>
      <c r="PQC35" s="9"/>
      <c r="PQD35" s="9"/>
      <c r="PQE35" s="9"/>
      <c r="PQF35" s="10"/>
      <c r="PQG35" s="11"/>
      <c r="PQH35" s="12"/>
      <c r="PQI35" s="12"/>
      <c r="PQJ35" s="12"/>
      <c r="PQK35" s="13"/>
      <c r="PQL35" s="9"/>
      <c r="PQM35" s="9"/>
      <c r="PQN35" s="9"/>
      <c r="PQO35" s="9"/>
      <c r="PQP35" s="10"/>
      <c r="PQQ35" s="11"/>
      <c r="PQR35" s="12"/>
      <c r="PQS35" s="12"/>
      <c r="PQT35" s="12"/>
      <c r="PQU35" s="13"/>
      <c r="PQV35" s="9"/>
      <c r="PQW35" s="9"/>
      <c r="PQX35" s="9"/>
      <c r="PQY35" s="9"/>
      <c r="PQZ35" s="10"/>
      <c r="PRA35" s="11"/>
      <c r="PRB35" s="12"/>
      <c r="PRC35" s="12"/>
      <c r="PRD35" s="12"/>
      <c r="PRE35" s="13"/>
      <c r="PRF35" s="9"/>
      <c r="PRG35" s="9"/>
      <c r="PRH35" s="9"/>
      <c r="PRI35" s="9"/>
      <c r="PRJ35" s="10"/>
      <c r="PRK35" s="11"/>
      <c r="PRL35" s="12"/>
      <c r="PRM35" s="12"/>
      <c r="PRN35" s="12"/>
      <c r="PRO35" s="13"/>
      <c r="PRP35" s="9"/>
      <c r="PRQ35" s="9"/>
      <c r="PRR35" s="9"/>
      <c r="PRS35" s="9"/>
      <c r="PRT35" s="10"/>
      <c r="PRU35" s="11"/>
      <c r="PRV35" s="12"/>
      <c r="PRW35" s="12"/>
      <c r="PRX35" s="12"/>
      <c r="PRY35" s="13"/>
      <c r="PRZ35" s="9"/>
      <c r="PSA35" s="9"/>
      <c r="PSB35" s="9"/>
      <c r="PSC35" s="9"/>
      <c r="PSD35" s="10"/>
      <c r="PSE35" s="11"/>
      <c r="PSF35" s="12"/>
      <c r="PSG35" s="12"/>
      <c r="PSH35" s="12"/>
      <c r="PSI35" s="13"/>
      <c r="PSJ35" s="9"/>
      <c r="PSK35" s="9"/>
      <c r="PSL35" s="9"/>
      <c r="PSM35" s="9"/>
      <c r="PSN35" s="10"/>
      <c r="PSO35" s="11"/>
      <c r="PSP35" s="12"/>
      <c r="PSQ35" s="12"/>
      <c r="PSR35" s="12"/>
      <c r="PSS35" s="13"/>
      <c r="PST35" s="9"/>
      <c r="PSU35" s="9"/>
      <c r="PSV35" s="9"/>
      <c r="PSW35" s="9"/>
      <c r="PSX35" s="10"/>
      <c r="PSY35" s="11"/>
      <c r="PSZ35" s="12"/>
      <c r="PTA35" s="12"/>
      <c r="PTB35" s="12"/>
      <c r="PTC35" s="13"/>
      <c r="PTD35" s="9"/>
      <c r="PTE35" s="9"/>
      <c r="PTF35" s="9"/>
      <c r="PTG35" s="9"/>
      <c r="PTH35" s="10"/>
      <c r="PTI35" s="11"/>
      <c r="PTJ35" s="12"/>
      <c r="PTK35" s="12"/>
      <c r="PTL35" s="12"/>
      <c r="PTM35" s="13"/>
      <c r="PTN35" s="9"/>
      <c r="PTO35" s="9"/>
      <c r="PTP35" s="9"/>
      <c r="PTQ35" s="9"/>
      <c r="PTR35" s="10"/>
      <c r="PTS35" s="11"/>
      <c r="PTT35" s="12"/>
      <c r="PTU35" s="12"/>
      <c r="PTV35" s="12"/>
      <c r="PTW35" s="13"/>
      <c r="PTX35" s="9"/>
      <c r="PTY35" s="9"/>
      <c r="PTZ35" s="9"/>
      <c r="PUA35" s="9"/>
      <c r="PUB35" s="10"/>
      <c r="PUC35" s="11"/>
      <c r="PUD35" s="12"/>
      <c r="PUE35" s="12"/>
      <c r="PUF35" s="12"/>
      <c r="PUG35" s="13"/>
      <c r="PUH35" s="9"/>
      <c r="PUI35" s="9"/>
      <c r="PUJ35" s="9"/>
      <c r="PUK35" s="9"/>
      <c r="PUL35" s="10"/>
      <c r="PUM35" s="11"/>
      <c r="PUN35" s="12"/>
      <c r="PUO35" s="12"/>
      <c r="PUP35" s="12"/>
      <c r="PUQ35" s="13"/>
      <c r="PUR35" s="9"/>
      <c r="PUS35" s="9"/>
      <c r="PUT35" s="9"/>
      <c r="PUU35" s="9"/>
      <c r="PUV35" s="10"/>
      <c r="PUW35" s="11"/>
      <c r="PUX35" s="12"/>
      <c r="PUY35" s="12"/>
      <c r="PUZ35" s="12"/>
      <c r="PVA35" s="13"/>
      <c r="PVB35" s="9"/>
      <c r="PVC35" s="9"/>
      <c r="PVD35" s="9"/>
      <c r="PVE35" s="9"/>
      <c r="PVF35" s="10"/>
      <c r="PVG35" s="11"/>
      <c r="PVH35" s="12"/>
      <c r="PVI35" s="12"/>
      <c r="PVJ35" s="12"/>
      <c r="PVK35" s="13"/>
      <c r="PVL35" s="9"/>
      <c r="PVM35" s="9"/>
      <c r="PVN35" s="9"/>
      <c r="PVO35" s="9"/>
      <c r="PVP35" s="10"/>
      <c r="PVQ35" s="11"/>
      <c r="PVR35" s="12"/>
      <c r="PVS35" s="12"/>
      <c r="PVT35" s="12"/>
      <c r="PVU35" s="13"/>
      <c r="PVV35" s="9"/>
      <c r="PVW35" s="9"/>
      <c r="PVX35" s="9"/>
      <c r="PVY35" s="9"/>
      <c r="PVZ35" s="10"/>
      <c r="PWA35" s="11"/>
      <c r="PWB35" s="12"/>
      <c r="PWC35" s="12"/>
      <c r="PWD35" s="12"/>
      <c r="PWE35" s="13"/>
      <c r="PWF35" s="9"/>
      <c r="PWG35" s="9"/>
      <c r="PWH35" s="9"/>
      <c r="PWI35" s="9"/>
      <c r="PWJ35" s="10"/>
      <c r="PWK35" s="11"/>
      <c r="PWL35" s="12"/>
      <c r="PWM35" s="12"/>
      <c r="PWN35" s="12"/>
      <c r="PWO35" s="13"/>
      <c r="PWP35" s="9"/>
      <c r="PWQ35" s="9"/>
      <c r="PWR35" s="9"/>
      <c r="PWS35" s="9"/>
      <c r="PWT35" s="10"/>
      <c r="PWU35" s="11"/>
      <c r="PWV35" s="12"/>
      <c r="PWW35" s="12"/>
      <c r="PWX35" s="12"/>
      <c r="PWY35" s="13"/>
      <c r="PWZ35" s="9"/>
      <c r="PXA35" s="9"/>
      <c r="PXB35" s="9"/>
      <c r="PXC35" s="9"/>
      <c r="PXD35" s="10"/>
      <c r="PXE35" s="11"/>
      <c r="PXF35" s="12"/>
      <c r="PXG35" s="12"/>
      <c r="PXH35" s="12"/>
      <c r="PXI35" s="13"/>
      <c r="PXJ35" s="9"/>
      <c r="PXK35" s="9"/>
      <c r="PXL35" s="9"/>
      <c r="PXM35" s="9"/>
      <c r="PXN35" s="10"/>
      <c r="PXO35" s="11"/>
      <c r="PXP35" s="12"/>
      <c r="PXQ35" s="12"/>
      <c r="PXR35" s="12"/>
      <c r="PXS35" s="13"/>
      <c r="PXT35" s="9"/>
      <c r="PXU35" s="9"/>
      <c r="PXV35" s="9"/>
      <c r="PXW35" s="9"/>
      <c r="PXX35" s="10"/>
      <c r="PXY35" s="11"/>
      <c r="PXZ35" s="12"/>
      <c r="PYA35" s="12"/>
      <c r="PYB35" s="12"/>
      <c r="PYC35" s="13"/>
      <c r="PYD35" s="9"/>
      <c r="PYE35" s="9"/>
      <c r="PYF35" s="9"/>
      <c r="PYG35" s="9"/>
      <c r="PYH35" s="10"/>
      <c r="PYI35" s="11"/>
      <c r="PYJ35" s="12"/>
      <c r="PYK35" s="12"/>
      <c r="PYL35" s="12"/>
      <c r="PYM35" s="13"/>
      <c r="PYN35" s="9"/>
      <c r="PYO35" s="9"/>
      <c r="PYP35" s="9"/>
      <c r="PYQ35" s="9"/>
      <c r="PYR35" s="10"/>
      <c r="PYS35" s="11"/>
      <c r="PYT35" s="12"/>
      <c r="PYU35" s="12"/>
      <c r="PYV35" s="12"/>
      <c r="PYW35" s="13"/>
      <c r="PYX35" s="9"/>
      <c r="PYY35" s="9"/>
      <c r="PYZ35" s="9"/>
      <c r="PZA35" s="9"/>
      <c r="PZB35" s="10"/>
      <c r="PZC35" s="11"/>
      <c r="PZD35" s="12"/>
      <c r="PZE35" s="12"/>
      <c r="PZF35" s="12"/>
      <c r="PZG35" s="13"/>
      <c r="PZH35" s="9"/>
      <c r="PZI35" s="9"/>
      <c r="PZJ35" s="9"/>
      <c r="PZK35" s="9"/>
      <c r="PZL35" s="10"/>
      <c r="PZM35" s="11"/>
      <c r="PZN35" s="12"/>
      <c r="PZO35" s="12"/>
      <c r="PZP35" s="12"/>
      <c r="PZQ35" s="13"/>
      <c r="PZR35" s="9"/>
      <c r="PZS35" s="9"/>
      <c r="PZT35" s="9"/>
      <c r="PZU35" s="9"/>
      <c r="PZV35" s="10"/>
      <c r="PZW35" s="11"/>
      <c r="PZX35" s="12"/>
      <c r="PZY35" s="12"/>
      <c r="PZZ35" s="12"/>
      <c r="QAA35" s="13"/>
      <c r="QAB35" s="9"/>
      <c r="QAC35" s="9"/>
      <c r="QAD35" s="9"/>
      <c r="QAE35" s="9"/>
      <c r="QAF35" s="10"/>
      <c r="QAG35" s="11"/>
      <c r="QAH35" s="12"/>
      <c r="QAI35" s="12"/>
      <c r="QAJ35" s="12"/>
      <c r="QAK35" s="13"/>
      <c r="QAL35" s="9"/>
      <c r="QAM35" s="9"/>
      <c r="QAN35" s="9"/>
      <c r="QAO35" s="9"/>
      <c r="QAP35" s="10"/>
      <c r="QAQ35" s="11"/>
      <c r="QAR35" s="12"/>
      <c r="QAS35" s="12"/>
      <c r="QAT35" s="12"/>
      <c r="QAU35" s="13"/>
      <c r="QAV35" s="9"/>
      <c r="QAW35" s="9"/>
      <c r="QAX35" s="9"/>
      <c r="QAY35" s="9"/>
      <c r="QAZ35" s="10"/>
      <c r="QBA35" s="11"/>
      <c r="QBB35" s="12"/>
      <c r="QBC35" s="12"/>
      <c r="QBD35" s="12"/>
      <c r="QBE35" s="13"/>
      <c r="QBF35" s="9"/>
      <c r="QBG35" s="9"/>
      <c r="QBH35" s="9"/>
      <c r="QBI35" s="9"/>
      <c r="QBJ35" s="10"/>
      <c r="QBK35" s="11"/>
      <c r="QBL35" s="12"/>
      <c r="QBM35" s="12"/>
      <c r="QBN35" s="12"/>
      <c r="QBO35" s="13"/>
      <c r="QBP35" s="9"/>
      <c r="QBQ35" s="9"/>
      <c r="QBR35" s="9"/>
      <c r="QBS35" s="9"/>
      <c r="QBT35" s="10"/>
      <c r="QBU35" s="11"/>
      <c r="QBV35" s="12"/>
      <c r="QBW35" s="12"/>
      <c r="QBX35" s="12"/>
      <c r="QBY35" s="13"/>
      <c r="QBZ35" s="9"/>
      <c r="QCA35" s="9"/>
      <c r="QCB35" s="9"/>
      <c r="QCC35" s="9"/>
      <c r="QCD35" s="10"/>
      <c r="QCE35" s="11"/>
      <c r="QCF35" s="12"/>
      <c r="QCG35" s="12"/>
      <c r="QCH35" s="12"/>
      <c r="QCI35" s="13"/>
      <c r="QCJ35" s="9"/>
      <c r="QCK35" s="9"/>
      <c r="QCL35" s="9"/>
      <c r="QCM35" s="9"/>
      <c r="QCN35" s="10"/>
      <c r="QCO35" s="11"/>
      <c r="QCP35" s="12"/>
      <c r="QCQ35" s="12"/>
      <c r="QCR35" s="12"/>
      <c r="QCS35" s="13"/>
      <c r="QCT35" s="9"/>
      <c r="QCU35" s="9"/>
      <c r="QCV35" s="9"/>
      <c r="QCW35" s="9"/>
      <c r="QCX35" s="10"/>
      <c r="QCY35" s="11"/>
      <c r="QCZ35" s="12"/>
      <c r="QDA35" s="12"/>
      <c r="QDB35" s="12"/>
      <c r="QDC35" s="13"/>
      <c r="QDD35" s="9"/>
      <c r="QDE35" s="9"/>
      <c r="QDF35" s="9"/>
      <c r="QDG35" s="9"/>
      <c r="QDH35" s="10"/>
      <c r="QDI35" s="11"/>
      <c r="QDJ35" s="12"/>
      <c r="QDK35" s="12"/>
      <c r="QDL35" s="12"/>
      <c r="QDM35" s="13"/>
      <c r="QDN35" s="9"/>
      <c r="QDO35" s="9"/>
      <c r="QDP35" s="9"/>
      <c r="QDQ35" s="9"/>
      <c r="QDR35" s="10"/>
      <c r="QDS35" s="11"/>
      <c r="QDT35" s="12"/>
      <c r="QDU35" s="12"/>
      <c r="QDV35" s="12"/>
      <c r="QDW35" s="13"/>
      <c r="QDX35" s="9"/>
      <c r="QDY35" s="9"/>
      <c r="QDZ35" s="9"/>
      <c r="QEA35" s="9"/>
      <c r="QEB35" s="10"/>
      <c r="QEC35" s="11"/>
      <c r="QED35" s="12"/>
      <c r="QEE35" s="12"/>
      <c r="QEF35" s="12"/>
      <c r="QEG35" s="13"/>
      <c r="QEH35" s="9"/>
      <c r="QEI35" s="9"/>
      <c r="QEJ35" s="9"/>
      <c r="QEK35" s="9"/>
      <c r="QEL35" s="10"/>
      <c r="QEM35" s="11"/>
      <c r="QEN35" s="12"/>
      <c r="QEO35" s="12"/>
      <c r="QEP35" s="12"/>
      <c r="QEQ35" s="13"/>
      <c r="QER35" s="9"/>
      <c r="QES35" s="9"/>
      <c r="QET35" s="9"/>
      <c r="QEU35" s="9"/>
      <c r="QEV35" s="10"/>
      <c r="QEW35" s="11"/>
      <c r="QEX35" s="12"/>
      <c r="QEY35" s="12"/>
      <c r="QEZ35" s="12"/>
      <c r="QFA35" s="13"/>
      <c r="QFB35" s="9"/>
      <c r="QFC35" s="9"/>
      <c r="QFD35" s="9"/>
      <c r="QFE35" s="9"/>
      <c r="QFF35" s="10"/>
      <c r="QFG35" s="11"/>
      <c r="QFH35" s="12"/>
      <c r="QFI35" s="12"/>
      <c r="QFJ35" s="12"/>
      <c r="QFK35" s="13"/>
      <c r="QFL35" s="9"/>
      <c r="QFM35" s="9"/>
      <c r="QFN35" s="9"/>
      <c r="QFO35" s="9"/>
      <c r="QFP35" s="10"/>
      <c r="QFQ35" s="11"/>
      <c r="QFR35" s="12"/>
      <c r="QFS35" s="12"/>
      <c r="QFT35" s="12"/>
      <c r="QFU35" s="13"/>
      <c r="QFV35" s="9"/>
      <c r="QFW35" s="9"/>
      <c r="QFX35" s="9"/>
      <c r="QFY35" s="9"/>
      <c r="QFZ35" s="10"/>
      <c r="QGA35" s="11"/>
      <c r="QGB35" s="12"/>
      <c r="QGC35" s="12"/>
      <c r="QGD35" s="12"/>
      <c r="QGE35" s="13"/>
      <c r="QGF35" s="9"/>
      <c r="QGG35" s="9"/>
      <c r="QGH35" s="9"/>
      <c r="QGI35" s="9"/>
      <c r="QGJ35" s="10"/>
      <c r="QGK35" s="11"/>
      <c r="QGL35" s="12"/>
      <c r="QGM35" s="12"/>
      <c r="QGN35" s="12"/>
      <c r="QGO35" s="13"/>
      <c r="QGP35" s="9"/>
      <c r="QGQ35" s="9"/>
      <c r="QGR35" s="9"/>
      <c r="QGS35" s="9"/>
      <c r="QGT35" s="10"/>
      <c r="QGU35" s="11"/>
      <c r="QGV35" s="12"/>
      <c r="QGW35" s="12"/>
      <c r="QGX35" s="12"/>
      <c r="QGY35" s="13"/>
      <c r="QGZ35" s="9"/>
      <c r="QHA35" s="9"/>
      <c r="QHB35" s="9"/>
      <c r="QHC35" s="9"/>
      <c r="QHD35" s="10"/>
      <c r="QHE35" s="11"/>
      <c r="QHF35" s="12"/>
      <c r="QHG35" s="12"/>
      <c r="QHH35" s="12"/>
      <c r="QHI35" s="13"/>
      <c r="QHJ35" s="9"/>
      <c r="QHK35" s="9"/>
      <c r="QHL35" s="9"/>
      <c r="QHM35" s="9"/>
      <c r="QHN35" s="10"/>
      <c r="QHO35" s="11"/>
      <c r="QHP35" s="12"/>
      <c r="QHQ35" s="12"/>
      <c r="QHR35" s="12"/>
      <c r="QHS35" s="13"/>
      <c r="QHT35" s="9"/>
      <c r="QHU35" s="9"/>
      <c r="QHV35" s="9"/>
      <c r="QHW35" s="9"/>
      <c r="QHX35" s="10"/>
      <c r="QHY35" s="11"/>
      <c r="QHZ35" s="12"/>
      <c r="QIA35" s="12"/>
      <c r="QIB35" s="12"/>
      <c r="QIC35" s="13"/>
      <c r="QID35" s="9"/>
      <c r="QIE35" s="9"/>
      <c r="QIF35" s="9"/>
      <c r="QIG35" s="9"/>
      <c r="QIH35" s="10"/>
      <c r="QII35" s="11"/>
      <c r="QIJ35" s="12"/>
      <c r="QIK35" s="12"/>
      <c r="QIL35" s="12"/>
      <c r="QIM35" s="13"/>
      <c r="QIN35" s="9"/>
      <c r="QIO35" s="9"/>
      <c r="QIP35" s="9"/>
      <c r="QIQ35" s="9"/>
      <c r="QIR35" s="10"/>
      <c r="QIS35" s="11"/>
      <c r="QIT35" s="12"/>
      <c r="QIU35" s="12"/>
      <c r="QIV35" s="12"/>
      <c r="QIW35" s="13"/>
      <c r="QIX35" s="9"/>
      <c r="QIY35" s="9"/>
      <c r="QIZ35" s="9"/>
      <c r="QJA35" s="9"/>
      <c r="QJB35" s="10"/>
      <c r="QJC35" s="11"/>
      <c r="QJD35" s="12"/>
      <c r="QJE35" s="12"/>
      <c r="QJF35" s="12"/>
      <c r="QJG35" s="13"/>
      <c r="QJH35" s="9"/>
      <c r="QJI35" s="9"/>
      <c r="QJJ35" s="9"/>
      <c r="QJK35" s="9"/>
      <c r="QJL35" s="10"/>
      <c r="QJM35" s="11"/>
      <c r="QJN35" s="12"/>
      <c r="QJO35" s="12"/>
      <c r="QJP35" s="12"/>
      <c r="QJQ35" s="13"/>
      <c r="QJR35" s="9"/>
      <c r="QJS35" s="9"/>
      <c r="QJT35" s="9"/>
      <c r="QJU35" s="9"/>
      <c r="QJV35" s="10"/>
      <c r="QJW35" s="11"/>
      <c r="QJX35" s="12"/>
      <c r="QJY35" s="12"/>
      <c r="QJZ35" s="12"/>
      <c r="QKA35" s="13"/>
      <c r="QKB35" s="9"/>
      <c r="QKC35" s="9"/>
      <c r="QKD35" s="9"/>
      <c r="QKE35" s="9"/>
      <c r="QKF35" s="10"/>
      <c r="QKG35" s="11"/>
      <c r="QKH35" s="12"/>
      <c r="QKI35" s="12"/>
      <c r="QKJ35" s="12"/>
      <c r="QKK35" s="13"/>
      <c r="QKL35" s="9"/>
      <c r="QKM35" s="9"/>
      <c r="QKN35" s="9"/>
      <c r="QKO35" s="9"/>
      <c r="QKP35" s="10"/>
      <c r="QKQ35" s="11"/>
      <c r="QKR35" s="12"/>
      <c r="QKS35" s="12"/>
      <c r="QKT35" s="12"/>
      <c r="QKU35" s="13"/>
      <c r="QKV35" s="9"/>
      <c r="QKW35" s="9"/>
      <c r="QKX35" s="9"/>
      <c r="QKY35" s="9"/>
      <c r="QKZ35" s="10"/>
      <c r="QLA35" s="11"/>
      <c r="QLB35" s="12"/>
      <c r="QLC35" s="12"/>
      <c r="QLD35" s="12"/>
      <c r="QLE35" s="13"/>
      <c r="QLF35" s="9"/>
      <c r="QLG35" s="9"/>
      <c r="QLH35" s="9"/>
      <c r="QLI35" s="9"/>
      <c r="QLJ35" s="10"/>
      <c r="QLK35" s="11"/>
      <c r="QLL35" s="12"/>
      <c r="QLM35" s="12"/>
      <c r="QLN35" s="12"/>
      <c r="QLO35" s="13"/>
      <c r="QLP35" s="9"/>
      <c r="QLQ35" s="9"/>
      <c r="QLR35" s="9"/>
      <c r="QLS35" s="9"/>
      <c r="QLT35" s="10"/>
      <c r="QLU35" s="11"/>
      <c r="QLV35" s="12"/>
      <c r="QLW35" s="12"/>
      <c r="QLX35" s="12"/>
      <c r="QLY35" s="13"/>
      <c r="QLZ35" s="9"/>
      <c r="QMA35" s="9"/>
      <c r="QMB35" s="9"/>
      <c r="QMC35" s="9"/>
      <c r="QMD35" s="10"/>
      <c r="QME35" s="11"/>
      <c r="QMF35" s="12"/>
      <c r="QMG35" s="12"/>
      <c r="QMH35" s="12"/>
      <c r="QMI35" s="13"/>
      <c r="QMJ35" s="9"/>
      <c r="QMK35" s="9"/>
      <c r="QML35" s="9"/>
      <c r="QMM35" s="9"/>
      <c r="QMN35" s="10"/>
      <c r="QMO35" s="11"/>
      <c r="QMP35" s="12"/>
      <c r="QMQ35" s="12"/>
      <c r="QMR35" s="12"/>
      <c r="QMS35" s="13"/>
      <c r="QMT35" s="9"/>
      <c r="QMU35" s="9"/>
      <c r="QMV35" s="9"/>
      <c r="QMW35" s="9"/>
      <c r="QMX35" s="10"/>
      <c r="QMY35" s="11"/>
      <c r="QMZ35" s="12"/>
      <c r="QNA35" s="12"/>
      <c r="QNB35" s="12"/>
      <c r="QNC35" s="13"/>
      <c r="QND35" s="9"/>
      <c r="QNE35" s="9"/>
      <c r="QNF35" s="9"/>
      <c r="QNG35" s="9"/>
      <c r="QNH35" s="10"/>
      <c r="QNI35" s="11"/>
      <c r="QNJ35" s="12"/>
      <c r="QNK35" s="12"/>
      <c r="QNL35" s="12"/>
      <c r="QNM35" s="13"/>
      <c r="QNN35" s="9"/>
      <c r="QNO35" s="9"/>
      <c r="QNP35" s="9"/>
      <c r="QNQ35" s="9"/>
      <c r="QNR35" s="10"/>
      <c r="QNS35" s="11"/>
      <c r="QNT35" s="12"/>
      <c r="QNU35" s="12"/>
      <c r="QNV35" s="12"/>
      <c r="QNW35" s="13"/>
      <c r="QNX35" s="9"/>
      <c r="QNY35" s="9"/>
      <c r="QNZ35" s="9"/>
      <c r="QOA35" s="9"/>
      <c r="QOB35" s="10"/>
      <c r="QOC35" s="11"/>
      <c r="QOD35" s="12"/>
      <c r="QOE35" s="12"/>
      <c r="QOF35" s="12"/>
      <c r="QOG35" s="13"/>
      <c r="QOH35" s="9"/>
      <c r="QOI35" s="9"/>
      <c r="QOJ35" s="9"/>
      <c r="QOK35" s="9"/>
      <c r="QOL35" s="10"/>
      <c r="QOM35" s="11"/>
      <c r="QON35" s="12"/>
      <c r="QOO35" s="12"/>
      <c r="QOP35" s="12"/>
      <c r="QOQ35" s="13"/>
      <c r="QOR35" s="9"/>
      <c r="QOS35" s="9"/>
      <c r="QOT35" s="9"/>
      <c r="QOU35" s="9"/>
      <c r="QOV35" s="10"/>
      <c r="QOW35" s="11"/>
      <c r="QOX35" s="12"/>
      <c r="QOY35" s="12"/>
      <c r="QOZ35" s="12"/>
      <c r="QPA35" s="13"/>
      <c r="QPB35" s="9"/>
      <c r="QPC35" s="9"/>
      <c r="QPD35" s="9"/>
      <c r="QPE35" s="9"/>
      <c r="QPF35" s="10"/>
      <c r="QPG35" s="11"/>
      <c r="QPH35" s="12"/>
      <c r="QPI35" s="12"/>
      <c r="QPJ35" s="12"/>
      <c r="QPK35" s="13"/>
      <c r="QPL35" s="9"/>
      <c r="QPM35" s="9"/>
      <c r="QPN35" s="9"/>
      <c r="QPO35" s="9"/>
      <c r="QPP35" s="10"/>
      <c r="QPQ35" s="11"/>
      <c r="QPR35" s="12"/>
      <c r="QPS35" s="12"/>
      <c r="QPT35" s="12"/>
      <c r="QPU35" s="13"/>
      <c r="QPV35" s="9"/>
      <c r="QPW35" s="9"/>
      <c r="QPX35" s="9"/>
      <c r="QPY35" s="9"/>
      <c r="QPZ35" s="10"/>
      <c r="QQA35" s="11"/>
      <c r="QQB35" s="12"/>
      <c r="QQC35" s="12"/>
      <c r="QQD35" s="12"/>
      <c r="QQE35" s="13"/>
      <c r="QQF35" s="9"/>
      <c r="QQG35" s="9"/>
      <c r="QQH35" s="9"/>
      <c r="QQI35" s="9"/>
      <c r="QQJ35" s="10"/>
      <c r="QQK35" s="11"/>
      <c r="QQL35" s="12"/>
      <c r="QQM35" s="12"/>
      <c r="QQN35" s="12"/>
      <c r="QQO35" s="13"/>
      <c r="QQP35" s="9"/>
      <c r="QQQ35" s="9"/>
      <c r="QQR35" s="9"/>
      <c r="QQS35" s="9"/>
      <c r="QQT35" s="10"/>
      <c r="QQU35" s="11"/>
      <c r="QQV35" s="12"/>
      <c r="QQW35" s="12"/>
      <c r="QQX35" s="12"/>
      <c r="QQY35" s="13"/>
      <c r="QQZ35" s="9"/>
      <c r="QRA35" s="9"/>
      <c r="QRB35" s="9"/>
      <c r="QRC35" s="9"/>
      <c r="QRD35" s="10"/>
      <c r="QRE35" s="11"/>
      <c r="QRF35" s="12"/>
      <c r="QRG35" s="12"/>
      <c r="QRH35" s="12"/>
      <c r="QRI35" s="13"/>
      <c r="QRJ35" s="9"/>
      <c r="QRK35" s="9"/>
      <c r="QRL35" s="9"/>
      <c r="QRM35" s="9"/>
      <c r="QRN35" s="10"/>
      <c r="QRO35" s="11"/>
      <c r="QRP35" s="12"/>
      <c r="QRQ35" s="12"/>
      <c r="QRR35" s="12"/>
      <c r="QRS35" s="13"/>
      <c r="QRT35" s="9"/>
      <c r="QRU35" s="9"/>
      <c r="QRV35" s="9"/>
      <c r="QRW35" s="9"/>
      <c r="QRX35" s="10"/>
      <c r="QRY35" s="11"/>
      <c r="QRZ35" s="12"/>
      <c r="QSA35" s="12"/>
      <c r="QSB35" s="12"/>
      <c r="QSC35" s="13"/>
      <c r="QSD35" s="9"/>
      <c r="QSE35" s="9"/>
      <c r="QSF35" s="9"/>
      <c r="QSG35" s="9"/>
      <c r="QSH35" s="10"/>
      <c r="QSI35" s="11"/>
      <c r="QSJ35" s="12"/>
      <c r="QSK35" s="12"/>
      <c r="QSL35" s="12"/>
      <c r="QSM35" s="13"/>
      <c r="QSN35" s="9"/>
      <c r="QSO35" s="9"/>
      <c r="QSP35" s="9"/>
      <c r="QSQ35" s="9"/>
      <c r="QSR35" s="10"/>
      <c r="QSS35" s="11"/>
      <c r="QST35" s="12"/>
      <c r="QSU35" s="12"/>
      <c r="QSV35" s="12"/>
      <c r="QSW35" s="13"/>
      <c r="QSX35" s="9"/>
      <c r="QSY35" s="9"/>
      <c r="QSZ35" s="9"/>
      <c r="QTA35" s="9"/>
      <c r="QTB35" s="10"/>
      <c r="QTC35" s="11"/>
      <c r="QTD35" s="12"/>
      <c r="QTE35" s="12"/>
      <c r="QTF35" s="12"/>
      <c r="QTG35" s="13"/>
      <c r="QTH35" s="9"/>
      <c r="QTI35" s="9"/>
      <c r="QTJ35" s="9"/>
      <c r="QTK35" s="9"/>
      <c r="QTL35" s="10"/>
      <c r="QTM35" s="11"/>
      <c r="QTN35" s="12"/>
      <c r="QTO35" s="12"/>
      <c r="QTP35" s="12"/>
      <c r="QTQ35" s="13"/>
      <c r="QTR35" s="9"/>
      <c r="QTS35" s="9"/>
      <c r="QTT35" s="9"/>
      <c r="QTU35" s="9"/>
      <c r="QTV35" s="10"/>
      <c r="QTW35" s="11"/>
      <c r="QTX35" s="12"/>
      <c r="QTY35" s="12"/>
      <c r="QTZ35" s="12"/>
      <c r="QUA35" s="13"/>
      <c r="QUB35" s="9"/>
      <c r="QUC35" s="9"/>
      <c r="QUD35" s="9"/>
      <c r="QUE35" s="9"/>
      <c r="QUF35" s="10"/>
      <c r="QUG35" s="11"/>
      <c r="QUH35" s="12"/>
      <c r="QUI35" s="12"/>
      <c r="QUJ35" s="12"/>
      <c r="QUK35" s="13"/>
      <c r="QUL35" s="9"/>
      <c r="QUM35" s="9"/>
      <c r="QUN35" s="9"/>
      <c r="QUO35" s="9"/>
      <c r="QUP35" s="10"/>
      <c r="QUQ35" s="11"/>
      <c r="QUR35" s="12"/>
      <c r="QUS35" s="12"/>
      <c r="QUT35" s="12"/>
      <c r="QUU35" s="13"/>
      <c r="QUV35" s="9"/>
      <c r="QUW35" s="9"/>
      <c r="QUX35" s="9"/>
      <c r="QUY35" s="9"/>
      <c r="QUZ35" s="10"/>
      <c r="QVA35" s="11"/>
      <c r="QVB35" s="12"/>
      <c r="QVC35" s="12"/>
      <c r="QVD35" s="12"/>
      <c r="QVE35" s="13"/>
      <c r="QVF35" s="9"/>
      <c r="QVG35" s="9"/>
      <c r="QVH35" s="9"/>
      <c r="QVI35" s="9"/>
      <c r="QVJ35" s="10"/>
      <c r="QVK35" s="11"/>
      <c r="QVL35" s="12"/>
      <c r="QVM35" s="12"/>
      <c r="QVN35" s="12"/>
      <c r="QVO35" s="13"/>
      <c r="QVP35" s="9"/>
      <c r="QVQ35" s="9"/>
      <c r="QVR35" s="9"/>
      <c r="QVS35" s="9"/>
      <c r="QVT35" s="10"/>
      <c r="QVU35" s="11"/>
      <c r="QVV35" s="12"/>
      <c r="QVW35" s="12"/>
      <c r="QVX35" s="12"/>
      <c r="QVY35" s="13"/>
      <c r="QVZ35" s="9"/>
      <c r="QWA35" s="9"/>
      <c r="QWB35" s="9"/>
      <c r="QWC35" s="9"/>
      <c r="QWD35" s="10"/>
      <c r="QWE35" s="11"/>
      <c r="QWF35" s="12"/>
      <c r="QWG35" s="12"/>
      <c r="QWH35" s="12"/>
      <c r="QWI35" s="13"/>
      <c r="QWJ35" s="9"/>
      <c r="QWK35" s="9"/>
      <c r="QWL35" s="9"/>
      <c r="QWM35" s="9"/>
      <c r="QWN35" s="10"/>
      <c r="QWO35" s="11"/>
      <c r="QWP35" s="12"/>
      <c r="QWQ35" s="12"/>
      <c r="QWR35" s="12"/>
      <c r="QWS35" s="13"/>
      <c r="QWT35" s="9"/>
      <c r="QWU35" s="9"/>
      <c r="QWV35" s="9"/>
      <c r="QWW35" s="9"/>
      <c r="QWX35" s="10"/>
      <c r="QWY35" s="11"/>
      <c r="QWZ35" s="12"/>
      <c r="QXA35" s="12"/>
      <c r="QXB35" s="12"/>
      <c r="QXC35" s="13"/>
      <c r="QXD35" s="9"/>
      <c r="QXE35" s="9"/>
      <c r="QXF35" s="9"/>
      <c r="QXG35" s="9"/>
      <c r="QXH35" s="10"/>
      <c r="QXI35" s="11"/>
      <c r="QXJ35" s="12"/>
      <c r="QXK35" s="12"/>
      <c r="QXL35" s="12"/>
      <c r="QXM35" s="13"/>
      <c r="QXN35" s="9"/>
      <c r="QXO35" s="9"/>
      <c r="QXP35" s="9"/>
      <c r="QXQ35" s="9"/>
      <c r="QXR35" s="10"/>
      <c r="QXS35" s="11"/>
      <c r="QXT35" s="12"/>
      <c r="QXU35" s="12"/>
      <c r="QXV35" s="12"/>
      <c r="QXW35" s="13"/>
      <c r="QXX35" s="9"/>
      <c r="QXY35" s="9"/>
      <c r="QXZ35" s="9"/>
      <c r="QYA35" s="9"/>
      <c r="QYB35" s="10"/>
      <c r="QYC35" s="11"/>
      <c r="QYD35" s="12"/>
      <c r="QYE35" s="12"/>
      <c r="QYF35" s="12"/>
      <c r="QYG35" s="13"/>
      <c r="QYH35" s="9"/>
      <c r="QYI35" s="9"/>
      <c r="QYJ35" s="9"/>
      <c r="QYK35" s="9"/>
      <c r="QYL35" s="10"/>
      <c r="QYM35" s="11"/>
      <c r="QYN35" s="12"/>
      <c r="QYO35" s="12"/>
      <c r="QYP35" s="12"/>
      <c r="QYQ35" s="13"/>
      <c r="QYR35" s="9"/>
      <c r="QYS35" s="9"/>
      <c r="QYT35" s="9"/>
      <c r="QYU35" s="9"/>
      <c r="QYV35" s="10"/>
      <c r="QYW35" s="11"/>
      <c r="QYX35" s="12"/>
      <c r="QYY35" s="12"/>
      <c r="QYZ35" s="12"/>
      <c r="QZA35" s="13"/>
      <c r="QZB35" s="9"/>
      <c r="QZC35" s="9"/>
      <c r="QZD35" s="9"/>
      <c r="QZE35" s="9"/>
      <c r="QZF35" s="10"/>
      <c r="QZG35" s="11"/>
      <c r="QZH35" s="12"/>
      <c r="QZI35" s="12"/>
      <c r="QZJ35" s="12"/>
      <c r="QZK35" s="13"/>
      <c r="QZL35" s="9"/>
      <c r="QZM35" s="9"/>
      <c r="QZN35" s="9"/>
      <c r="QZO35" s="9"/>
      <c r="QZP35" s="10"/>
      <c r="QZQ35" s="11"/>
      <c r="QZR35" s="12"/>
      <c r="QZS35" s="12"/>
      <c r="QZT35" s="12"/>
      <c r="QZU35" s="13"/>
      <c r="QZV35" s="9"/>
      <c r="QZW35" s="9"/>
      <c r="QZX35" s="9"/>
      <c r="QZY35" s="9"/>
      <c r="QZZ35" s="10"/>
      <c r="RAA35" s="11"/>
      <c r="RAB35" s="12"/>
      <c r="RAC35" s="12"/>
      <c r="RAD35" s="12"/>
      <c r="RAE35" s="13"/>
      <c r="RAF35" s="9"/>
      <c r="RAG35" s="9"/>
      <c r="RAH35" s="9"/>
      <c r="RAI35" s="9"/>
      <c r="RAJ35" s="10"/>
      <c r="RAK35" s="11"/>
      <c r="RAL35" s="12"/>
      <c r="RAM35" s="12"/>
      <c r="RAN35" s="12"/>
      <c r="RAO35" s="13"/>
      <c r="RAP35" s="9"/>
      <c r="RAQ35" s="9"/>
      <c r="RAR35" s="9"/>
      <c r="RAS35" s="9"/>
      <c r="RAT35" s="10"/>
      <c r="RAU35" s="11"/>
      <c r="RAV35" s="12"/>
      <c r="RAW35" s="12"/>
      <c r="RAX35" s="12"/>
      <c r="RAY35" s="13"/>
      <c r="RAZ35" s="9"/>
      <c r="RBA35" s="9"/>
      <c r="RBB35" s="9"/>
      <c r="RBC35" s="9"/>
      <c r="RBD35" s="10"/>
      <c r="RBE35" s="11"/>
      <c r="RBF35" s="12"/>
      <c r="RBG35" s="12"/>
      <c r="RBH35" s="12"/>
      <c r="RBI35" s="13"/>
      <c r="RBJ35" s="9"/>
      <c r="RBK35" s="9"/>
      <c r="RBL35" s="9"/>
      <c r="RBM35" s="9"/>
      <c r="RBN35" s="10"/>
      <c r="RBO35" s="11"/>
      <c r="RBP35" s="12"/>
      <c r="RBQ35" s="12"/>
      <c r="RBR35" s="12"/>
      <c r="RBS35" s="13"/>
      <c r="RBT35" s="9"/>
      <c r="RBU35" s="9"/>
      <c r="RBV35" s="9"/>
      <c r="RBW35" s="9"/>
      <c r="RBX35" s="10"/>
      <c r="RBY35" s="11"/>
      <c r="RBZ35" s="12"/>
      <c r="RCA35" s="12"/>
      <c r="RCB35" s="12"/>
      <c r="RCC35" s="13"/>
      <c r="RCD35" s="9"/>
      <c r="RCE35" s="9"/>
      <c r="RCF35" s="9"/>
      <c r="RCG35" s="9"/>
      <c r="RCH35" s="10"/>
      <c r="RCI35" s="11"/>
      <c r="RCJ35" s="12"/>
      <c r="RCK35" s="12"/>
      <c r="RCL35" s="12"/>
      <c r="RCM35" s="13"/>
      <c r="RCN35" s="9"/>
      <c r="RCO35" s="9"/>
      <c r="RCP35" s="9"/>
      <c r="RCQ35" s="9"/>
      <c r="RCR35" s="10"/>
      <c r="RCS35" s="11"/>
      <c r="RCT35" s="12"/>
      <c r="RCU35" s="12"/>
      <c r="RCV35" s="12"/>
      <c r="RCW35" s="13"/>
      <c r="RCX35" s="9"/>
      <c r="RCY35" s="9"/>
      <c r="RCZ35" s="9"/>
      <c r="RDA35" s="9"/>
      <c r="RDB35" s="10"/>
      <c r="RDC35" s="11"/>
      <c r="RDD35" s="12"/>
      <c r="RDE35" s="12"/>
      <c r="RDF35" s="12"/>
      <c r="RDG35" s="13"/>
      <c r="RDH35" s="9"/>
      <c r="RDI35" s="9"/>
      <c r="RDJ35" s="9"/>
      <c r="RDK35" s="9"/>
      <c r="RDL35" s="10"/>
      <c r="RDM35" s="11"/>
      <c r="RDN35" s="12"/>
      <c r="RDO35" s="12"/>
      <c r="RDP35" s="12"/>
      <c r="RDQ35" s="13"/>
      <c r="RDR35" s="9"/>
      <c r="RDS35" s="9"/>
      <c r="RDT35" s="9"/>
      <c r="RDU35" s="9"/>
      <c r="RDV35" s="10"/>
      <c r="RDW35" s="11"/>
      <c r="RDX35" s="12"/>
      <c r="RDY35" s="12"/>
      <c r="RDZ35" s="12"/>
      <c r="REA35" s="13"/>
      <c r="REB35" s="9"/>
      <c r="REC35" s="9"/>
      <c r="RED35" s="9"/>
      <c r="REE35" s="9"/>
      <c r="REF35" s="10"/>
      <c r="REG35" s="11"/>
      <c r="REH35" s="12"/>
      <c r="REI35" s="12"/>
      <c r="REJ35" s="12"/>
      <c r="REK35" s="13"/>
      <c r="REL35" s="9"/>
      <c r="REM35" s="9"/>
      <c r="REN35" s="9"/>
      <c r="REO35" s="9"/>
      <c r="REP35" s="10"/>
      <c r="REQ35" s="11"/>
      <c r="RER35" s="12"/>
      <c r="RES35" s="12"/>
      <c r="RET35" s="12"/>
      <c r="REU35" s="13"/>
      <c r="REV35" s="9"/>
      <c r="REW35" s="9"/>
      <c r="REX35" s="9"/>
      <c r="REY35" s="9"/>
      <c r="REZ35" s="10"/>
      <c r="RFA35" s="11"/>
      <c r="RFB35" s="12"/>
      <c r="RFC35" s="12"/>
      <c r="RFD35" s="12"/>
      <c r="RFE35" s="13"/>
      <c r="RFF35" s="9"/>
      <c r="RFG35" s="9"/>
      <c r="RFH35" s="9"/>
      <c r="RFI35" s="9"/>
      <c r="RFJ35" s="10"/>
      <c r="RFK35" s="11"/>
      <c r="RFL35" s="12"/>
      <c r="RFM35" s="12"/>
      <c r="RFN35" s="12"/>
      <c r="RFO35" s="13"/>
      <c r="RFP35" s="9"/>
      <c r="RFQ35" s="9"/>
      <c r="RFR35" s="9"/>
      <c r="RFS35" s="9"/>
      <c r="RFT35" s="10"/>
      <c r="RFU35" s="11"/>
      <c r="RFV35" s="12"/>
      <c r="RFW35" s="12"/>
      <c r="RFX35" s="12"/>
      <c r="RFY35" s="13"/>
      <c r="RFZ35" s="9"/>
      <c r="RGA35" s="9"/>
      <c r="RGB35" s="9"/>
      <c r="RGC35" s="9"/>
      <c r="RGD35" s="10"/>
      <c r="RGE35" s="11"/>
      <c r="RGF35" s="12"/>
      <c r="RGG35" s="12"/>
      <c r="RGH35" s="12"/>
      <c r="RGI35" s="13"/>
      <c r="RGJ35" s="9"/>
      <c r="RGK35" s="9"/>
      <c r="RGL35" s="9"/>
      <c r="RGM35" s="9"/>
      <c r="RGN35" s="10"/>
      <c r="RGO35" s="11"/>
      <c r="RGP35" s="12"/>
      <c r="RGQ35" s="12"/>
      <c r="RGR35" s="12"/>
      <c r="RGS35" s="13"/>
      <c r="RGT35" s="9"/>
      <c r="RGU35" s="9"/>
      <c r="RGV35" s="9"/>
      <c r="RGW35" s="9"/>
      <c r="RGX35" s="10"/>
      <c r="RGY35" s="11"/>
      <c r="RGZ35" s="12"/>
      <c r="RHA35" s="12"/>
      <c r="RHB35" s="12"/>
      <c r="RHC35" s="13"/>
      <c r="RHD35" s="9"/>
      <c r="RHE35" s="9"/>
      <c r="RHF35" s="9"/>
      <c r="RHG35" s="9"/>
      <c r="RHH35" s="10"/>
      <c r="RHI35" s="11"/>
      <c r="RHJ35" s="12"/>
      <c r="RHK35" s="12"/>
      <c r="RHL35" s="12"/>
      <c r="RHM35" s="13"/>
      <c r="RHN35" s="9"/>
      <c r="RHO35" s="9"/>
      <c r="RHP35" s="9"/>
      <c r="RHQ35" s="9"/>
      <c r="RHR35" s="10"/>
      <c r="RHS35" s="11"/>
      <c r="RHT35" s="12"/>
      <c r="RHU35" s="12"/>
      <c r="RHV35" s="12"/>
      <c r="RHW35" s="13"/>
      <c r="RHX35" s="9"/>
      <c r="RHY35" s="9"/>
      <c r="RHZ35" s="9"/>
      <c r="RIA35" s="9"/>
      <c r="RIB35" s="10"/>
      <c r="RIC35" s="11"/>
      <c r="RID35" s="12"/>
      <c r="RIE35" s="12"/>
      <c r="RIF35" s="12"/>
      <c r="RIG35" s="13"/>
      <c r="RIH35" s="9"/>
      <c r="RII35" s="9"/>
      <c r="RIJ35" s="9"/>
      <c r="RIK35" s="9"/>
      <c r="RIL35" s="10"/>
      <c r="RIM35" s="11"/>
      <c r="RIN35" s="12"/>
      <c r="RIO35" s="12"/>
      <c r="RIP35" s="12"/>
      <c r="RIQ35" s="13"/>
      <c r="RIR35" s="9"/>
      <c r="RIS35" s="9"/>
      <c r="RIT35" s="9"/>
      <c r="RIU35" s="9"/>
      <c r="RIV35" s="10"/>
      <c r="RIW35" s="11"/>
      <c r="RIX35" s="12"/>
      <c r="RIY35" s="12"/>
      <c r="RIZ35" s="12"/>
      <c r="RJA35" s="13"/>
      <c r="RJB35" s="9"/>
      <c r="RJC35" s="9"/>
      <c r="RJD35" s="9"/>
      <c r="RJE35" s="9"/>
      <c r="RJF35" s="10"/>
      <c r="RJG35" s="11"/>
      <c r="RJH35" s="12"/>
      <c r="RJI35" s="12"/>
      <c r="RJJ35" s="12"/>
      <c r="RJK35" s="13"/>
      <c r="RJL35" s="9"/>
      <c r="RJM35" s="9"/>
      <c r="RJN35" s="9"/>
      <c r="RJO35" s="9"/>
      <c r="RJP35" s="10"/>
      <c r="RJQ35" s="11"/>
      <c r="RJR35" s="12"/>
      <c r="RJS35" s="12"/>
      <c r="RJT35" s="12"/>
      <c r="RJU35" s="13"/>
      <c r="RJV35" s="9"/>
      <c r="RJW35" s="9"/>
      <c r="RJX35" s="9"/>
      <c r="RJY35" s="9"/>
      <c r="RJZ35" s="10"/>
      <c r="RKA35" s="11"/>
      <c r="RKB35" s="12"/>
      <c r="RKC35" s="12"/>
      <c r="RKD35" s="12"/>
      <c r="RKE35" s="13"/>
      <c r="RKF35" s="9"/>
      <c r="RKG35" s="9"/>
      <c r="RKH35" s="9"/>
      <c r="RKI35" s="9"/>
      <c r="RKJ35" s="10"/>
      <c r="RKK35" s="11"/>
      <c r="RKL35" s="12"/>
      <c r="RKM35" s="12"/>
      <c r="RKN35" s="12"/>
      <c r="RKO35" s="13"/>
      <c r="RKP35" s="9"/>
      <c r="RKQ35" s="9"/>
      <c r="RKR35" s="9"/>
      <c r="RKS35" s="9"/>
      <c r="RKT35" s="10"/>
      <c r="RKU35" s="11"/>
      <c r="RKV35" s="12"/>
      <c r="RKW35" s="12"/>
      <c r="RKX35" s="12"/>
      <c r="RKY35" s="13"/>
      <c r="RKZ35" s="9"/>
      <c r="RLA35" s="9"/>
      <c r="RLB35" s="9"/>
      <c r="RLC35" s="9"/>
      <c r="RLD35" s="10"/>
      <c r="RLE35" s="11"/>
      <c r="RLF35" s="12"/>
      <c r="RLG35" s="12"/>
      <c r="RLH35" s="12"/>
      <c r="RLI35" s="13"/>
      <c r="RLJ35" s="9"/>
      <c r="RLK35" s="9"/>
      <c r="RLL35" s="9"/>
      <c r="RLM35" s="9"/>
      <c r="RLN35" s="10"/>
      <c r="RLO35" s="11"/>
      <c r="RLP35" s="12"/>
      <c r="RLQ35" s="12"/>
      <c r="RLR35" s="12"/>
      <c r="RLS35" s="13"/>
      <c r="RLT35" s="9"/>
      <c r="RLU35" s="9"/>
      <c r="RLV35" s="9"/>
      <c r="RLW35" s="9"/>
      <c r="RLX35" s="10"/>
      <c r="RLY35" s="11"/>
      <c r="RLZ35" s="12"/>
      <c r="RMA35" s="12"/>
      <c r="RMB35" s="12"/>
      <c r="RMC35" s="13"/>
      <c r="RMD35" s="9"/>
      <c r="RME35" s="9"/>
      <c r="RMF35" s="9"/>
      <c r="RMG35" s="9"/>
      <c r="RMH35" s="10"/>
      <c r="RMI35" s="11"/>
      <c r="RMJ35" s="12"/>
      <c r="RMK35" s="12"/>
      <c r="RML35" s="12"/>
      <c r="RMM35" s="13"/>
      <c r="RMN35" s="9"/>
      <c r="RMO35" s="9"/>
      <c r="RMP35" s="9"/>
      <c r="RMQ35" s="9"/>
      <c r="RMR35" s="10"/>
      <c r="RMS35" s="11"/>
      <c r="RMT35" s="12"/>
      <c r="RMU35" s="12"/>
      <c r="RMV35" s="12"/>
      <c r="RMW35" s="13"/>
      <c r="RMX35" s="9"/>
      <c r="RMY35" s="9"/>
      <c r="RMZ35" s="9"/>
      <c r="RNA35" s="9"/>
      <c r="RNB35" s="10"/>
      <c r="RNC35" s="11"/>
      <c r="RND35" s="12"/>
      <c r="RNE35" s="12"/>
      <c r="RNF35" s="12"/>
      <c r="RNG35" s="13"/>
      <c r="RNH35" s="9"/>
      <c r="RNI35" s="9"/>
      <c r="RNJ35" s="9"/>
      <c r="RNK35" s="9"/>
      <c r="RNL35" s="10"/>
      <c r="RNM35" s="11"/>
      <c r="RNN35" s="12"/>
      <c r="RNO35" s="12"/>
      <c r="RNP35" s="12"/>
      <c r="RNQ35" s="13"/>
      <c r="RNR35" s="9"/>
      <c r="RNS35" s="9"/>
      <c r="RNT35" s="9"/>
      <c r="RNU35" s="9"/>
      <c r="RNV35" s="10"/>
      <c r="RNW35" s="11"/>
      <c r="RNX35" s="12"/>
      <c r="RNY35" s="12"/>
      <c r="RNZ35" s="12"/>
      <c r="ROA35" s="13"/>
      <c r="ROB35" s="9"/>
      <c r="ROC35" s="9"/>
      <c r="ROD35" s="9"/>
      <c r="ROE35" s="9"/>
      <c r="ROF35" s="10"/>
      <c r="ROG35" s="11"/>
      <c r="ROH35" s="12"/>
      <c r="ROI35" s="12"/>
      <c r="ROJ35" s="12"/>
      <c r="ROK35" s="13"/>
      <c r="ROL35" s="9"/>
      <c r="ROM35" s="9"/>
      <c r="RON35" s="9"/>
      <c r="ROO35" s="9"/>
      <c r="ROP35" s="10"/>
      <c r="ROQ35" s="11"/>
      <c r="ROR35" s="12"/>
      <c r="ROS35" s="12"/>
      <c r="ROT35" s="12"/>
      <c r="ROU35" s="13"/>
      <c r="ROV35" s="9"/>
      <c r="ROW35" s="9"/>
      <c r="ROX35" s="9"/>
      <c r="ROY35" s="9"/>
      <c r="ROZ35" s="10"/>
      <c r="RPA35" s="11"/>
      <c r="RPB35" s="12"/>
      <c r="RPC35" s="12"/>
      <c r="RPD35" s="12"/>
      <c r="RPE35" s="13"/>
      <c r="RPF35" s="9"/>
      <c r="RPG35" s="9"/>
      <c r="RPH35" s="9"/>
      <c r="RPI35" s="9"/>
      <c r="RPJ35" s="10"/>
      <c r="RPK35" s="11"/>
      <c r="RPL35" s="12"/>
      <c r="RPM35" s="12"/>
      <c r="RPN35" s="12"/>
      <c r="RPO35" s="13"/>
      <c r="RPP35" s="9"/>
      <c r="RPQ35" s="9"/>
      <c r="RPR35" s="9"/>
      <c r="RPS35" s="9"/>
      <c r="RPT35" s="10"/>
      <c r="RPU35" s="11"/>
      <c r="RPV35" s="12"/>
      <c r="RPW35" s="12"/>
      <c r="RPX35" s="12"/>
      <c r="RPY35" s="13"/>
      <c r="RPZ35" s="9"/>
      <c r="RQA35" s="9"/>
      <c r="RQB35" s="9"/>
      <c r="RQC35" s="9"/>
      <c r="RQD35" s="10"/>
      <c r="RQE35" s="11"/>
      <c r="RQF35" s="12"/>
      <c r="RQG35" s="12"/>
      <c r="RQH35" s="12"/>
      <c r="RQI35" s="13"/>
      <c r="RQJ35" s="9"/>
      <c r="RQK35" s="9"/>
      <c r="RQL35" s="9"/>
      <c r="RQM35" s="9"/>
      <c r="RQN35" s="10"/>
      <c r="RQO35" s="11"/>
      <c r="RQP35" s="12"/>
      <c r="RQQ35" s="12"/>
      <c r="RQR35" s="12"/>
      <c r="RQS35" s="13"/>
      <c r="RQT35" s="9"/>
      <c r="RQU35" s="9"/>
      <c r="RQV35" s="9"/>
      <c r="RQW35" s="9"/>
      <c r="RQX35" s="10"/>
      <c r="RQY35" s="11"/>
      <c r="RQZ35" s="12"/>
      <c r="RRA35" s="12"/>
      <c r="RRB35" s="12"/>
      <c r="RRC35" s="13"/>
      <c r="RRD35" s="9"/>
      <c r="RRE35" s="9"/>
      <c r="RRF35" s="9"/>
      <c r="RRG35" s="9"/>
      <c r="RRH35" s="10"/>
      <c r="RRI35" s="11"/>
      <c r="RRJ35" s="12"/>
      <c r="RRK35" s="12"/>
      <c r="RRL35" s="12"/>
      <c r="RRM35" s="13"/>
      <c r="RRN35" s="9"/>
      <c r="RRO35" s="9"/>
      <c r="RRP35" s="9"/>
      <c r="RRQ35" s="9"/>
      <c r="RRR35" s="10"/>
      <c r="RRS35" s="11"/>
      <c r="RRT35" s="12"/>
      <c r="RRU35" s="12"/>
      <c r="RRV35" s="12"/>
      <c r="RRW35" s="13"/>
      <c r="RRX35" s="9"/>
      <c r="RRY35" s="9"/>
      <c r="RRZ35" s="9"/>
      <c r="RSA35" s="9"/>
      <c r="RSB35" s="10"/>
      <c r="RSC35" s="11"/>
      <c r="RSD35" s="12"/>
      <c r="RSE35" s="12"/>
      <c r="RSF35" s="12"/>
      <c r="RSG35" s="13"/>
      <c r="RSH35" s="9"/>
      <c r="RSI35" s="9"/>
      <c r="RSJ35" s="9"/>
      <c r="RSK35" s="9"/>
      <c r="RSL35" s="10"/>
      <c r="RSM35" s="11"/>
      <c r="RSN35" s="12"/>
      <c r="RSO35" s="12"/>
      <c r="RSP35" s="12"/>
      <c r="RSQ35" s="13"/>
      <c r="RSR35" s="9"/>
      <c r="RSS35" s="9"/>
      <c r="RST35" s="9"/>
      <c r="RSU35" s="9"/>
      <c r="RSV35" s="10"/>
      <c r="RSW35" s="11"/>
      <c r="RSX35" s="12"/>
      <c r="RSY35" s="12"/>
      <c r="RSZ35" s="12"/>
      <c r="RTA35" s="13"/>
      <c r="RTB35" s="9"/>
      <c r="RTC35" s="9"/>
      <c r="RTD35" s="9"/>
      <c r="RTE35" s="9"/>
      <c r="RTF35" s="10"/>
      <c r="RTG35" s="11"/>
      <c r="RTH35" s="12"/>
      <c r="RTI35" s="12"/>
      <c r="RTJ35" s="12"/>
      <c r="RTK35" s="13"/>
      <c r="RTL35" s="9"/>
      <c r="RTM35" s="9"/>
      <c r="RTN35" s="9"/>
      <c r="RTO35" s="9"/>
      <c r="RTP35" s="10"/>
      <c r="RTQ35" s="11"/>
      <c r="RTR35" s="12"/>
      <c r="RTS35" s="12"/>
      <c r="RTT35" s="12"/>
      <c r="RTU35" s="13"/>
      <c r="RTV35" s="9"/>
      <c r="RTW35" s="9"/>
      <c r="RTX35" s="9"/>
      <c r="RTY35" s="9"/>
      <c r="RTZ35" s="10"/>
      <c r="RUA35" s="11"/>
      <c r="RUB35" s="12"/>
      <c r="RUC35" s="12"/>
      <c r="RUD35" s="12"/>
      <c r="RUE35" s="13"/>
      <c r="RUF35" s="9"/>
      <c r="RUG35" s="9"/>
      <c r="RUH35" s="9"/>
      <c r="RUI35" s="9"/>
      <c r="RUJ35" s="10"/>
      <c r="RUK35" s="11"/>
      <c r="RUL35" s="12"/>
      <c r="RUM35" s="12"/>
      <c r="RUN35" s="12"/>
      <c r="RUO35" s="13"/>
      <c r="RUP35" s="9"/>
      <c r="RUQ35" s="9"/>
      <c r="RUR35" s="9"/>
      <c r="RUS35" s="9"/>
      <c r="RUT35" s="10"/>
      <c r="RUU35" s="11"/>
      <c r="RUV35" s="12"/>
      <c r="RUW35" s="12"/>
      <c r="RUX35" s="12"/>
      <c r="RUY35" s="13"/>
      <c r="RUZ35" s="9"/>
      <c r="RVA35" s="9"/>
      <c r="RVB35" s="9"/>
      <c r="RVC35" s="9"/>
      <c r="RVD35" s="10"/>
      <c r="RVE35" s="11"/>
      <c r="RVF35" s="12"/>
      <c r="RVG35" s="12"/>
      <c r="RVH35" s="12"/>
      <c r="RVI35" s="13"/>
      <c r="RVJ35" s="9"/>
      <c r="RVK35" s="9"/>
      <c r="RVL35" s="9"/>
      <c r="RVM35" s="9"/>
      <c r="RVN35" s="10"/>
      <c r="RVO35" s="11"/>
      <c r="RVP35" s="12"/>
      <c r="RVQ35" s="12"/>
      <c r="RVR35" s="12"/>
      <c r="RVS35" s="13"/>
      <c r="RVT35" s="9"/>
      <c r="RVU35" s="9"/>
      <c r="RVV35" s="9"/>
      <c r="RVW35" s="9"/>
      <c r="RVX35" s="10"/>
      <c r="RVY35" s="11"/>
      <c r="RVZ35" s="12"/>
      <c r="RWA35" s="12"/>
      <c r="RWB35" s="12"/>
      <c r="RWC35" s="13"/>
      <c r="RWD35" s="9"/>
      <c r="RWE35" s="9"/>
      <c r="RWF35" s="9"/>
      <c r="RWG35" s="9"/>
      <c r="RWH35" s="10"/>
      <c r="RWI35" s="11"/>
      <c r="RWJ35" s="12"/>
      <c r="RWK35" s="12"/>
      <c r="RWL35" s="12"/>
      <c r="RWM35" s="13"/>
      <c r="RWN35" s="9"/>
      <c r="RWO35" s="9"/>
      <c r="RWP35" s="9"/>
      <c r="RWQ35" s="9"/>
      <c r="RWR35" s="10"/>
      <c r="RWS35" s="11"/>
      <c r="RWT35" s="12"/>
      <c r="RWU35" s="12"/>
      <c r="RWV35" s="12"/>
      <c r="RWW35" s="13"/>
      <c r="RWX35" s="9"/>
      <c r="RWY35" s="9"/>
      <c r="RWZ35" s="9"/>
      <c r="RXA35" s="9"/>
      <c r="RXB35" s="10"/>
      <c r="RXC35" s="11"/>
      <c r="RXD35" s="12"/>
      <c r="RXE35" s="12"/>
      <c r="RXF35" s="12"/>
      <c r="RXG35" s="13"/>
      <c r="RXH35" s="9"/>
      <c r="RXI35" s="9"/>
      <c r="RXJ35" s="9"/>
      <c r="RXK35" s="9"/>
      <c r="RXL35" s="10"/>
      <c r="RXM35" s="11"/>
      <c r="RXN35" s="12"/>
      <c r="RXO35" s="12"/>
      <c r="RXP35" s="12"/>
      <c r="RXQ35" s="13"/>
      <c r="RXR35" s="9"/>
      <c r="RXS35" s="9"/>
      <c r="RXT35" s="9"/>
      <c r="RXU35" s="9"/>
      <c r="RXV35" s="10"/>
      <c r="RXW35" s="11"/>
      <c r="RXX35" s="12"/>
      <c r="RXY35" s="12"/>
      <c r="RXZ35" s="12"/>
      <c r="RYA35" s="13"/>
      <c r="RYB35" s="9"/>
      <c r="RYC35" s="9"/>
      <c r="RYD35" s="9"/>
      <c r="RYE35" s="9"/>
      <c r="RYF35" s="10"/>
      <c r="RYG35" s="11"/>
      <c r="RYH35" s="12"/>
      <c r="RYI35" s="12"/>
      <c r="RYJ35" s="12"/>
      <c r="RYK35" s="13"/>
      <c r="RYL35" s="9"/>
      <c r="RYM35" s="9"/>
      <c r="RYN35" s="9"/>
      <c r="RYO35" s="9"/>
      <c r="RYP35" s="10"/>
      <c r="RYQ35" s="11"/>
      <c r="RYR35" s="12"/>
      <c r="RYS35" s="12"/>
      <c r="RYT35" s="12"/>
      <c r="RYU35" s="13"/>
      <c r="RYV35" s="9"/>
      <c r="RYW35" s="9"/>
      <c r="RYX35" s="9"/>
      <c r="RYY35" s="9"/>
      <c r="RYZ35" s="10"/>
      <c r="RZA35" s="11"/>
      <c r="RZB35" s="12"/>
      <c r="RZC35" s="12"/>
      <c r="RZD35" s="12"/>
      <c r="RZE35" s="13"/>
      <c r="RZF35" s="9"/>
      <c r="RZG35" s="9"/>
      <c r="RZH35" s="9"/>
      <c r="RZI35" s="9"/>
      <c r="RZJ35" s="10"/>
      <c r="RZK35" s="11"/>
      <c r="RZL35" s="12"/>
      <c r="RZM35" s="12"/>
      <c r="RZN35" s="12"/>
      <c r="RZO35" s="13"/>
      <c r="RZP35" s="9"/>
      <c r="RZQ35" s="9"/>
      <c r="RZR35" s="9"/>
      <c r="RZS35" s="9"/>
      <c r="RZT35" s="10"/>
      <c r="RZU35" s="11"/>
      <c r="RZV35" s="12"/>
      <c r="RZW35" s="12"/>
      <c r="RZX35" s="12"/>
      <c r="RZY35" s="13"/>
      <c r="RZZ35" s="9"/>
      <c r="SAA35" s="9"/>
      <c r="SAB35" s="9"/>
      <c r="SAC35" s="9"/>
      <c r="SAD35" s="10"/>
      <c r="SAE35" s="11"/>
      <c r="SAF35" s="12"/>
      <c r="SAG35" s="12"/>
      <c r="SAH35" s="12"/>
      <c r="SAI35" s="13"/>
      <c r="SAJ35" s="9"/>
      <c r="SAK35" s="9"/>
      <c r="SAL35" s="9"/>
      <c r="SAM35" s="9"/>
      <c r="SAN35" s="10"/>
      <c r="SAO35" s="11"/>
      <c r="SAP35" s="12"/>
      <c r="SAQ35" s="12"/>
      <c r="SAR35" s="12"/>
      <c r="SAS35" s="13"/>
      <c r="SAT35" s="9"/>
      <c r="SAU35" s="9"/>
      <c r="SAV35" s="9"/>
      <c r="SAW35" s="9"/>
      <c r="SAX35" s="10"/>
      <c r="SAY35" s="11"/>
      <c r="SAZ35" s="12"/>
      <c r="SBA35" s="12"/>
      <c r="SBB35" s="12"/>
      <c r="SBC35" s="13"/>
      <c r="SBD35" s="9"/>
      <c r="SBE35" s="9"/>
      <c r="SBF35" s="9"/>
      <c r="SBG35" s="9"/>
      <c r="SBH35" s="10"/>
      <c r="SBI35" s="11"/>
      <c r="SBJ35" s="12"/>
      <c r="SBK35" s="12"/>
      <c r="SBL35" s="12"/>
      <c r="SBM35" s="13"/>
      <c r="SBN35" s="9"/>
      <c r="SBO35" s="9"/>
      <c r="SBP35" s="9"/>
      <c r="SBQ35" s="9"/>
      <c r="SBR35" s="10"/>
      <c r="SBS35" s="11"/>
      <c r="SBT35" s="12"/>
      <c r="SBU35" s="12"/>
      <c r="SBV35" s="12"/>
      <c r="SBW35" s="13"/>
      <c r="SBX35" s="9"/>
      <c r="SBY35" s="9"/>
      <c r="SBZ35" s="9"/>
      <c r="SCA35" s="9"/>
      <c r="SCB35" s="10"/>
      <c r="SCC35" s="11"/>
      <c r="SCD35" s="12"/>
      <c r="SCE35" s="12"/>
      <c r="SCF35" s="12"/>
      <c r="SCG35" s="13"/>
      <c r="SCH35" s="9"/>
      <c r="SCI35" s="9"/>
      <c r="SCJ35" s="9"/>
      <c r="SCK35" s="9"/>
      <c r="SCL35" s="10"/>
      <c r="SCM35" s="11"/>
      <c r="SCN35" s="12"/>
      <c r="SCO35" s="12"/>
      <c r="SCP35" s="12"/>
      <c r="SCQ35" s="13"/>
      <c r="SCR35" s="9"/>
      <c r="SCS35" s="9"/>
      <c r="SCT35" s="9"/>
      <c r="SCU35" s="9"/>
      <c r="SCV35" s="10"/>
      <c r="SCW35" s="11"/>
      <c r="SCX35" s="12"/>
      <c r="SCY35" s="12"/>
      <c r="SCZ35" s="12"/>
      <c r="SDA35" s="13"/>
      <c r="SDB35" s="9"/>
      <c r="SDC35" s="9"/>
      <c r="SDD35" s="9"/>
      <c r="SDE35" s="9"/>
      <c r="SDF35" s="10"/>
      <c r="SDG35" s="11"/>
      <c r="SDH35" s="12"/>
      <c r="SDI35" s="12"/>
      <c r="SDJ35" s="12"/>
      <c r="SDK35" s="13"/>
      <c r="SDL35" s="9"/>
      <c r="SDM35" s="9"/>
      <c r="SDN35" s="9"/>
      <c r="SDO35" s="9"/>
      <c r="SDP35" s="10"/>
      <c r="SDQ35" s="11"/>
      <c r="SDR35" s="12"/>
      <c r="SDS35" s="12"/>
      <c r="SDT35" s="12"/>
      <c r="SDU35" s="13"/>
      <c r="SDV35" s="9"/>
      <c r="SDW35" s="9"/>
      <c r="SDX35" s="9"/>
      <c r="SDY35" s="9"/>
      <c r="SDZ35" s="10"/>
      <c r="SEA35" s="11"/>
      <c r="SEB35" s="12"/>
      <c r="SEC35" s="12"/>
      <c r="SED35" s="12"/>
      <c r="SEE35" s="13"/>
      <c r="SEF35" s="9"/>
      <c r="SEG35" s="9"/>
      <c r="SEH35" s="9"/>
      <c r="SEI35" s="9"/>
      <c r="SEJ35" s="10"/>
      <c r="SEK35" s="11"/>
      <c r="SEL35" s="12"/>
      <c r="SEM35" s="12"/>
      <c r="SEN35" s="12"/>
      <c r="SEO35" s="13"/>
      <c r="SEP35" s="9"/>
      <c r="SEQ35" s="9"/>
      <c r="SER35" s="9"/>
      <c r="SES35" s="9"/>
      <c r="SET35" s="10"/>
      <c r="SEU35" s="11"/>
      <c r="SEV35" s="12"/>
      <c r="SEW35" s="12"/>
      <c r="SEX35" s="12"/>
      <c r="SEY35" s="13"/>
      <c r="SEZ35" s="9"/>
      <c r="SFA35" s="9"/>
      <c r="SFB35" s="9"/>
      <c r="SFC35" s="9"/>
      <c r="SFD35" s="10"/>
      <c r="SFE35" s="11"/>
      <c r="SFF35" s="12"/>
      <c r="SFG35" s="12"/>
      <c r="SFH35" s="12"/>
      <c r="SFI35" s="13"/>
      <c r="SFJ35" s="9"/>
      <c r="SFK35" s="9"/>
      <c r="SFL35" s="9"/>
      <c r="SFM35" s="9"/>
      <c r="SFN35" s="10"/>
      <c r="SFO35" s="11"/>
      <c r="SFP35" s="12"/>
      <c r="SFQ35" s="12"/>
      <c r="SFR35" s="12"/>
      <c r="SFS35" s="13"/>
      <c r="SFT35" s="9"/>
      <c r="SFU35" s="9"/>
      <c r="SFV35" s="9"/>
      <c r="SFW35" s="9"/>
      <c r="SFX35" s="10"/>
      <c r="SFY35" s="11"/>
      <c r="SFZ35" s="12"/>
      <c r="SGA35" s="12"/>
      <c r="SGB35" s="12"/>
      <c r="SGC35" s="13"/>
      <c r="SGD35" s="9"/>
      <c r="SGE35" s="9"/>
      <c r="SGF35" s="9"/>
      <c r="SGG35" s="9"/>
      <c r="SGH35" s="10"/>
      <c r="SGI35" s="11"/>
      <c r="SGJ35" s="12"/>
      <c r="SGK35" s="12"/>
      <c r="SGL35" s="12"/>
      <c r="SGM35" s="13"/>
      <c r="SGN35" s="9"/>
      <c r="SGO35" s="9"/>
      <c r="SGP35" s="9"/>
      <c r="SGQ35" s="9"/>
      <c r="SGR35" s="10"/>
      <c r="SGS35" s="11"/>
      <c r="SGT35" s="12"/>
      <c r="SGU35" s="12"/>
      <c r="SGV35" s="12"/>
      <c r="SGW35" s="13"/>
      <c r="SGX35" s="9"/>
      <c r="SGY35" s="9"/>
      <c r="SGZ35" s="9"/>
      <c r="SHA35" s="9"/>
      <c r="SHB35" s="10"/>
      <c r="SHC35" s="11"/>
      <c r="SHD35" s="12"/>
      <c r="SHE35" s="12"/>
      <c r="SHF35" s="12"/>
      <c r="SHG35" s="13"/>
      <c r="SHH35" s="9"/>
      <c r="SHI35" s="9"/>
      <c r="SHJ35" s="9"/>
      <c r="SHK35" s="9"/>
      <c r="SHL35" s="10"/>
      <c r="SHM35" s="11"/>
      <c r="SHN35" s="12"/>
      <c r="SHO35" s="12"/>
      <c r="SHP35" s="12"/>
      <c r="SHQ35" s="13"/>
      <c r="SHR35" s="9"/>
      <c r="SHS35" s="9"/>
      <c r="SHT35" s="9"/>
      <c r="SHU35" s="9"/>
      <c r="SHV35" s="10"/>
      <c r="SHW35" s="11"/>
      <c r="SHX35" s="12"/>
      <c r="SHY35" s="12"/>
      <c r="SHZ35" s="12"/>
      <c r="SIA35" s="13"/>
      <c r="SIB35" s="9"/>
      <c r="SIC35" s="9"/>
      <c r="SID35" s="9"/>
      <c r="SIE35" s="9"/>
      <c r="SIF35" s="10"/>
      <c r="SIG35" s="11"/>
      <c r="SIH35" s="12"/>
      <c r="SII35" s="12"/>
      <c r="SIJ35" s="12"/>
      <c r="SIK35" s="13"/>
      <c r="SIL35" s="9"/>
      <c r="SIM35" s="9"/>
      <c r="SIN35" s="9"/>
      <c r="SIO35" s="9"/>
      <c r="SIP35" s="10"/>
      <c r="SIQ35" s="11"/>
      <c r="SIR35" s="12"/>
      <c r="SIS35" s="12"/>
      <c r="SIT35" s="12"/>
      <c r="SIU35" s="13"/>
      <c r="SIV35" s="9"/>
      <c r="SIW35" s="9"/>
      <c r="SIX35" s="9"/>
      <c r="SIY35" s="9"/>
      <c r="SIZ35" s="10"/>
      <c r="SJA35" s="11"/>
      <c r="SJB35" s="12"/>
      <c r="SJC35" s="12"/>
      <c r="SJD35" s="12"/>
      <c r="SJE35" s="13"/>
      <c r="SJF35" s="9"/>
      <c r="SJG35" s="9"/>
      <c r="SJH35" s="9"/>
      <c r="SJI35" s="9"/>
      <c r="SJJ35" s="10"/>
      <c r="SJK35" s="11"/>
      <c r="SJL35" s="12"/>
      <c r="SJM35" s="12"/>
      <c r="SJN35" s="12"/>
      <c r="SJO35" s="13"/>
      <c r="SJP35" s="9"/>
      <c r="SJQ35" s="9"/>
      <c r="SJR35" s="9"/>
      <c r="SJS35" s="9"/>
      <c r="SJT35" s="10"/>
      <c r="SJU35" s="11"/>
      <c r="SJV35" s="12"/>
      <c r="SJW35" s="12"/>
      <c r="SJX35" s="12"/>
      <c r="SJY35" s="13"/>
      <c r="SJZ35" s="9"/>
      <c r="SKA35" s="9"/>
      <c r="SKB35" s="9"/>
      <c r="SKC35" s="9"/>
      <c r="SKD35" s="10"/>
      <c r="SKE35" s="11"/>
      <c r="SKF35" s="12"/>
      <c r="SKG35" s="12"/>
      <c r="SKH35" s="12"/>
      <c r="SKI35" s="13"/>
      <c r="SKJ35" s="9"/>
      <c r="SKK35" s="9"/>
      <c r="SKL35" s="9"/>
      <c r="SKM35" s="9"/>
      <c r="SKN35" s="10"/>
      <c r="SKO35" s="11"/>
      <c r="SKP35" s="12"/>
      <c r="SKQ35" s="12"/>
      <c r="SKR35" s="12"/>
      <c r="SKS35" s="13"/>
      <c r="SKT35" s="9"/>
      <c r="SKU35" s="9"/>
      <c r="SKV35" s="9"/>
      <c r="SKW35" s="9"/>
      <c r="SKX35" s="10"/>
      <c r="SKY35" s="11"/>
      <c r="SKZ35" s="12"/>
      <c r="SLA35" s="12"/>
      <c r="SLB35" s="12"/>
      <c r="SLC35" s="13"/>
      <c r="SLD35" s="9"/>
      <c r="SLE35" s="9"/>
      <c r="SLF35" s="9"/>
      <c r="SLG35" s="9"/>
      <c r="SLH35" s="10"/>
      <c r="SLI35" s="11"/>
      <c r="SLJ35" s="12"/>
      <c r="SLK35" s="12"/>
      <c r="SLL35" s="12"/>
      <c r="SLM35" s="13"/>
      <c r="SLN35" s="9"/>
      <c r="SLO35" s="9"/>
      <c r="SLP35" s="9"/>
      <c r="SLQ35" s="9"/>
      <c r="SLR35" s="10"/>
      <c r="SLS35" s="11"/>
      <c r="SLT35" s="12"/>
      <c r="SLU35" s="12"/>
      <c r="SLV35" s="12"/>
      <c r="SLW35" s="13"/>
      <c r="SLX35" s="9"/>
      <c r="SLY35" s="9"/>
      <c r="SLZ35" s="9"/>
      <c r="SMA35" s="9"/>
      <c r="SMB35" s="10"/>
      <c r="SMC35" s="11"/>
      <c r="SMD35" s="12"/>
      <c r="SME35" s="12"/>
      <c r="SMF35" s="12"/>
      <c r="SMG35" s="13"/>
      <c r="SMH35" s="9"/>
      <c r="SMI35" s="9"/>
      <c r="SMJ35" s="9"/>
      <c r="SMK35" s="9"/>
      <c r="SML35" s="10"/>
      <c r="SMM35" s="11"/>
      <c r="SMN35" s="12"/>
      <c r="SMO35" s="12"/>
      <c r="SMP35" s="12"/>
      <c r="SMQ35" s="13"/>
      <c r="SMR35" s="9"/>
      <c r="SMS35" s="9"/>
      <c r="SMT35" s="9"/>
      <c r="SMU35" s="9"/>
      <c r="SMV35" s="10"/>
      <c r="SMW35" s="11"/>
      <c r="SMX35" s="12"/>
      <c r="SMY35" s="12"/>
      <c r="SMZ35" s="12"/>
      <c r="SNA35" s="13"/>
      <c r="SNB35" s="9"/>
      <c r="SNC35" s="9"/>
      <c r="SND35" s="9"/>
      <c r="SNE35" s="9"/>
      <c r="SNF35" s="10"/>
      <c r="SNG35" s="11"/>
      <c r="SNH35" s="12"/>
      <c r="SNI35" s="12"/>
      <c r="SNJ35" s="12"/>
      <c r="SNK35" s="13"/>
      <c r="SNL35" s="9"/>
      <c r="SNM35" s="9"/>
      <c r="SNN35" s="9"/>
      <c r="SNO35" s="9"/>
      <c r="SNP35" s="10"/>
      <c r="SNQ35" s="11"/>
      <c r="SNR35" s="12"/>
      <c r="SNS35" s="12"/>
      <c r="SNT35" s="12"/>
      <c r="SNU35" s="13"/>
      <c r="SNV35" s="9"/>
      <c r="SNW35" s="9"/>
      <c r="SNX35" s="9"/>
      <c r="SNY35" s="9"/>
      <c r="SNZ35" s="10"/>
      <c r="SOA35" s="11"/>
      <c r="SOB35" s="12"/>
      <c r="SOC35" s="12"/>
      <c r="SOD35" s="12"/>
      <c r="SOE35" s="13"/>
      <c r="SOF35" s="9"/>
      <c r="SOG35" s="9"/>
      <c r="SOH35" s="9"/>
      <c r="SOI35" s="9"/>
      <c r="SOJ35" s="10"/>
      <c r="SOK35" s="11"/>
      <c r="SOL35" s="12"/>
      <c r="SOM35" s="12"/>
      <c r="SON35" s="12"/>
      <c r="SOO35" s="13"/>
      <c r="SOP35" s="9"/>
      <c r="SOQ35" s="9"/>
      <c r="SOR35" s="9"/>
      <c r="SOS35" s="9"/>
      <c r="SOT35" s="10"/>
      <c r="SOU35" s="11"/>
      <c r="SOV35" s="12"/>
      <c r="SOW35" s="12"/>
      <c r="SOX35" s="12"/>
      <c r="SOY35" s="13"/>
      <c r="SOZ35" s="9"/>
      <c r="SPA35" s="9"/>
      <c r="SPB35" s="9"/>
      <c r="SPC35" s="9"/>
      <c r="SPD35" s="10"/>
      <c r="SPE35" s="11"/>
      <c r="SPF35" s="12"/>
      <c r="SPG35" s="12"/>
      <c r="SPH35" s="12"/>
      <c r="SPI35" s="13"/>
      <c r="SPJ35" s="9"/>
      <c r="SPK35" s="9"/>
      <c r="SPL35" s="9"/>
      <c r="SPM35" s="9"/>
      <c r="SPN35" s="10"/>
      <c r="SPO35" s="11"/>
      <c r="SPP35" s="12"/>
      <c r="SPQ35" s="12"/>
      <c r="SPR35" s="12"/>
      <c r="SPS35" s="13"/>
      <c r="SPT35" s="9"/>
      <c r="SPU35" s="9"/>
      <c r="SPV35" s="9"/>
      <c r="SPW35" s="9"/>
      <c r="SPX35" s="10"/>
      <c r="SPY35" s="11"/>
      <c r="SPZ35" s="12"/>
      <c r="SQA35" s="12"/>
      <c r="SQB35" s="12"/>
      <c r="SQC35" s="13"/>
      <c r="SQD35" s="9"/>
      <c r="SQE35" s="9"/>
      <c r="SQF35" s="9"/>
      <c r="SQG35" s="9"/>
      <c r="SQH35" s="10"/>
      <c r="SQI35" s="11"/>
      <c r="SQJ35" s="12"/>
      <c r="SQK35" s="12"/>
      <c r="SQL35" s="12"/>
      <c r="SQM35" s="13"/>
      <c r="SQN35" s="9"/>
      <c r="SQO35" s="9"/>
      <c r="SQP35" s="9"/>
      <c r="SQQ35" s="9"/>
      <c r="SQR35" s="10"/>
      <c r="SQS35" s="11"/>
      <c r="SQT35" s="12"/>
      <c r="SQU35" s="12"/>
      <c r="SQV35" s="12"/>
      <c r="SQW35" s="13"/>
      <c r="SQX35" s="9"/>
      <c r="SQY35" s="9"/>
      <c r="SQZ35" s="9"/>
      <c r="SRA35" s="9"/>
      <c r="SRB35" s="10"/>
      <c r="SRC35" s="11"/>
      <c r="SRD35" s="12"/>
      <c r="SRE35" s="12"/>
      <c r="SRF35" s="12"/>
      <c r="SRG35" s="13"/>
      <c r="SRH35" s="9"/>
      <c r="SRI35" s="9"/>
      <c r="SRJ35" s="9"/>
      <c r="SRK35" s="9"/>
      <c r="SRL35" s="10"/>
      <c r="SRM35" s="11"/>
      <c r="SRN35" s="12"/>
      <c r="SRO35" s="12"/>
      <c r="SRP35" s="12"/>
      <c r="SRQ35" s="13"/>
      <c r="SRR35" s="9"/>
      <c r="SRS35" s="9"/>
      <c r="SRT35" s="9"/>
      <c r="SRU35" s="9"/>
      <c r="SRV35" s="10"/>
      <c r="SRW35" s="11"/>
      <c r="SRX35" s="12"/>
      <c r="SRY35" s="12"/>
      <c r="SRZ35" s="12"/>
      <c r="SSA35" s="13"/>
      <c r="SSB35" s="9"/>
      <c r="SSC35" s="9"/>
      <c r="SSD35" s="9"/>
      <c r="SSE35" s="9"/>
      <c r="SSF35" s="10"/>
      <c r="SSG35" s="11"/>
      <c r="SSH35" s="12"/>
      <c r="SSI35" s="12"/>
      <c r="SSJ35" s="12"/>
      <c r="SSK35" s="13"/>
      <c r="SSL35" s="9"/>
      <c r="SSM35" s="9"/>
      <c r="SSN35" s="9"/>
      <c r="SSO35" s="9"/>
      <c r="SSP35" s="10"/>
      <c r="SSQ35" s="11"/>
      <c r="SSR35" s="12"/>
      <c r="SSS35" s="12"/>
      <c r="SST35" s="12"/>
      <c r="SSU35" s="13"/>
      <c r="SSV35" s="9"/>
      <c r="SSW35" s="9"/>
      <c r="SSX35" s="9"/>
      <c r="SSY35" s="9"/>
      <c r="SSZ35" s="10"/>
      <c r="STA35" s="11"/>
      <c r="STB35" s="12"/>
      <c r="STC35" s="12"/>
      <c r="STD35" s="12"/>
      <c r="STE35" s="13"/>
      <c r="STF35" s="9"/>
      <c r="STG35" s="9"/>
      <c r="STH35" s="9"/>
      <c r="STI35" s="9"/>
      <c r="STJ35" s="10"/>
      <c r="STK35" s="11"/>
      <c r="STL35" s="12"/>
      <c r="STM35" s="12"/>
      <c r="STN35" s="12"/>
      <c r="STO35" s="13"/>
      <c r="STP35" s="9"/>
      <c r="STQ35" s="9"/>
      <c r="STR35" s="9"/>
      <c r="STS35" s="9"/>
      <c r="STT35" s="10"/>
      <c r="STU35" s="11"/>
      <c r="STV35" s="12"/>
      <c r="STW35" s="12"/>
      <c r="STX35" s="12"/>
      <c r="STY35" s="13"/>
      <c r="STZ35" s="9"/>
      <c r="SUA35" s="9"/>
      <c r="SUB35" s="9"/>
      <c r="SUC35" s="9"/>
      <c r="SUD35" s="10"/>
      <c r="SUE35" s="11"/>
      <c r="SUF35" s="12"/>
      <c r="SUG35" s="12"/>
      <c r="SUH35" s="12"/>
      <c r="SUI35" s="13"/>
      <c r="SUJ35" s="9"/>
      <c r="SUK35" s="9"/>
      <c r="SUL35" s="9"/>
      <c r="SUM35" s="9"/>
      <c r="SUN35" s="10"/>
      <c r="SUO35" s="11"/>
      <c r="SUP35" s="12"/>
      <c r="SUQ35" s="12"/>
      <c r="SUR35" s="12"/>
      <c r="SUS35" s="13"/>
      <c r="SUT35" s="9"/>
      <c r="SUU35" s="9"/>
      <c r="SUV35" s="9"/>
      <c r="SUW35" s="9"/>
      <c r="SUX35" s="10"/>
      <c r="SUY35" s="11"/>
      <c r="SUZ35" s="12"/>
      <c r="SVA35" s="12"/>
      <c r="SVB35" s="12"/>
      <c r="SVC35" s="13"/>
      <c r="SVD35" s="9"/>
      <c r="SVE35" s="9"/>
      <c r="SVF35" s="9"/>
      <c r="SVG35" s="9"/>
      <c r="SVH35" s="10"/>
      <c r="SVI35" s="11"/>
      <c r="SVJ35" s="12"/>
      <c r="SVK35" s="12"/>
      <c r="SVL35" s="12"/>
      <c r="SVM35" s="13"/>
      <c r="SVN35" s="9"/>
      <c r="SVO35" s="9"/>
      <c r="SVP35" s="9"/>
      <c r="SVQ35" s="9"/>
      <c r="SVR35" s="10"/>
      <c r="SVS35" s="11"/>
      <c r="SVT35" s="12"/>
      <c r="SVU35" s="12"/>
      <c r="SVV35" s="12"/>
      <c r="SVW35" s="13"/>
      <c r="SVX35" s="9"/>
      <c r="SVY35" s="9"/>
      <c r="SVZ35" s="9"/>
      <c r="SWA35" s="9"/>
      <c r="SWB35" s="10"/>
      <c r="SWC35" s="11"/>
      <c r="SWD35" s="12"/>
      <c r="SWE35" s="12"/>
      <c r="SWF35" s="12"/>
      <c r="SWG35" s="13"/>
      <c r="SWH35" s="9"/>
      <c r="SWI35" s="9"/>
      <c r="SWJ35" s="9"/>
      <c r="SWK35" s="9"/>
      <c r="SWL35" s="10"/>
      <c r="SWM35" s="11"/>
      <c r="SWN35" s="12"/>
      <c r="SWO35" s="12"/>
      <c r="SWP35" s="12"/>
      <c r="SWQ35" s="13"/>
      <c r="SWR35" s="9"/>
      <c r="SWS35" s="9"/>
      <c r="SWT35" s="9"/>
      <c r="SWU35" s="9"/>
      <c r="SWV35" s="10"/>
      <c r="SWW35" s="11"/>
      <c r="SWX35" s="12"/>
      <c r="SWY35" s="12"/>
      <c r="SWZ35" s="12"/>
      <c r="SXA35" s="13"/>
      <c r="SXB35" s="9"/>
      <c r="SXC35" s="9"/>
      <c r="SXD35" s="9"/>
      <c r="SXE35" s="9"/>
      <c r="SXF35" s="10"/>
      <c r="SXG35" s="11"/>
      <c r="SXH35" s="12"/>
      <c r="SXI35" s="12"/>
      <c r="SXJ35" s="12"/>
      <c r="SXK35" s="13"/>
      <c r="SXL35" s="9"/>
      <c r="SXM35" s="9"/>
      <c r="SXN35" s="9"/>
      <c r="SXO35" s="9"/>
      <c r="SXP35" s="10"/>
      <c r="SXQ35" s="11"/>
      <c r="SXR35" s="12"/>
      <c r="SXS35" s="12"/>
      <c r="SXT35" s="12"/>
      <c r="SXU35" s="13"/>
      <c r="SXV35" s="9"/>
      <c r="SXW35" s="9"/>
      <c r="SXX35" s="9"/>
      <c r="SXY35" s="9"/>
      <c r="SXZ35" s="10"/>
      <c r="SYA35" s="11"/>
      <c r="SYB35" s="12"/>
      <c r="SYC35" s="12"/>
      <c r="SYD35" s="12"/>
      <c r="SYE35" s="13"/>
      <c r="SYF35" s="9"/>
      <c r="SYG35" s="9"/>
      <c r="SYH35" s="9"/>
      <c r="SYI35" s="9"/>
      <c r="SYJ35" s="10"/>
      <c r="SYK35" s="11"/>
      <c r="SYL35" s="12"/>
      <c r="SYM35" s="12"/>
      <c r="SYN35" s="12"/>
      <c r="SYO35" s="13"/>
      <c r="SYP35" s="9"/>
      <c r="SYQ35" s="9"/>
      <c r="SYR35" s="9"/>
      <c r="SYS35" s="9"/>
      <c r="SYT35" s="10"/>
      <c r="SYU35" s="11"/>
      <c r="SYV35" s="12"/>
      <c r="SYW35" s="12"/>
      <c r="SYX35" s="12"/>
      <c r="SYY35" s="13"/>
      <c r="SYZ35" s="9"/>
      <c r="SZA35" s="9"/>
      <c r="SZB35" s="9"/>
      <c r="SZC35" s="9"/>
      <c r="SZD35" s="10"/>
      <c r="SZE35" s="11"/>
      <c r="SZF35" s="12"/>
      <c r="SZG35" s="12"/>
      <c r="SZH35" s="12"/>
      <c r="SZI35" s="13"/>
      <c r="SZJ35" s="9"/>
      <c r="SZK35" s="9"/>
      <c r="SZL35" s="9"/>
      <c r="SZM35" s="9"/>
      <c r="SZN35" s="10"/>
      <c r="SZO35" s="11"/>
      <c r="SZP35" s="12"/>
      <c r="SZQ35" s="12"/>
      <c r="SZR35" s="12"/>
      <c r="SZS35" s="13"/>
      <c r="SZT35" s="9"/>
      <c r="SZU35" s="9"/>
      <c r="SZV35" s="9"/>
      <c r="SZW35" s="9"/>
      <c r="SZX35" s="10"/>
      <c r="SZY35" s="11"/>
      <c r="SZZ35" s="12"/>
      <c r="TAA35" s="12"/>
      <c r="TAB35" s="12"/>
      <c r="TAC35" s="13"/>
      <c r="TAD35" s="9"/>
      <c r="TAE35" s="9"/>
      <c r="TAF35" s="9"/>
      <c r="TAG35" s="9"/>
      <c r="TAH35" s="10"/>
      <c r="TAI35" s="11"/>
      <c r="TAJ35" s="12"/>
      <c r="TAK35" s="12"/>
      <c r="TAL35" s="12"/>
      <c r="TAM35" s="13"/>
      <c r="TAN35" s="9"/>
      <c r="TAO35" s="9"/>
      <c r="TAP35" s="9"/>
      <c r="TAQ35" s="9"/>
      <c r="TAR35" s="10"/>
      <c r="TAS35" s="11"/>
      <c r="TAT35" s="12"/>
      <c r="TAU35" s="12"/>
      <c r="TAV35" s="12"/>
      <c r="TAW35" s="13"/>
      <c r="TAX35" s="9"/>
      <c r="TAY35" s="9"/>
      <c r="TAZ35" s="9"/>
      <c r="TBA35" s="9"/>
      <c r="TBB35" s="10"/>
      <c r="TBC35" s="11"/>
      <c r="TBD35" s="12"/>
      <c r="TBE35" s="12"/>
      <c r="TBF35" s="12"/>
      <c r="TBG35" s="13"/>
      <c r="TBH35" s="9"/>
      <c r="TBI35" s="9"/>
      <c r="TBJ35" s="9"/>
      <c r="TBK35" s="9"/>
      <c r="TBL35" s="10"/>
      <c r="TBM35" s="11"/>
      <c r="TBN35" s="12"/>
      <c r="TBO35" s="12"/>
      <c r="TBP35" s="12"/>
      <c r="TBQ35" s="13"/>
      <c r="TBR35" s="9"/>
      <c r="TBS35" s="9"/>
      <c r="TBT35" s="9"/>
      <c r="TBU35" s="9"/>
      <c r="TBV35" s="10"/>
      <c r="TBW35" s="11"/>
      <c r="TBX35" s="12"/>
      <c r="TBY35" s="12"/>
      <c r="TBZ35" s="12"/>
      <c r="TCA35" s="13"/>
      <c r="TCB35" s="9"/>
      <c r="TCC35" s="9"/>
      <c r="TCD35" s="9"/>
      <c r="TCE35" s="9"/>
      <c r="TCF35" s="10"/>
      <c r="TCG35" s="11"/>
      <c r="TCH35" s="12"/>
      <c r="TCI35" s="12"/>
      <c r="TCJ35" s="12"/>
      <c r="TCK35" s="13"/>
      <c r="TCL35" s="9"/>
      <c r="TCM35" s="9"/>
      <c r="TCN35" s="9"/>
      <c r="TCO35" s="9"/>
      <c r="TCP35" s="10"/>
      <c r="TCQ35" s="11"/>
      <c r="TCR35" s="12"/>
      <c r="TCS35" s="12"/>
      <c r="TCT35" s="12"/>
      <c r="TCU35" s="13"/>
      <c r="TCV35" s="9"/>
      <c r="TCW35" s="9"/>
      <c r="TCX35" s="9"/>
      <c r="TCY35" s="9"/>
      <c r="TCZ35" s="10"/>
      <c r="TDA35" s="11"/>
      <c r="TDB35" s="12"/>
      <c r="TDC35" s="12"/>
      <c r="TDD35" s="12"/>
      <c r="TDE35" s="13"/>
      <c r="TDF35" s="9"/>
      <c r="TDG35" s="9"/>
      <c r="TDH35" s="9"/>
      <c r="TDI35" s="9"/>
      <c r="TDJ35" s="10"/>
      <c r="TDK35" s="11"/>
      <c r="TDL35" s="12"/>
      <c r="TDM35" s="12"/>
      <c r="TDN35" s="12"/>
      <c r="TDO35" s="13"/>
      <c r="TDP35" s="9"/>
      <c r="TDQ35" s="9"/>
      <c r="TDR35" s="9"/>
      <c r="TDS35" s="9"/>
      <c r="TDT35" s="10"/>
      <c r="TDU35" s="11"/>
      <c r="TDV35" s="12"/>
      <c r="TDW35" s="12"/>
      <c r="TDX35" s="12"/>
      <c r="TDY35" s="13"/>
      <c r="TDZ35" s="9"/>
      <c r="TEA35" s="9"/>
      <c r="TEB35" s="9"/>
      <c r="TEC35" s="9"/>
      <c r="TED35" s="10"/>
      <c r="TEE35" s="11"/>
      <c r="TEF35" s="12"/>
      <c r="TEG35" s="12"/>
      <c r="TEH35" s="12"/>
      <c r="TEI35" s="13"/>
      <c r="TEJ35" s="9"/>
      <c r="TEK35" s="9"/>
      <c r="TEL35" s="9"/>
      <c r="TEM35" s="9"/>
      <c r="TEN35" s="10"/>
      <c r="TEO35" s="11"/>
      <c r="TEP35" s="12"/>
      <c r="TEQ35" s="12"/>
      <c r="TER35" s="12"/>
      <c r="TES35" s="13"/>
      <c r="TET35" s="9"/>
      <c r="TEU35" s="9"/>
      <c r="TEV35" s="9"/>
      <c r="TEW35" s="9"/>
      <c r="TEX35" s="10"/>
      <c r="TEY35" s="11"/>
      <c r="TEZ35" s="12"/>
      <c r="TFA35" s="12"/>
      <c r="TFB35" s="12"/>
      <c r="TFC35" s="13"/>
      <c r="TFD35" s="9"/>
      <c r="TFE35" s="9"/>
      <c r="TFF35" s="9"/>
      <c r="TFG35" s="9"/>
      <c r="TFH35" s="10"/>
      <c r="TFI35" s="11"/>
      <c r="TFJ35" s="12"/>
      <c r="TFK35" s="12"/>
      <c r="TFL35" s="12"/>
      <c r="TFM35" s="13"/>
      <c r="TFN35" s="9"/>
      <c r="TFO35" s="9"/>
      <c r="TFP35" s="9"/>
      <c r="TFQ35" s="9"/>
      <c r="TFR35" s="10"/>
      <c r="TFS35" s="11"/>
      <c r="TFT35" s="12"/>
      <c r="TFU35" s="12"/>
      <c r="TFV35" s="12"/>
      <c r="TFW35" s="13"/>
      <c r="TFX35" s="9"/>
      <c r="TFY35" s="9"/>
      <c r="TFZ35" s="9"/>
      <c r="TGA35" s="9"/>
      <c r="TGB35" s="10"/>
      <c r="TGC35" s="11"/>
      <c r="TGD35" s="12"/>
      <c r="TGE35" s="12"/>
      <c r="TGF35" s="12"/>
      <c r="TGG35" s="13"/>
      <c r="TGH35" s="9"/>
      <c r="TGI35" s="9"/>
      <c r="TGJ35" s="9"/>
      <c r="TGK35" s="9"/>
      <c r="TGL35" s="10"/>
      <c r="TGM35" s="11"/>
      <c r="TGN35" s="12"/>
      <c r="TGO35" s="12"/>
      <c r="TGP35" s="12"/>
      <c r="TGQ35" s="13"/>
      <c r="TGR35" s="9"/>
      <c r="TGS35" s="9"/>
      <c r="TGT35" s="9"/>
      <c r="TGU35" s="9"/>
      <c r="TGV35" s="10"/>
      <c r="TGW35" s="11"/>
      <c r="TGX35" s="12"/>
      <c r="TGY35" s="12"/>
      <c r="TGZ35" s="12"/>
      <c r="THA35" s="13"/>
      <c r="THB35" s="9"/>
      <c r="THC35" s="9"/>
      <c r="THD35" s="9"/>
      <c r="THE35" s="9"/>
      <c r="THF35" s="10"/>
      <c r="THG35" s="11"/>
      <c r="THH35" s="12"/>
      <c r="THI35" s="12"/>
      <c r="THJ35" s="12"/>
      <c r="THK35" s="13"/>
      <c r="THL35" s="9"/>
      <c r="THM35" s="9"/>
      <c r="THN35" s="9"/>
      <c r="THO35" s="9"/>
      <c r="THP35" s="10"/>
      <c r="THQ35" s="11"/>
      <c r="THR35" s="12"/>
      <c r="THS35" s="12"/>
      <c r="THT35" s="12"/>
      <c r="THU35" s="13"/>
      <c r="THV35" s="9"/>
      <c r="THW35" s="9"/>
      <c r="THX35" s="9"/>
      <c r="THY35" s="9"/>
      <c r="THZ35" s="10"/>
      <c r="TIA35" s="11"/>
      <c r="TIB35" s="12"/>
      <c r="TIC35" s="12"/>
      <c r="TID35" s="12"/>
      <c r="TIE35" s="13"/>
      <c r="TIF35" s="9"/>
      <c r="TIG35" s="9"/>
      <c r="TIH35" s="9"/>
      <c r="TII35" s="9"/>
      <c r="TIJ35" s="10"/>
      <c r="TIK35" s="11"/>
      <c r="TIL35" s="12"/>
      <c r="TIM35" s="12"/>
      <c r="TIN35" s="12"/>
      <c r="TIO35" s="13"/>
      <c r="TIP35" s="9"/>
      <c r="TIQ35" s="9"/>
      <c r="TIR35" s="9"/>
      <c r="TIS35" s="9"/>
      <c r="TIT35" s="10"/>
      <c r="TIU35" s="11"/>
      <c r="TIV35" s="12"/>
      <c r="TIW35" s="12"/>
      <c r="TIX35" s="12"/>
      <c r="TIY35" s="13"/>
      <c r="TIZ35" s="9"/>
      <c r="TJA35" s="9"/>
      <c r="TJB35" s="9"/>
      <c r="TJC35" s="9"/>
      <c r="TJD35" s="10"/>
      <c r="TJE35" s="11"/>
      <c r="TJF35" s="12"/>
      <c r="TJG35" s="12"/>
      <c r="TJH35" s="12"/>
      <c r="TJI35" s="13"/>
      <c r="TJJ35" s="9"/>
      <c r="TJK35" s="9"/>
      <c r="TJL35" s="9"/>
      <c r="TJM35" s="9"/>
      <c r="TJN35" s="10"/>
      <c r="TJO35" s="11"/>
      <c r="TJP35" s="12"/>
      <c r="TJQ35" s="12"/>
      <c r="TJR35" s="12"/>
      <c r="TJS35" s="13"/>
      <c r="TJT35" s="9"/>
      <c r="TJU35" s="9"/>
      <c r="TJV35" s="9"/>
      <c r="TJW35" s="9"/>
      <c r="TJX35" s="10"/>
      <c r="TJY35" s="11"/>
      <c r="TJZ35" s="12"/>
      <c r="TKA35" s="12"/>
      <c r="TKB35" s="12"/>
      <c r="TKC35" s="13"/>
      <c r="TKD35" s="9"/>
      <c r="TKE35" s="9"/>
      <c r="TKF35" s="9"/>
      <c r="TKG35" s="9"/>
      <c r="TKH35" s="10"/>
      <c r="TKI35" s="11"/>
      <c r="TKJ35" s="12"/>
      <c r="TKK35" s="12"/>
      <c r="TKL35" s="12"/>
      <c r="TKM35" s="13"/>
      <c r="TKN35" s="9"/>
      <c r="TKO35" s="9"/>
      <c r="TKP35" s="9"/>
      <c r="TKQ35" s="9"/>
      <c r="TKR35" s="10"/>
      <c r="TKS35" s="11"/>
      <c r="TKT35" s="12"/>
      <c r="TKU35" s="12"/>
      <c r="TKV35" s="12"/>
      <c r="TKW35" s="13"/>
      <c r="TKX35" s="9"/>
      <c r="TKY35" s="9"/>
      <c r="TKZ35" s="9"/>
      <c r="TLA35" s="9"/>
      <c r="TLB35" s="10"/>
      <c r="TLC35" s="11"/>
      <c r="TLD35" s="12"/>
      <c r="TLE35" s="12"/>
      <c r="TLF35" s="12"/>
      <c r="TLG35" s="13"/>
      <c r="TLH35" s="9"/>
      <c r="TLI35" s="9"/>
      <c r="TLJ35" s="9"/>
      <c r="TLK35" s="9"/>
      <c r="TLL35" s="10"/>
      <c r="TLM35" s="11"/>
      <c r="TLN35" s="12"/>
      <c r="TLO35" s="12"/>
      <c r="TLP35" s="12"/>
      <c r="TLQ35" s="13"/>
      <c r="TLR35" s="9"/>
      <c r="TLS35" s="9"/>
      <c r="TLT35" s="9"/>
      <c r="TLU35" s="9"/>
      <c r="TLV35" s="10"/>
      <c r="TLW35" s="11"/>
      <c r="TLX35" s="12"/>
      <c r="TLY35" s="12"/>
      <c r="TLZ35" s="12"/>
      <c r="TMA35" s="13"/>
      <c r="TMB35" s="9"/>
      <c r="TMC35" s="9"/>
      <c r="TMD35" s="9"/>
      <c r="TME35" s="9"/>
      <c r="TMF35" s="10"/>
      <c r="TMG35" s="11"/>
      <c r="TMH35" s="12"/>
      <c r="TMI35" s="12"/>
      <c r="TMJ35" s="12"/>
      <c r="TMK35" s="13"/>
      <c r="TML35" s="9"/>
      <c r="TMM35" s="9"/>
      <c r="TMN35" s="9"/>
      <c r="TMO35" s="9"/>
      <c r="TMP35" s="10"/>
      <c r="TMQ35" s="11"/>
      <c r="TMR35" s="12"/>
      <c r="TMS35" s="12"/>
      <c r="TMT35" s="12"/>
      <c r="TMU35" s="13"/>
      <c r="TMV35" s="9"/>
      <c r="TMW35" s="9"/>
      <c r="TMX35" s="9"/>
      <c r="TMY35" s="9"/>
      <c r="TMZ35" s="10"/>
      <c r="TNA35" s="11"/>
      <c r="TNB35" s="12"/>
      <c r="TNC35" s="12"/>
      <c r="TND35" s="12"/>
      <c r="TNE35" s="13"/>
      <c r="TNF35" s="9"/>
      <c r="TNG35" s="9"/>
      <c r="TNH35" s="9"/>
      <c r="TNI35" s="9"/>
      <c r="TNJ35" s="10"/>
      <c r="TNK35" s="11"/>
      <c r="TNL35" s="12"/>
      <c r="TNM35" s="12"/>
      <c r="TNN35" s="12"/>
      <c r="TNO35" s="13"/>
      <c r="TNP35" s="9"/>
      <c r="TNQ35" s="9"/>
      <c r="TNR35" s="9"/>
      <c r="TNS35" s="9"/>
      <c r="TNT35" s="10"/>
      <c r="TNU35" s="11"/>
      <c r="TNV35" s="12"/>
      <c r="TNW35" s="12"/>
      <c r="TNX35" s="12"/>
      <c r="TNY35" s="13"/>
      <c r="TNZ35" s="9"/>
      <c r="TOA35" s="9"/>
      <c r="TOB35" s="9"/>
      <c r="TOC35" s="9"/>
      <c r="TOD35" s="10"/>
      <c r="TOE35" s="11"/>
      <c r="TOF35" s="12"/>
      <c r="TOG35" s="12"/>
      <c r="TOH35" s="12"/>
      <c r="TOI35" s="13"/>
      <c r="TOJ35" s="9"/>
      <c r="TOK35" s="9"/>
      <c r="TOL35" s="9"/>
      <c r="TOM35" s="9"/>
      <c r="TON35" s="10"/>
      <c r="TOO35" s="11"/>
      <c r="TOP35" s="12"/>
      <c r="TOQ35" s="12"/>
      <c r="TOR35" s="12"/>
      <c r="TOS35" s="13"/>
      <c r="TOT35" s="9"/>
      <c r="TOU35" s="9"/>
      <c r="TOV35" s="9"/>
      <c r="TOW35" s="9"/>
      <c r="TOX35" s="10"/>
      <c r="TOY35" s="11"/>
      <c r="TOZ35" s="12"/>
      <c r="TPA35" s="12"/>
      <c r="TPB35" s="12"/>
      <c r="TPC35" s="13"/>
      <c r="TPD35" s="9"/>
      <c r="TPE35" s="9"/>
      <c r="TPF35" s="9"/>
      <c r="TPG35" s="9"/>
      <c r="TPH35" s="10"/>
      <c r="TPI35" s="11"/>
      <c r="TPJ35" s="12"/>
      <c r="TPK35" s="12"/>
      <c r="TPL35" s="12"/>
      <c r="TPM35" s="13"/>
      <c r="TPN35" s="9"/>
      <c r="TPO35" s="9"/>
      <c r="TPP35" s="9"/>
      <c r="TPQ35" s="9"/>
      <c r="TPR35" s="10"/>
      <c r="TPS35" s="11"/>
      <c r="TPT35" s="12"/>
      <c r="TPU35" s="12"/>
      <c r="TPV35" s="12"/>
      <c r="TPW35" s="13"/>
      <c r="TPX35" s="9"/>
      <c r="TPY35" s="9"/>
      <c r="TPZ35" s="9"/>
      <c r="TQA35" s="9"/>
      <c r="TQB35" s="10"/>
      <c r="TQC35" s="11"/>
      <c r="TQD35" s="12"/>
      <c r="TQE35" s="12"/>
      <c r="TQF35" s="12"/>
      <c r="TQG35" s="13"/>
      <c r="TQH35" s="9"/>
      <c r="TQI35" s="9"/>
      <c r="TQJ35" s="9"/>
      <c r="TQK35" s="9"/>
      <c r="TQL35" s="10"/>
      <c r="TQM35" s="11"/>
      <c r="TQN35" s="12"/>
      <c r="TQO35" s="12"/>
      <c r="TQP35" s="12"/>
      <c r="TQQ35" s="13"/>
      <c r="TQR35" s="9"/>
      <c r="TQS35" s="9"/>
      <c r="TQT35" s="9"/>
      <c r="TQU35" s="9"/>
      <c r="TQV35" s="10"/>
      <c r="TQW35" s="11"/>
      <c r="TQX35" s="12"/>
      <c r="TQY35" s="12"/>
      <c r="TQZ35" s="12"/>
      <c r="TRA35" s="13"/>
      <c r="TRB35" s="9"/>
      <c r="TRC35" s="9"/>
      <c r="TRD35" s="9"/>
      <c r="TRE35" s="9"/>
      <c r="TRF35" s="10"/>
      <c r="TRG35" s="11"/>
      <c r="TRH35" s="12"/>
      <c r="TRI35" s="12"/>
      <c r="TRJ35" s="12"/>
      <c r="TRK35" s="13"/>
      <c r="TRL35" s="9"/>
      <c r="TRM35" s="9"/>
      <c r="TRN35" s="9"/>
      <c r="TRO35" s="9"/>
      <c r="TRP35" s="10"/>
      <c r="TRQ35" s="11"/>
      <c r="TRR35" s="12"/>
      <c r="TRS35" s="12"/>
      <c r="TRT35" s="12"/>
      <c r="TRU35" s="13"/>
      <c r="TRV35" s="9"/>
      <c r="TRW35" s="9"/>
      <c r="TRX35" s="9"/>
      <c r="TRY35" s="9"/>
      <c r="TRZ35" s="10"/>
      <c r="TSA35" s="11"/>
      <c r="TSB35" s="12"/>
      <c r="TSC35" s="12"/>
      <c r="TSD35" s="12"/>
      <c r="TSE35" s="13"/>
      <c r="TSF35" s="9"/>
      <c r="TSG35" s="9"/>
      <c r="TSH35" s="9"/>
      <c r="TSI35" s="9"/>
      <c r="TSJ35" s="10"/>
      <c r="TSK35" s="11"/>
      <c r="TSL35" s="12"/>
      <c r="TSM35" s="12"/>
      <c r="TSN35" s="12"/>
      <c r="TSO35" s="13"/>
      <c r="TSP35" s="9"/>
      <c r="TSQ35" s="9"/>
      <c r="TSR35" s="9"/>
      <c r="TSS35" s="9"/>
      <c r="TST35" s="10"/>
      <c r="TSU35" s="11"/>
      <c r="TSV35" s="12"/>
      <c r="TSW35" s="12"/>
      <c r="TSX35" s="12"/>
      <c r="TSY35" s="13"/>
      <c r="TSZ35" s="9"/>
      <c r="TTA35" s="9"/>
      <c r="TTB35" s="9"/>
      <c r="TTC35" s="9"/>
      <c r="TTD35" s="10"/>
      <c r="TTE35" s="11"/>
      <c r="TTF35" s="12"/>
      <c r="TTG35" s="12"/>
      <c r="TTH35" s="12"/>
      <c r="TTI35" s="13"/>
      <c r="TTJ35" s="9"/>
      <c r="TTK35" s="9"/>
      <c r="TTL35" s="9"/>
      <c r="TTM35" s="9"/>
      <c r="TTN35" s="10"/>
      <c r="TTO35" s="11"/>
      <c r="TTP35" s="12"/>
      <c r="TTQ35" s="12"/>
      <c r="TTR35" s="12"/>
      <c r="TTS35" s="13"/>
      <c r="TTT35" s="9"/>
      <c r="TTU35" s="9"/>
      <c r="TTV35" s="9"/>
      <c r="TTW35" s="9"/>
      <c r="TTX35" s="10"/>
      <c r="TTY35" s="11"/>
      <c r="TTZ35" s="12"/>
      <c r="TUA35" s="12"/>
      <c r="TUB35" s="12"/>
      <c r="TUC35" s="13"/>
      <c r="TUD35" s="9"/>
      <c r="TUE35" s="9"/>
      <c r="TUF35" s="9"/>
      <c r="TUG35" s="9"/>
      <c r="TUH35" s="10"/>
      <c r="TUI35" s="11"/>
      <c r="TUJ35" s="12"/>
      <c r="TUK35" s="12"/>
      <c r="TUL35" s="12"/>
      <c r="TUM35" s="13"/>
      <c r="TUN35" s="9"/>
      <c r="TUO35" s="9"/>
      <c r="TUP35" s="9"/>
      <c r="TUQ35" s="9"/>
      <c r="TUR35" s="10"/>
      <c r="TUS35" s="11"/>
      <c r="TUT35" s="12"/>
      <c r="TUU35" s="12"/>
      <c r="TUV35" s="12"/>
      <c r="TUW35" s="13"/>
      <c r="TUX35" s="9"/>
      <c r="TUY35" s="9"/>
      <c r="TUZ35" s="9"/>
      <c r="TVA35" s="9"/>
      <c r="TVB35" s="10"/>
      <c r="TVC35" s="11"/>
      <c r="TVD35" s="12"/>
      <c r="TVE35" s="12"/>
      <c r="TVF35" s="12"/>
      <c r="TVG35" s="13"/>
      <c r="TVH35" s="9"/>
      <c r="TVI35" s="9"/>
      <c r="TVJ35" s="9"/>
      <c r="TVK35" s="9"/>
      <c r="TVL35" s="10"/>
      <c r="TVM35" s="11"/>
      <c r="TVN35" s="12"/>
      <c r="TVO35" s="12"/>
      <c r="TVP35" s="12"/>
      <c r="TVQ35" s="13"/>
      <c r="TVR35" s="9"/>
      <c r="TVS35" s="9"/>
      <c r="TVT35" s="9"/>
      <c r="TVU35" s="9"/>
      <c r="TVV35" s="10"/>
      <c r="TVW35" s="11"/>
      <c r="TVX35" s="12"/>
      <c r="TVY35" s="12"/>
      <c r="TVZ35" s="12"/>
      <c r="TWA35" s="13"/>
      <c r="TWB35" s="9"/>
      <c r="TWC35" s="9"/>
      <c r="TWD35" s="9"/>
      <c r="TWE35" s="9"/>
      <c r="TWF35" s="10"/>
      <c r="TWG35" s="11"/>
      <c r="TWH35" s="12"/>
      <c r="TWI35" s="12"/>
      <c r="TWJ35" s="12"/>
      <c r="TWK35" s="13"/>
      <c r="TWL35" s="9"/>
      <c r="TWM35" s="9"/>
      <c r="TWN35" s="9"/>
      <c r="TWO35" s="9"/>
      <c r="TWP35" s="10"/>
      <c r="TWQ35" s="11"/>
      <c r="TWR35" s="12"/>
      <c r="TWS35" s="12"/>
      <c r="TWT35" s="12"/>
      <c r="TWU35" s="13"/>
      <c r="TWV35" s="9"/>
      <c r="TWW35" s="9"/>
      <c r="TWX35" s="9"/>
      <c r="TWY35" s="9"/>
      <c r="TWZ35" s="10"/>
      <c r="TXA35" s="11"/>
      <c r="TXB35" s="12"/>
      <c r="TXC35" s="12"/>
      <c r="TXD35" s="12"/>
      <c r="TXE35" s="13"/>
      <c r="TXF35" s="9"/>
      <c r="TXG35" s="9"/>
      <c r="TXH35" s="9"/>
      <c r="TXI35" s="9"/>
      <c r="TXJ35" s="10"/>
      <c r="TXK35" s="11"/>
      <c r="TXL35" s="12"/>
      <c r="TXM35" s="12"/>
      <c r="TXN35" s="12"/>
      <c r="TXO35" s="13"/>
      <c r="TXP35" s="9"/>
      <c r="TXQ35" s="9"/>
      <c r="TXR35" s="9"/>
      <c r="TXS35" s="9"/>
      <c r="TXT35" s="10"/>
      <c r="TXU35" s="11"/>
      <c r="TXV35" s="12"/>
      <c r="TXW35" s="12"/>
      <c r="TXX35" s="12"/>
      <c r="TXY35" s="13"/>
      <c r="TXZ35" s="9"/>
      <c r="TYA35" s="9"/>
      <c r="TYB35" s="9"/>
      <c r="TYC35" s="9"/>
      <c r="TYD35" s="10"/>
      <c r="TYE35" s="11"/>
      <c r="TYF35" s="12"/>
      <c r="TYG35" s="12"/>
      <c r="TYH35" s="12"/>
      <c r="TYI35" s="13"/>
      <c r="TYJ35" s="9"/>
      <c r="TYK35" s="9"/>
      <c r="TYL35" s="9"/>
      <c r="TYM35" s="9"/>
      <c r="TYN35" s="10"/>
      <c r="TYO35" s="11"/>
      <c r="TYP35" s="12"/>
      <c r="TYQ35" s="12"/>
      <c r="TYR35" s="12"/>
      <c r="TYS35" s="13"/>
      <c r="TYT35" s="9"/>
      <c r="TYU35" s="9"/>
      <c r="TYV35" s="9"/>
      <c r="TYW35" s="9"/>
      <c r="TYX35" s="10"/>
      <c r="TYY35" s="11"/>
      <c r="TYZ35" s="12"/>
      <c r="TZA35" s="12"/>
      <c r="TZB35" s="12"/>
      <c r="TZC35" s="13"/>
      <c r="TZD35" s="9"/>
      <c r="TZE35" s="9"/>
      <c r="TZF35" s="9"/>
      <c r="TZG35" s="9"/>
      <c r="TZH35" s="10"/>
      <c r="TZI35" s="11"/>
      <c r="TZJ35" s="12"/>
      <c r="TZK35" s="12"/>
      <c r="TZL35" s="12"/>
      <c r="TZM35" s="13"/>
      <c r="TZN35" s="9"/>
      <c r="TZO35" s="9"/>
      <c r="TZP35" s="9"/>
      <c r="TZQ35" s="9"/>
      <c r="TZR35" s="10"/>
      <c r="TZS35" s="11"/>
      <c r="TZT35" s="12"/>
      <c r="TZU35" s="12"/>
      <c r="TZV35" s="12"/>
      <c r="TZW35" s="13"/>
      <c r="TZX35" s="9"/>
      <c r="TZY35" s="9"/>
      <c r="TZZ35" s="9"/>
      <c r="UAA35" s="9"/>
      <c r="UAB35" s="10"/>
      <c r="UAC35" s="11"/>
      <c r="UAD35" s="12"/>
      <c r="UAE35" s="12"/>
      <c r="UAF35" s="12"/>
      <c r="UAG35" s="13"/>
      <c r="UAH35" s="9"/>
      <c r="UAI35" s="9"/>
      <c r="UAJ35" s="9"/>
      <c r="UAK35" s="9"/>
      <c r="UAL35" s="10"/>
      <c r="UAM35" s="11"/>
      <c r="UAN35" s="12"/>
      <c r="UAO35" s="12"/>
      <c r="UAP35" s="12"/>
      <c r="UAQ35" s="13"/>
      <c r="UAR35" s="9"/>
      <c r="UAS35" s="9"/>
      <c r="UAT35" s="9"/>
      <c r="UAU35" s="9"/>
      <c r="UAV35" s="10"/>
      <c r="UAW35" s="11"/>
      <c r="UAX35" s="12"/>
      <c r="UAY35" s="12"/>
      <c r="UAZ35" s="12"/>
      <c r="UBA35" s="13"/>
      <c r="UBB35" s="9"/>
      <c r="UBC35" s="9"/>
      <c r="UBD35" s="9"/>
      <c r="UBE35" s="9"/>
      <c r="UBF35" s="10"/>
      <c r="UBG35" s="11"/>
      <c r="UBH35" s="12"/>
      <c r="UBI35" s="12"/>
      <c r="UBJ35" s="12"/>
      <c r="UBK35" s="13"/>
      <c r="UBL35" s="9"/>
      <c r="UBM35" s="9"/>
      <c r="UBN35" s="9"/>
      <c r="UBO35" s="9"/>
      <c r="UBP35" s="10"/>
      <c r="UBQ35" s="11"/>
      <c r="UBR35" s="12"/>
      <c r="UBS35" s="12"/>
      <c r="UBT35" s="12"/>
      <c r="UBU35" s="13"/>
      <c r="UBV35" s="9"/>
      <c r="UBW35" s="9"/>
      <c r="UBX35" s="9"/>
      <c r="UBY35" s="9"/>
      <c r="UBZ35" s="10"/>
      <c r="UCA35" s="11"/>
      <c r="UCB35" s="12"/>
      <c r="UCC35" s="12"/>
      <c r="UCD35" s="12"/>
      <c r="UCE35" s="13"/>
      <c r="UCF35" s="9"/>
      <c r="UCG35" s="9"/>
      <c r="UCH35" s="9"/>
      <c r="UCI35" s="9"/>
      <c r="UCJ35" s="10"/>
      <c r="UCK35" s="11"/>
      <c r="UCL35" s="12"/>
      <c r="UCM35" s="12"/>
      <c r="UCN35" s="12"/>
      <c r="UCO35" s="13"/>
      <c r="UCP35" s="9"/>
      <c r="UCQ35" s="9"/>
      <c r="UCR35" s="9"/>
      <c r="UCS35" s="9"/>
      <c r="UCT35" s="10"/>
      <c r="UCU35" s="11"/>
      <c r="UCV35" s="12"/>
      <c r="UCW35" s="12"/>
      <c r="UCX35" s="12"/>
      <c r="UCY35" s="13"/>
      <c r="UCZ35" s="9"/>
      <c r="UDA35" s="9"/>
      <c r="UDB35" s="9"/>
      <c r="UDC35" s="9"/>
      <c r="UDD35" s="10"/>
      <c r="UDE35" s="11"/>
      <c r="UDF35" s="12"/>
      <c r="UDG35" s="12"/>
      <c r="UDH35" s="12"/>
      <c r="UDI35" s="13"/>
      <c r="UDJ35" s="9"/>
      <c r="UDK35" s="9"/>
      <c r="UDL35" s="9"/>
      <c r="UDM35" s="9"/>
      <c r="UDN35" s="10"/>
      <c r="UDO35" s="11"/>
      <c r="UDP35" s="12"/>
      <c r="UDQ35" s="12"/>
      <c r="UDR35" s="12"/>
      <c r="UDS35" s="13"/>
      <c r="UDT35" s="9"/>
      <c r="UDU35" s="9"/>
      <c r="UDV35" s="9"/>
      <c r="UDW35" s="9"/>
      <c r="UDX35" s="10"/>
      <c r="UDY35" s="11"/>
      <c r="UDZ35" s="12"/>
      <c r="UEA35" s="12"/>
      <c r="UEB35" s="12"/>
      <c r="UEC35" s="13"/>
      <c r="UED35" s="9"/>
      <c r="UEE35" s="9"/>
      <c r="UEF35" s="9"/>
      <c r="UEG35" s="9"/>
      <c r="UEH35" s="10"/>
      <c r="UEI35" s="11"/>
      <c r="UEJ35" s="12"/>
      <c r="UEK35" s="12"/>
      <c r="UEL35" s="12"/>
      <c r="UEM35" s="13"/>
      <c r="UEN35" s="9"/>
      <c r="UEO35" s="9"/>
      <c r="UEP35" s="9"/>
      <c r="UEQ35" s="9"/>
      <c r="UER35" s="10"/>
      <c r="UES35" s="11"/>
      <c r="UET35" s="12"/>
      <c r="UEU35" s="12"/>
      <c r="UEV35" s="12"/>
      <c r="UEW35" s="13"/>
      <c r="UEX35" s="9"/>
      <c r="UEY35" s="9"/>
      <c r="UEZ35" s="9"/>
      <c r="UFA35" s="9"/>
      <c r="UFB35" s="10"/>
      <c r="UFC35" s="11"/>
      <c r="UFD35" s="12"/>
      <c r="UFE35" s="12"/>
      <c r="UFF35" s="12"/>
      <c r="UFG35" s="13"/>
      <c r="UFH35" s="9"/>
      <c r="UFI35" s="9"/>
      <c r="UFJ35" s="9"/>
      <c r="UFK35" s="9"/>
      <c r="UFL35" s="10"/>
      <c r="UFM35" s="11"/>
      <c r="UFN35" s="12"/>
      <c r="UFO35" s="12"/>
      <c r="UFP35" s="12"/>
      <c r="UFQ35" s="13"/>
      <c r="UFR35" s="9"/>
      <c r="UFS35" s="9"/>
      <c r="UFT35" s="9"/>
      <c r="UFU35" s="9"/>
      <c r="UFV35" s="10"/>
      <c r="UFW35" s="11"/>
      <c r="UFX35" s="12"/>
      <c r="UFY35" s="12"/>
      <c r="UFZ35" s="12"/>
      <c r="UGA35" s="13"/>
      <c r="UGB35" s="9"/>
      <c r="UGC35" s="9"/>
      <c r="UGD35" s="9"/>
      <c r="UGE35" s="9"/>
      <c r="UGF35" s="10"/>
      <c r="UGG35" s="11"/>
      <c r="UGH35" s="12"/>
      <c r="UGI35" s="12"/>
      <c r="UGJ35" s="12"/>
      <c r="UGK35" s="13"/>
      <c r="UGL35" s="9"/>
      <c r="UGM35" s="9"/>
      <c r="UGN35" s="9"/>
      <c r="UGO35" s="9"/>
      <c r="UGP35" s="10"/>
      <c r="UGQ35" s="11"/>
      <c r="UGR35" s="12"/>
      <c r="UGS35" s="12"/>
      <c r="UGT35" s="12"/>
      <c r="UGU35" s="13"/>
      <c r="UGV35" s="9"/>
      <c r="UGW35" s="9"/>
      <c r="UGX35" s="9"/>
      <c r="UGY35" s="9"/>
      <c r="UGZ35" s="10"/>
      <c r="UHA35" s="11"/>
      <c r="UHB35" s="12"/>
      <c r="UHC35" s="12"/>
      <c r="UHD35" s="12"/>
      <c r="UHE35" s="13"/>
      <c r="UHF35" s="9"/>
      <c r="UHG35" s="9"/>
      <c r="UHH35" s="9"/>
      <c r="UHI35" s="9"/>
      <c r="UHJ35" s="10"/>
      <c r="UHK35" s="11"/>
      <c r="UHL35" s="12"/>
      <c r="UHM35" s="12"/>
      <c r="UHN35" s="12"/>
      <c r="UHO35" s="13"/>
      <c r="UHP35" s="9"/>
      <c r="UHQ35" s="9"/>
      <c r="UHR35" s="9"/>
      <c r="UHS35" s="9"/>
      <c r="UHT35" s="10"/>
      <c r="UHU35" s="11"/>
      <c r="UHV35" s="12"/>
      <c r="UHW35" s="12"/>
      <c r="UHX35" s="12"/>
      <c r="UHY35" s="13"/>
      <c r="UHZ35" s="9"/>
      <c r="UIA35" s="9"/>
      <c r="UIB35" s="9"/>
      <c r="UIC35" s="9"/>
      <c r="UID35" s="10"/>
      <c r="UIE35" s="11"/>
      <c r="UIF35" s="12"/>
      <c r="UIG35" s="12"/>
      <c r="UIH35" s="12"/>
      <c r="UII35" s="13"/>
      <c r="UIJ35" s="9"/>
      <c r="UIK35" s="9"/>
      <c r="UIL35" s="9"/>
      <c r="UIM35" s="9"/>
      <c r="UIN35" s="10"/>
      <c r="UIO35" s="11"/>
      <c r="UIP35" s="12"/>
      <c r="UIQ35" s="12"/>
      <c r="UIR35" s="12"/>
      <c r="UIS35" s="13"/>
      <c r="UIT35" s="9"/>
      <c r="UIU35" s="9"/>
      <c r="UIV35" s="9"/>
      <c r="UIW35" s="9"/>
      <c r="UIX35" s="10"/>
      <c r="UIY35" s="11"/>
      <c r="UIZ35" s="12"/>
      <c r="UJA35" s="12"/>
      <c r="UJB35" s="12"/>
      <c r="UJC35" s="13"/>
      <c r="UJD35" s="9"/>
      <c r="UJE35" s="9"/>
      <c r="UJF35" s="9"/>
      <c r="UJG35" s="9"/>
      <c r="UJH35" s="10"/>
      <c r="UJI35" s="11"/>
      <c r="UJJ35" s="12"/>
      <c r="UJK35" s="12"/>
      <c r="UJL35" s="12"/>
      <c r="UJM35" s="13"/>
      <c r="UJN35" s="9"/>
      <c r="UJO35" s="9"/>
      <c r="UJP35" s="9"/>
      <c r="UJQ35" s="9"/>
      <c r="UJR35" s="10"/>
      <c r="UJS35" s="11"/>
      <c r="UJT35" s="12"/>
      <c r="UJU35" s="12"/>
      <c r="UJV35" s="12"/>
      <c r="UJW35" s="13"/>
      <c r="UJX35" s="9"/>
      <c r="UJY35" s="9"/>
      <c r="UJZ35" s="9"/>
      <c r="UKA35" s="9"/>
      <c r="UKB35" s="10"/>
      <c r="UKC35" s="11"/>
      <c r="UKD35" s="12"/>
      <c r="UKE35" s="12"/>
      <c r="UKF35" s="12"/>
      <c r="UKG35" s="13"/>
      <c r="UKH35" s="9"/>
      <c r="UKI35" s="9"/>
      <c r="UKJ35" s="9"/>
      <c r="UKK35" s="9"/>
      <c r="UKL35" s="10"/>
      <c r="UKM35" s="11"/>
      <c r="UKN35" s="12"/>
      <c r="UKO35" s="12"/>
      <c r="UKP35" s="12"/>
      <c r="UKQ35" s="13"/>
      <c r="UKR35" s="9"/>
      <c r="UKS35" s="9"/>
      <c r="UKT35" s="9"/>
      <c r="UKU35" s="9"/>
      <c r="UKV35" s="10"/>
      <c r="UKW35" s="11"/>
      <c r="UKX35" s="12"/>
      <c r="UKY35" s="12"/>
      <c r="UKZ35" s="12"/>
      <c r="ULA35" s="13"/>
      <c r="ULB35" s="9"/>
      <c r="ULC35" s="9"/>
      <c r="ULD35" s="9"/>
      <c r="ULE35" s="9"/>
      <c r="ULF35" s="10"/>
      <c r="ULG35" s="11"/>
      <c r="ULH35" s="12"/>
      <c r="ULI35" s="12"/>
      <c r="ULJ35" s="12"/>
      <c r="ULK35" s="13"/>
      <c r="ULL35" s="9"/>
      <c r="ULM35" s="9"/>
      <c r="ULN35" s="9"/>
      <c r="ULO35" s="9"/>
      <c r="ULP35" s="10"/>
      <c r="ULQ35" s="11"/>
      <c r="ULR35" s="12"/>
      <c r="ULS35" s="12"/>
      <c r="ULT35" s="12"/>
      <c r="ULU35" s="13"/>
      <c r="ULV35" s="9"/>
      <c r="ULW35" s="9"/>
      <c r="ULX35" s="9"/>
      <c r="ULY35" s="9"/>
      <c r="ULZ35" s="10"/>
      <c r="UMA35" s="11"/>
      <c r="UMB35" s="12"/>
      <c r="UMC35" s="12"/>
      <c r="UMD35" s="12"/>
      <c r="UME35" s="13"/>
      <c r="UMF35" s="9"/>
      <c r="UMG35" s="9"/>
      <c r="UMH35" s="9"/>
      <c r="UMI35" s="9"/>
      <c r="UMJ35" s="10"/>
      <c r="UMK35" s="11"/>
      <c r="UML35" s="12"/>
      <c r="UMM35" s="12"/>
      <c r="UMN35" s="12"/>
      <c r="UMO35" s="13"/>
      <c r="UMP35" s="9"/>
      <c r="UMQ35" s="9"/>
      <c r="UMR35" s="9"/>
      <c r="UMS35" s="9"/>
      <c r="UMT35" s="10"/>
      <c r="UMU35" s="11"/>
      <c r="UMV35" s="12"/>
      <c r="UMW35" s="12"/>
      <c r="UMX35" s="12"/>
      <c r="UMY35" s="13"/>
      <c r="UMZ35" s="9"/>
      <c r="UNA35" s="9"/>
      <c r="UNB35" s="9"/>
      <c r="UNC35" s="9"/>
      <c r="UND35" s="10"/>
      <c r="UNE35" s="11"/>
      <c r="UNF35" s="12"/>
      <c r="UNG35" s="12"/>
      <c r="UNH35" s="12"/>
      <c r="UNI35" s="13"/>
      <c r="UNJ35" s="9"/>
      <c r="UNK35" s="9"/>
      <c r="UNL35" s="9"/>
      <c r="UNM35" s="9"/>
      <c r="UNN35" s="10"/>
      <c r="UNO35" s="11"/>
      <c r="UNP35" s="12"/>
      <c r="UNQ35" s="12"/>
      <c r="UNR35" s="12"/>
      <c r="UNS35" s="13"/>
      <c r="UNT35" s="9"/>
      <c r="UNU35" s="9"/>
      <c r="UNV35" s="9"/>
      <c r="UNW35" s="9"/>
      <c r="UNX35" s="10"/>
      <c r="UNY35" s="11"/>
      <c r="UNZ35" s="12"/>
      <c r="UOA35" s="12"/>
      <c r="UOB35" s="12"/>
      <c r="UOC35" s="13"/>
      <c r="UOD35" s="9"/>
      <c r="UOE35" s="9"/>
      <c r="UOF35" s="9"/>
      <c r="UOG35" s="9"/>
      <c r="UOH35" s="10"/>
      <c r="UOI35" s="11"/>
      <c r="UOJ35" s="12"/>
      <c r="UOK35" s="12"/>
      <c r="UOL35" s="12"/>
      <c r="UOM35" s="13"/>
      <c r="UON35" s="9"/>
      <c r="UOO35" s="9"/>
      <c r="UOP35" s="9"/>
      <c r="UOQ35" s="9"/>
      <c r="UOR35" s="10"/>
      <c r="UOS35" s="11"/>
      <c r="UOT35" s="12"/>
      <c r="UOU35" s="12"/>
      <c r="UOV35" s="12"/>
      <c r="UOW35" s="13"/>
      <c r="UOX35" s="9"/>
      <c r="UOY35" s="9"/>
      <c r="UOZ35" s="9"/>
      <c r="UPA35" s="9"/>
      <c r="UPB35" s="10"/>
      <c r="UPC35" s="11"/>
      <c r="UPD35" s="12"/>
      <c r="UPE35" s="12"/>
      <c r="UPF35" s="12"/>
      <c r="UPG35" s="13"/>
      <c r="UPH35" s="9"/>
      <c r="UPI35" s="9"/>
      <c r="UPJ35" s="9"/>
      <c r="UPK35" s="9"/>
      <c r="UPL35" s="10"/>
      <c r="UPM35" s="11"/>
      <c r="UPN35" s="12"/>
      <c r="UPO35" s="12"/>
      <c r="UPP35" s="12"/>
      <c r="UPQ35" s="13"/>
      <c r="UPR35" s="9"/>
      <c r="UPS35" s="9"/>
      <c r="UPT35" s="9"/>
      <c r="UPU35" s="9"/>
      <c r="UPV35" s="10"/>
      <c r="UPW35" s="11"/>
      <c r="UPX35" s="12"/>
      <c r="UPY35" s="12"/>
      <c r="UPZ35" s="12"/>
      <c r="UQA35" s="13"/>
      <c r="UQB35" s="9"/>
      <c r="UQC35" s="9"/>
      <c r="UQD35" s="9"/>
      <c r="UQE35" s="9"/>
      <c r="UQF35" s="10"/>
      <c r="UQG35" s="11"/>
      <c r="UQH35" s="12"/>
      <c r="UQI35" s="12"/>
      <c r="UQJ35" s="12"/>
      <c r="UQK35" s="13"/>
      <c r="UQL35" s="9"/>
      <c r="UQM35" s="9"/>
      <c r="UQN35" s="9"/>
      <c r="UQO35" s="9"/>
      <c r="UQP35" s="10"/>
      <c r="UQQ35" s="11"/>
      <c r="UQR35" s="12"/>
      <c r="UQS35" s="12"/>
      <c r="UQT35" s="12"/>
      <c r="UQU35" s="13"/>
      <c r="UQV35" s="9"/>
      <c r="UQW35" s="9"/>
      <c r="UQX35" s="9"/>
      <c r="UQY35" s="9"/>
      <c r="UQZ35" s="10"/>
      <c r="URA35" s="11"/>
      <c r="URB35" s="12"/>
      <c r="URC35" s="12"/>
      <c r="URD35" s="12"/>
      <c r="URE35" s="13"/>
      <c r="URF35" s="9"/>
      <c r="URG35" s="9"/>
      <c r="URH35" s="9"/>
      <c r="URI35" s="9"/>
      <c r="URJ35" s="10"/>
      <c r="URK35" s="11"/>
      <c r="URL35" s="12"/>
      <c r="URM35" s="12"/>
      <c r="URN35" s="12"/>
      <c r="URO35" s="13"/>
      <c r="URP35" s="9"/>
      <c r="URQ35" s="9"/>
      <c r="URR35" s="9"/>
      <c r="URS35" s="9"/>
      <c r="URT35" s="10"/>
      <c r="URU35" s="11"/>
      <c r="URV35" s="12"/>
      <c r="URW35" s="12"/>
      <c r="URX35" s="12"/>
      <c r="URY35" s="13"/>
      <c r="URZ35" s="9"/>
      <c r="USA35" s="9"/>
      <c r="USB35" s="9"/>
      <c r="USC35" s="9"/>
      <c r="USD35" s="10"/>
      <c r="USE35" s="11"/>
      <c r="USF35" s="12"/>
      <c r="USG35" s="12"/>
      <c r="USH35" s="12"/>
      <c r="USI35" s="13"/>
      <c r="USJ35" s="9"/>
      <c r="USK35" s="9"/>
      <c r="USL35" s="9"/>
      <c r="USM35" s="9"/>
      <c r="USN35" s="10"/>
      <c r="USO35" s="11"/>
      <c r="USP35" s="12"/>
      <c r="USQ35" s="12"/>
      <c r="USR35" s="12"/>
      <c r="USS35" s="13"/>
      <c r="UST35" s="9"/>
      <c r="USU35" s="9"/>
      <c r="USV35" s="9"/>
      <c r="USW35" s="9"/>
      <c r="USX35" s="10"/>
      <c r="USY35" s="11"/>
      <c r="USZ35" s="12"/>
      <c r="UTA35" s="12"/>
      <c r="UTB35" s="12"/>
      <c r="UTC35" s="13"/>
      <c r="UTD35" s="9"/>
      <c r="UTE35" s="9"/>
      <c r="UTF35" s="9"/>
      <c r="UTG35" s="9"/>
      <c r="UTH35" s="10"/>
      <c r="UTI35" s="11"/>
      <c r="UTJ35" s="12"/>
      <c r="UTK35" s="12"/>
      <c r="UTL35" s="12"/>
      <c r="UTM35" s="13"/>
      <c r="UTN35" s="9"/>
      <c r="UTO35" s="9"/>
      <c r="UTP35" s="9"/>
      <c r="UTQ35" s="9"/>
      <c r="UTR35" s="10"/>
      <c r="UTS35" s="11"/>
      <c r="UTT35" s="12"/>
      <c r="UTU35" s="12"/>
      <c r="UTV35" s="12"/>
      <c r="UTW35" s="13"/>
      <c r="UTX35" s="9"/>
      <c r="UTY35" s="9"/>
      <c r="UTZ35" s="9"/>
      <c r="UUA35" s="9"/>
      <c r="UUB35" s="10"/>
      <c r="UUC35" s="11"/>
      <c r="UUD35" s="12"/>
      <c r="UUE35" s="12"/>
      <c r="UUF35" s="12"/>
      <c r="UUG35" s="13"/>
      <c r="UUH35" s="9"/>
      <c r="UUI35" s="9"/>
      <c r="UUJ35" s="9"/>
      <c r="UUK35" s="9"/>
      <c r="UUL35" s="10"/>
      <c r="UUM35" s="11"/>
      <c r="UUN35" s="12"/>
      <c r="UUO35" s="12"/>
      <c r="UUP35" s="12"/>
      <c r="UUQ35" s="13"/>
      <c r="UUR35" s="9"/>
      <c r="UUS35" s="9"/>
      <c r="UUT35" s="9"/>
      <c r="UUU35" s="9"/>
      <c r="UUV35" s="10"/>
      <c r="UUW35" s="11"/>
      <c r="UUX35" s="12"/>
      <c r="UUY35" s="12"/>
      <c r="UUZ35" s="12"/>
      <c r="UVA35" s="13"/>
      <c r="UVB35" s="9"/>
      <c r="UVC35" s="9"/>
      <c r="UVD35" s="9"/>
      <c r="UVE35" s="9"/>
      <c r="UVF35" s="10"/>
      <c r="UVG35" s="11"/>
      <c r="UVH35" s="12"/>
      <c r="UVI35" s="12"/>
      <c r="UVJ35" s="12"/>
      <c r="UVK35" s="13"/>
      <c r="UVL35" s="9"/>
      <c r="UVM35" s="9"/>
      <c r="UVN35" s="9"/>
      <c r="UVO35" s="9"/>
      <c r="UVP35" s="10"/>
      <c r="UVQ35" s="11"/>
      <c r="UVR35" s="12"/>
      <c r="UVS35" s="12"/>
      <c r="UVT35" s="12"/>
      <c r="UVU35" s="13"/>
      <c r="UVV35" s="9"/>
      <c r="UVW35" s="9"/>
      <c r="UVX35" s="9"/>
      <c r="UVY35" s="9"/>
      <c r="UVZ35" s="10"/>
      <c r="UWA35" s="11"/>
      <c r="UWB35" s="12"/>
      <c r="UWC35" s="12"/>
      <c r="UWD35" s="12"/>
      <c r="UWE35" s="13"/>
      <c r="UWF35" s="9"/>
      <c r="UWG35" s="9"/>
      <c r="UWH35" s="9"/>
      <c r="UWI35" s="9"/>
      <c r="UWJ35" s="10"/>
      <c r="UWK35" s="11"/>
      <c r="UWL35" s="12"/>
      <c r="UWM35" s="12"/>
      <c r="UWN35" s="12"/>
      <c r="UWO35" s="13"/>
      <c r="UWP35" s="9"/>
      <c r="UWQ35" s="9"/>
      <c r="UWR35" s="9"/>
      <c r="UWS35" s="9"/>
      <c r="UWT35" s="10"/>
      <c r="UWU35" s="11"/>
      <c r="UWV35" s="12"/>
      <c r="UWW35" s="12"/>
      <c r="UWX35" s="12"/>
      <c r="UWY35" s="13"/>
      <c r="UWZ35" s="9"/>
      <c r="UXA35" s="9"/>
      <c r="UXB35" s="9"/>
      <c r="UXC35" s="9"/>
      <c r="UXD35" s="10"/>
      <c r="UXE35" s="11"/>
      <c r="UXF35" s="12"/>
      <c r="UXG35" s="12"/>
      <c r="UXH35" s="12"/>
      <c r="UXI35" s="13"/>
      <c r="UXJ35" s="9"/>
      <c r="UXK35" s="9"/>
      <c r="UXL35" s="9"/>
      <c r="UXM35" s="9"/>
      <c r="UXN35" s="10"/>
      <c r="UXO35" s="11"/>
      <c r="UXP35" s="12"/>
      <c r="UXQ35" s="12"/>
      <c r="UXR35" s="12"/>
      <c r="UXS35" s="13"/>
      <c r="UXT35" s="9"/>
      <c r="UXU35" s="9"/>
      <c r="UXV35" s="9"/>
      <c r="UXW35" s="9"/>
      <c r="UXX35" s="10"/>
      <c r="UXY35" s="11"/>
      <c r="UXZ35" s="12"/>
      <c r="UYA35" s="12"/>
      <c r="UYB35" s="12"/>
      <c r="UYC35" s="13"/>
      <c r="UYD35" s="9"/>
      <c r="UYE35" s="9"/>
      <c r="UYF35" s="9"/>
      <c r="UYG35" s="9"/>
      <c r="UYH35" s="10"/>
      <c r="UYI35" s="11"/>
      <c r="UYJ35" s="12"/>
      <c r="UYK35" s="12"/>
      <c r="UYL35" s="12"/>
      <c r="UYM35" s="13"/>
      <c r="UYN35" s="9"/>
      <c r="UYO35" s="9"/>
      <c r="UYP35" s="9"/>
      <c r="UYQ35" s="9"/>
      <c r="UYR35" s="10"/>
      <c r="UYS35" s="11"/>
      <c r="UYT35" s="12"/>
      <c r="UYU35" s="12"/>
      <c r="UYV35" s="12"/>
      <c r="UYW35" s="13"/>
      <c r="UYX35" s="9"/>
      <c r="UYY35" s="9"/>
      <c r="UYZ35" s="9"/>
      <c r="UZA35" s="9"/>
      <c r="UZB35" s="10"/>
      <c r="UZC35" s="11"/>
      <c r="UZD35" s="12"/>
      <c r="UZE35" s="12"/>
      <c r="UZF35" s="12"/>
      <c r="UZG35" s="13"/>
      <c r="UZH35" s="9"/>
      <c r="UZI35" s="9"/>
      <c r="UZJ35" s="9"/>
      <c r="UZK35" s="9"/>
      <c r="UZL35" s="10"/>
      <c r="UZM35" s="11"/>
      <c r="UZN35" s="12"/>
      <c r="UZO35" s="12"/>
      <c r="UZP35" s="12"/>
      <c r="UZQ35" s="13"/>
      <c r="UZR35" s="9"/>
      <c r="UZS35" s="9"/>
      <c r="UZT35" s="9"/>
      <c r="UZU35" s="9"/>
      <c r="UZV35" s="10"/>
      <c r="UZW35" s="11"/>
      <c r="UZX35" s="12"/>
      <c r="UZY35" s="12"/>
      <c r="UZZ35" s="12"/>
      <c r="VAA35" s="13"/>
      <c r="VAB35" s="9"/>
      <c r="VAC35" s="9"/>
      <c r="VAD35" s="9"/>
      <c r="VAE35" s="9"/>
      <c r="VAF35" s="10"/>
      <c r="VAG35" s="11"/>
      <c r="VAH35" s="12"/>
      <c r="VAI35" s="12"/>
      <c r="VAJ35" s="12"/>
      <c r="VAK35" s="13"/>
      <c r="VAL35" s="9"/>
      <c r="VAM35" s="9"/>
      <c r="VAN35" s="9"/>
      <c r="VAO35" s="9"/>
      <c r="VAP35" s="10"/>
      <c r="VAQ35" s="11"/>
      <c r="VAR35" s="12"/>
      <c r="VAS35" s="12"/>
      <c r="VAT35" s="12"/>
      <c r="VAU35" s="13"/>
      <c r="VAV35" s="9"/>
      <c r="VAW35" s="9"/>
      <c r="VAX35" s="9"/>
      <c r="VAY35" s="9"/>
      <c r="VAZ35" s="10"/>
      <c r="VBA35" s="11"/>
      <c r="VBB35" s="12"/>
      <c r="VBC35" s="12"/>
      <c r="VBD35" s="12"/>
      <c r="VBE35" s="13"/>
      <c r="VBF35" s="9"/>
      <c r="VBG35" s="9"/>
      <c r="VBH35" s="9"/>
      <c r="VBI35" s="9"/>
      <c r="VBJ35" s="10"/>
      <c r="VBK35" s="11"/>
      <c r="VBL35" s="12"/>
      <c r="VBM35" s="12"/>
      <c r="VBN35" s="12"/>
      <c r="VBO35" s="13"/>
      <c r="VBP35" s="9"/>
      <c r="VBQ35" s="9"/>
      <c r="VBR35" s="9"/>
      <c r="VBS35" s="9"/>
      <c r="VBT35" s="10"/>
      <c r="VBU35" s="11"/>
      <c r="VBV35" s="12"/>
      <c r="VBW35" s="12"/>
      <c r="VBX35" s="12"/>
      <c r="VBY35" s="13"/>
      <c r="VBZ35" s="9"/>
      <c r="VCA35" s="9"/>
      <c r="VCB35" s="9"/>
      <c r="VCC35" s="9"/>
      <c r="VCD35" s="10"/>
      <c r="VCE35" s="11"/>
      <c r="VCF35" s="12"/>
      <c r="VCG35" s="12"/>
      <c r="VCH35" s="12"/>
      <c r="VCI35" s="13"/>
      <c r="VCJ35" s="9"/>
      <c r="VCK35" s="9"/>
      <c r="VCL35" s="9"/>
      <c r="VCM35" s="9"/>
      <c r="VCN35" s="10"/>
      <c r="VCO35" s="11"/>
      <c r="VCP35" s="12"/>
      <c r="VCQ35" s="12"/>
      <c r="VCR35" s="12"/>
      <c r="VCS35" s="13"/>
      <c r="VCT35" s="9"/>
      <c r="VCU35" s="9"/>
      <c r="VCV35" s="9"/>
      <c r="VCW35" s="9"/>
      <c r="VCX35" s="10"/>
      <c r="VCY35" s="11"/>
      <c r="VCZ35" s="12"/>
      <c r="VDA35" s="12"/>
      <c r="VDB35" s="12"/>
      <c r="VDC35" s="13"/>
      <c r="VDD35" s="9"/>
      <c r="VDE35" s="9"/>
      <c r="VDF35" s="9"/>
      <c r="VDG35" s="9"/>
      <c r="VDH35" s="10"/>
      <c r="VDI35" s="11"/>
      <c r="VDJ35" s="12"/>
      <c r="VDK35" s="12"/>
      <c r="VDL35" s="12"/>
      <c r="VDM35" s="13"/>
      <c r="VDN35" s="9"/>
      <c r="VDO35" s="9"/>
      <c r="VDP35" s="9"/>
      <c r="VDQ35" s="9"/>
      <c r="VDR35" s="10"/>
      <c r="VDS35" s="11"/>
      <c r="VDT35" s="12"/>
      <c r="VDU35" s="12"/>
      <c r="VDV35" s="12"/>
      <c r="VDW35" s="13"/>
      <c r="VDX35" s="9"/>
      <c r="VDY35" s="9"/>
      <c r="VDZ35" s="9"/>
      <c r="VEA35" s="9"/>
      <c r="VEB35" s="10"/>
      <c r="VEC35" s="11"/>
      <c r="VED35" s="12"/>
      <c r="VEE35" s="12"/>
      <c r="VEF35" s="12"/>
      <c r="VEG35" s="13"/>
      <c r="VEH35" s="9"/>
      <c r="VEI35" s="9"/>
      <c r="VEJ35" s="9"/>
      <c r="VEK35" s="9"/>
      <c r="VEL35" s="10"/>
      <c r="VEM35" s="11"/>
      <c r="VEN35" s="12"/>
      <c r="VEO35" s="12"/>
      <c r="VEP35" s="12"/>
      <c r="VEQ35" s="13"/>
      <c r="VER35" s="9"/>
      <c r="VES35" s="9"/>
      <c r="VET35" s="9"/>
      <c r="VEU35" s="9"/>
      <c r="VEV35" s="10"/>
      <c r="VEW35" s="11"/>
      <c r="VEX35" s="12"/>
      <c r="VEY35" s="12"/>
      <c r="VEZ35" s="12"/>
      <c r="VFA35" s="13"/>
      <c r="VFB35" s="9"/>
      <c r="VFC35" s="9"/>
      <c r="VFD35" s="9"/>
      <c r="VFE35" s="9"/>
      <c r="VFF35" s="10"/>
      <c r="VFG35" s="11"/>
      <c r="VFH35" s="12"/>
      <c r="VFI35" s="12"/>
      <c r="VFJ35" s="12"/>
      <c r="VFK35" s="13"/>
      <c r="VFL35" s="9"/>
      <c r="VFM35" s="9"/>
      <c r="VFN35" s="9"/>
      <c r="VFO35" s="9"/>
      <c r="VFP35" s="10"/>
      <c r="VFQ35" s="11"/>
      <c r="VFR35" s="12"/>
      <c r="VFS35" s="12"/>
      <c r="VFT35" s="12"/>
      <c r="VFU35" s="13"/>
      <c r="VFV35" s="9"/>
      <c r="VFW35" s="9"/>
      <c r="VFX35" s="9"/>
      <c r="VFY35" s="9"/>
      <c r="VFZ35" s="10"/>
      <c r="VGA35" s="11"/>
      <c r="VGB35" s="12"/>
      <c r="VGC35" s="12"/>
      <c r="VGD35" s="12"/>
      <c r="VGE35" s="13"/>
      <c r="VGF35" s="9"/>
      <c r="VGG35" s="9"/>
      <c r="VGH35" s="9"/>
      <c r="VGI35" s="9"/>
      <c r="VGJ35" s="10"/>
      <c r="VGK35" s="11"/>
      <c r="VGL35" s="12"/>
      <c r="VGM35" s="12"/>
      <c r="VGN35" s="12"/>
      <c r="VGO35" s="13"/>
      <c r="VGP35" s="9"/>
      <c r="VGQ35" s="9"/>
      <c r="VGR35" s="9"/>
      <c r="VGS35" s="9"/>
      <c r="VGT35" s="10"/>
      <c r="VGU35" s="11"/>
      <c r="VGV35" s="12"/>
      <c r="VGW35" s="12"/>
      <c r="VGX35" s="12"/>
      <c r="VGY35" s="13"/>
      <c r="VGZ35" s="9"/>
      <c r="VHA35" s="9"/>
      <c r="VHB35" s="9"/>
      <c r="VHC35" s="9"/>
      <c r="VHD35" s="10"/>
      <c r="VHE35" s="11"/>
      <c r="VHF35" s="12"/>
      <c r="VHG35" s="12"/>
      <c r="VHH35" s="12"/>
      <c r="VHI35" s="13"/>
      <c r="VHJ35" s="9"/>
      <c r="VHK35" s="9"/>
      <c r="VHL35" s="9"/>
      <c r="VHM35" s="9"/>
      <c r="VHN35" s="10"/>
      <c r="VHO35" s="11"/>
      <c r="VHP35" s="12"/>
      <c r="VHQ35" s="12"/>
      <c r="VHR35" s="12"/>
      <c r="VHS35" s="13"/>
      <c r="VHT35" s="9"/>
      <c r="VHU35" s="9"/>
      <c r="VHV35" s="9"/>
      <c r="VHW35" s="9"/>
      <c r="VHX35" s="10"/>
      <c r="VHY35" s="11"/>
      <c r="VHZ35" s="12"/>
      <c r="VIA35" s="12"/>
      <c r="VIB35" s="12"/>
      <c r="VIC35" s="13"/>
      <c r="VID35" s="9"/>
      <c r="VIE35" s="9"/>
      <c r="VIF35" s="9"/>
      <c r="VIG35" s="9"/>
      <c r="VIH35" s="10"/>
      <c r="VII35" s="11"/>
      <c r="VIJ35" s="12"/>
      <c r="VIK35" s="12"/>
      <c r="VIL35" s="12"/>
      <c r="VIM35" s="13"/>
      <c r="VIN35" s="9"/>
      <c r="VIO35" s="9"/>
      <c r="VIP35" s="9"/>
      <c r="VIQ35" s="9"/>
      <c r="VIR35" s="10"/>
      <c r="VIS35" s="11"/>
      <c r="VIT35" s="12"/>
      <c r="VIU35" s="12"/>
      <c r="VIV35" s="12"/>
      <c r="VIW35" s="13"/>
      <c r="VIX35" s="9"/>
      <c r="VIY35" s="9"/>
      <c r="VIZ35" s="9"/>
      <c r="VJA35" s="9"/>
      <c r="VJB35" s="10"/>
      <c r="VJC35" s="11"/>
      <c r="VJD35" s="12"/>
      <c r="VJE35" s="12"/>
      <c r="VJF35" s="12"/>
      <c r="VJG35" s="13"/>
      <c r="VJH35" s="9"/>
      <c r="VJI35" s="9"/>
      <c r="VJJ35" s="9"/>
      <c r="VJK35" s="9"/>
      <c r="VJL35" s="10"/>
      <c r="VJM35" s="11"/>
      <c r="VJN35" s="12"/>
      <c r="VJO35" s="12"/>
      <c r="VJP35" s="12"/>
      <c r="VJQ35" s="13"/>
      <c r="VJR35" s="9"/>
      <c r="VJS35" s="9"/>
      <c r="VJT35" s="9"/>
      <c r="VJU35" s="9"/>
      <c r="VJV35" s="10"/>
      <c r="VJW35" s="11"/>
      <c r="VJX35" s="12"/>
      <c r="VJY35" s="12"/>
      <c r="VJZ35" s="12"/>
      <c r="VKA35" s="13"/>
      <c r="VKB35" s="9"/>
      <c r="VKC35" s="9"/>
      <c r="VKD35" s="9"/>
      <c r="VKE35" s="9"/>
      <c r="VKF35" s="10"/>
      <c r="VKG35" s="11"/>
      <c r="VKH35" s="12"/>
      <c r="VKI35" s="12"/>
      <c r="VKJ35" s="12"/>
      <c r="VKK35" s="13"/>
      <c r="VKL35" s="9"/>
      <c r="VKM35" s="9"/>
      <c r="VKN35" s="9"/>
      <c r="VKO35" s="9"/>
      <c r="VKP35" s="10"/>
      <c r="VKQ35" s="11"/>
      <c r="VKR35" s="12"/>
      <c r="VKS35" s="12"/>
      <c r="VKT35" s="12"/>
      <c r="VKU35" s="13"/>
      <c r="VKV35" s="9"/>
      <c r="VKW35" s="9"/>
      <c r="VKX35" s="9"/>
      <c r="VKY35" s="9"/>
      <c r="VKZ35" s="10"/>
      <c r="VLA35" s="11"/>
      <c r="VLB35" s="12"/>
      <c r="VLC35" s="12"/>
      <c r="VLD35" s="12"/>
      <c r="VLE35" s="13"/>
      <c r="VLF35" s="9"/>
      <c r="VLG35" s="9"/>
      <c r="VLH35" s="9"/>
      <c r="VLI35" s="9"/>
      <c r="VLJ35" s="10"/>
      <c r="VLK35" s="11"/>
      <c r="VLL35" s="12"/>
      <c r="VLM35" s="12"/>
      <c r="VLN35" s="12"/>
      <c r="VLO35" s="13"/>
      <c r="VLP35" s="9"/>
      <c r="VLQ35" s="9"/>
      <c r="VLR35" s="9"/>
      <c r="VLS35" s="9"/>
      <c r="VLT35" s="10"/>
      <c r="VLU35" s="11"/>
      <c r="VLV35" s="12"/>
      <c r="VLW35" s="12"/>
      <c r="VLX35" s="12"/>
      <c r="VLY35" s="13"/>
      <c r="VLZ35" s="9"/>
      <c r="VMA35" s="9"/>
      <c r="VMB35" s="9"/>
      <c r="VMC35" s="9"/>
      <c r="VMD35" s="10"/>
      <c r="VME35" s="11"/>
      <c r="VMF35" s="12"/>
      <c r="VMG35" s="12"/>
      <c r="VMH35" s="12"/>
      <c r="VMI35" s="13"/>
      <c r="VMJ35" s="9"/>
      <c r="VMK35" s="9"/>
      <c r="VML35" s="9"/>
      <c r="VMM35" s="9"/>
      <c r="VMN35" s="10"/>
      <c r="VMO35" s="11"/>
      <c r="VMP35" s="12"/>
      <c r="VMQ35" s="12"/>
      <c r="VMR35" s="12"/>
      <c r="VMS35" s="13"/>
      <c r="VMT35" s="9"/>
      <c r="VMU35" s="9"/>
      <c r="VMV35" s="9"/>
      <c r="VMW35" s="9"/>
      <c r="VMX35" s="10"/>
      <c r="VMY35" s="11"/>
      <c r="VMZ35" s="12"/>
      <c r="VNA35" s="12"/>
      <c r="VNB35" s="12"/>
      <c r="VNC35" s="13"/>
      <c r="VND35" s="9"/>
      <c r="VNE35" s="9"/>
      <c r="VNF35" s="9"/>
      <c r="VNG35" s="9"/>
      <c r="VNH35" s="10"/>
      <c r="VNI35" s="11"/>
      <c r="VNJ35" s="12"/>
      <c r="VNK35" s="12"/>
      <c r="VNL35" s="12"/>
      <c r="VNM35" s="13"/>
      <c r="VNN35" s="9"/>
      <c r="VNO35" s="9"/>
      <c r="VNP35" s="9"/>
      <c r="VNQ35" s="9"/>
      <c r="VNR35" s="10"/>
      <c r="VNS35" s="11"/>
      <c r="VNT35" s="12"/>
      <c r="VNU35" s="12"/>
      <c r="VNV35" s="12"/>
      <c r="VNW35" s="13"/>
      <c r="VNX35" s="9"/>
      <c r="VNY35" s="9"/>
      <c r="VNZ35" s="9"/>
      <c r="VOA35" s="9"/>
      <c r="VOB35" s="10"/>
      <c r="VOC35" s="11"/>
      <c r="VOD35" s="12"/>
      <c r="VOE35" s="12"/>
      <c r="VOF35" s="12"/>
      <c r="VOG35" s="13"/>
      <c r="VOH35" s="9"/>
      <c r="VOI35" s="9"/>
      <c r="VOJ35" s="9"/>
      <c r="VOK35" s="9"/>
      <c r="VOL35" s="10"/>
      <c r="VOM35" s="11"/>
      <c r="VON35" s="12"/>
      <c r="VOO35" s="12"/>
      <c r="VOP35" s="12"/>
      <c r="VOQ35" s="13"/>
      <c r="VOR35" s="9"/>
      <c r="VOS35" s="9"/>
      <c r="VOT35" s="9"/>
      <c r="VOU35" s="9"/>
      <c r="VOV35" s="10"/>
      <c r="VOW35" s="11"/>
      <c r="VOX35" s="12"/>
      <c r="VOY35" s="12"/>
      <c r="VOZ35" s="12"/>
      <c r="VPA35" s="13"/>
      <c r="VPB35" s="9"/>
      <c r="VPC35" s="9"/>
      <c r="VPD35" s="9"/>
      <c r="VPE35" s="9"/>
      <c r="VPF35" s="10"/>
      <c r="VPG35" s="11"/>
      <c r="VPH35" s="12"/>
      <c r="VPI35" s="12"/>
      <c r="VPJ35" s="12"/>
      <c r="VPK35" s="13"/>
      <c r="VPL35" s="9"/>
      <c r="VPM35" s="9"/>
      <c r="VPN35" s="9"/>
      <c r="VPO35" s="9"/>
      <c r="VPP35" s="10"/>
      <c r="VPQ35" s="11"/>
      <c r="VPR35" s="12"/>
      <c r="VPS35" s="12"/>
      <c r="VPT35" s="12"/>
      <c r="VPU35" s="13"/>
      <c r="VPV35" s="9"/>
      <c r="VPW35" s="9"/>
      <c r="VPX35" s="9"/>
      <c r="VPY35" s="9"/>
      <c r="VPZ35" s="10"/>
      <c r="VQA35" s="11"/>
      <c r="VQB35" s="12"/>
      <c r="VQC35" s="12"/>
      <c r="VQD35" s="12"/>
      <c r="VQE35" s="13"/>
      <c r="VQF35" s="9"/>
      <c r="VQG35" s="9"/>
      <c r="VQH35" s="9"/>
      <c r="VQI35" s="9"/>
      <c r="VQJ35" s="10"/>
      <c r="VQK35" s="11"/>
      <c r="VQL35" s="12"/>
      <c r="VQM35" s="12"/>
      <c r="VQN35" s="12"/>
      <c r="VQO35" s="13"/>
      <c r="VQP35" s="9"/>
      <c r="VQQ35" s="9"/>
      <c r="VQR35" s="9"/>
      <c r="VQS35" s="9"/>
      <c r="VQT35" s="10"/>
      <c r="VQU35" s="11"/>
      <c r="VQV35" s="12"/>
      <c r="VQW35" s="12"/>
      <c r="VQX35" s="12"/>
      <c r="VQY35" s="13"/>
      <c r="VQZ35" s="9"/>
      <c r="VRA35" s="9"/>
      <c r="VRB35" s="9"/>
      <c r="VRC35" s="9"/>
      <c r="VRD35" s="10"/>
      <c r="VRE35" s="11"/>
      <c r="VRF35" s="12"/>
      <c r="VRG35" s="12"/>
      <c r="VRH35" s="12"/>
      <c r="VRI35" s="13"/>
      <c r="VRJ35" s="9"/>
      <c r="VRK35" s="9"/>
      <c r="VRL35" s="9"/>
      <c r="VRM35" s="9"/>
      <c r="VRN35" s="10"/>
      <c r="VRO35" s="11"/>
      <c r="VRP35" s="12"/>
      <c r="VRQ35" s="12"/>
      <c r="VRR35" s="12"/>
      <c r="VRS35" s="13"/>
      <c r="VRT35" s="9"/>
      <c r="VRU35" s="9"/>
      <c r="VRV35" s="9"/>
      <c r="VRW35" s="9"/>
      <c r="VRX35" s="10"/>
      <c r="VRY35" s="11"/>
      <c r="VRZ35" s="12"/>
      <c r="VSA35" s="12"/>
      <c r="VSB35" s="12"/>
      <c r="VSC35" s="13"/>
      <c r="VSD35" s="9"/>
      <c r="VSE35" s="9"/>
      <c r="VSF35" s="9"/>
      <c r="VSG35" s="9"/>
      <c r="VSH35" s="10"/>
      <c r="VSI35" s="11"/>
      <c r="VSJ35" s="12"/>
      <c r="VSK35" s="12"/>
      <c r="VSL35" s="12"/>
      <c r="VSM35" s="13"/>
      <c r="VSN35" s="9"/>
      <c r="VSO35" s="9"/>
      <c r="VSP35" s="9"/>
      <c r="VSQ35" s="9"/>
      <c r="VSR35" s="10"/>
      <c r="VSS35" s="11"/>
      <c r="VST35" s="12"/>
      <c r="VSU35" s="12"/>
      <c r="VSV35" s="12"/>
      <c r="VSW35" s="13"/>
      <c r="VSX35" s="9"/>
      <c r="VSY35" s="9"/>
      <c r="VSZ35" s="9"/>
      <c r="VTA35" s="9"/>
      <c r="VTB35" s="10"/>
      <c r="VTC35" s="11"/>
      <c r="VTD35" s="12"/>
      <c r="VTE35" s="12"/>
      <c r="VTF35" s="12"/>
      <c r="VTG35" s="13"/>
      <c r="VTH35" s="9"/>
      <c r="VTI35" s="9"/>
      <c r="VTJ35" s="9"/>
      <c r="VTK35" s="9"/>
      <c r="VTL35" s="10"/>
      <c r="VTM35" s="11"/>
      <c r="VTN35" s="12"/>
      <c r="VTO35" s="12"/>
      <c r="VTP35" s="12"/>
      <c r="VTQ35" s="13"/>
      <c r="VTR35" s="9"/>
      <c r="VTS35" s="9"/>
      <c r="VTT35" s="9"/>
      <c r="VTU35" s="9"/>
      <c r="VTV35" s="10"/>
      <c r="VTW35" s="11"/>
      <c r="VTX35" s="12"/>
      <c r="VTY35" s="12"/>
      <c r="VTZ35" s="12"/>
      <c r="VUA35" s="13"/>
      <c r="VUB35" s="9"/>
      <c r="VUC35" s="9"/>
      <c r="VUD35" s="9"/>
      <c r="VUE35" s="9"/>
      <c r="VUF35" s="10"/>
      <c r="VUG35" s="11"/>
      <c r="VUH35" s="12"/>
      <c r="VUI35" s="12"/>
      <c r="VUJ35" s="12"/>
      <c r="VUK35" s="13"/>
      <c r="VUL35" s="9"/>
      <c r="VUM35" s="9"/>
      <c r="VUN35" s="9"/>
      <c r="VUO35" s="9"/>
      <c r="VUP35" s="10"/>
      <c r="VUQ35" s="11"/>
      <c r="VUR35" s="12"/>
      <c r="VUS35" s="12"/>
      <c r="VUT35" s="12"/>
      <c r="VUU35" s="13"/>
      <c r="VUV35" s="9"/>
      <c r="VUW35" s="9"/>
      <c r="VUX35" s="9"/>
      <c r="VUY35" s="9"/>
      <c r="VUZ35" s="10"/>
      <c r="VVA35" s="11"/>
      <c r="VVB35" s="12"/>
      <c r="VVC35" s="12"/>
      <c r="VVD35" s="12"/>
      <c r="VVE35" s="13"/>
      <c r="VVF35" s="9"/>
      <c r="VVG35" s="9"/>
      <c r="VVH35" s="9"/>
      <c r="VVI35" s="9"/>
      <c r="VVJ35" s="10"/>
      <c r="VVK35" s="11"/>
      <c r="VVL35" s="12"/>
      <c r="VVM35" s="12"/>
      <c r="VVN35" s="12"/>
      <c r="VVO35" s="13"/>
      <c r="VVP35" s="9"/>
      <c r="VVQ35" s="9"/>
      <c r="VVR35" s="9"/>
      <c r="VVS35" s="9"/>
      <c r="VVT35" s="10"/>
      <c r="VVU35" s="11"/>
      <c r="VVV35" s="12"/>
      <c r="VVW35" s="12"/>
      <c r="VVX35" s="12"/>
      <c r="VVY35" s="13"/>
      <c r="VVZ35" s="9"/>
      <c r="VWA35" s="9"/>
      <c r="VWB35" s="9"/>
      <c r="VWC35" s="9"/>
      <c r="VWD35" s="10"/>
      <c r="VWE35" s="11"/>
      <c r="VWF35" s="12"/>
      <c r="VWG35" s="12"/>
      <c r="VWH35" s="12"/>
      <c r="VWI35" s="13"/>
      <c r="VWJ35" s="9"/>
      <c r="VWK35" s="9"/>
      <c r="VWL35" s="9"/>
      <c r="VWM35" s="9"/>
      <c r="VWN35" s="10"/>
      <c r="VWO35" s="11"/>
      <c r="VWP35" s="12"/>
      <c r="VWQ35" s="12"/>
      <c r="VWR35" s="12"/>
      <c r="VWS35" s="13"/>
      <c r="VWT35" s="9"/>
      <c r="VWU35" s="9"/>
      <c r="VWV35" s="9"/>
      <c r="VWW35" s="9"/>
      <c r="VWX35" s="10"/>
      <c r="VWY35" s="11"/>
      <c r="VWZ35" s="12"/>
      <c r="VXA35" s="12"/>
      <c r="VXB35" s="12"/>
      <c r="VXC35" s="13"/>
      <c r="VXD35" s="9"/>
      <c r="VXE35" s="9"/>
      <c r="VXF35" s="9"/>
      <c r="VXG35" s="9"/>
      <c r="VXH35" s="10"/>
      <c r="VXI35" s="11"/>
      <c r="VXJ35" s="12"/>
      <c r="VXK35" s="12"/>
      <c r="VXL35" s="12"/>
      <c r="VXM35" s="13"/>
      <c r="VXN35" s="9"/>
      <c r="VXO35" s="9"/>
      <c r="VXP35" s="9"/>
      <c r="VXQ35" s="9"/>
      <c r="VXR35" s="10"/>
      <c r="VXS35" s="11"/>
      <c r="VXT35" s="12"/>
      <c r="VXU35" s="12"/>
      <c r="VXV35" s="12"/>
      <c r="VXW35" s="13"/>
      <c r="VXX35" s="9"/>
      <c r="VXY35" s="9"/>
      <c r="VXZ35" s="9"/>
      <c r="VYA35" s="9"/>
      <c r="VYB35" s="10"/>
      <c r="VYC35" s="11"/>
      <c r="VYD35" s="12"/>
      <c r="VYE35" s="12"/>
      <c r="VYF35" s="12"/>
      <c r="VYG35" s="13"/>
      <c r="VYH35" s="9"/>
      <c r="VYI35" s="9"/>
      <c r="VYJ35" s="9"/>
      <c r="VYK35" s="9"/>
      <c r="VYL35" s="10"/>
      <c r="VYM35" s="11"/>
      <c r="VYN35" s="12"/>
      <c r="VYO35" s="12"/>
      <c r="VYP35" s="12"/>
      <c r="VYQ35" s="13"/>
      <c r="VYR35" s="9"/>
      <c r="VYS35" s="9"/>
      <c r="VYT35" s="9"/>
      <c r="VYU35" s="9"/>
      <c r="VYV35" s="10"/>
      <c r="VYW35" s="11"/>
      <c r="VYX35" s="12"/>
      <c r="VYY35" s="12"/>
      <c r="VYZ35" s="12"/>
      <c r="VZA35" s="13"/>
      <c r="VZB35" s="9"/>
      <c r="VZC35" s="9"/>
      <c r="VZD35" s="9"/>
      <c r="VZE35" s="9"/>
      <c r="VZF35" s="10"/>
      <c r="VZG35" s="11"/>
      <c r="VZH35" s="12"/>
      <c r="VZI35" s="12"/>
      <c r="VZJ35" s="12"/>
      <c r="VZK35" s="13"/>
      <c r="VZL35" s="9"/>
      <c r="VZM35" s="9"/>
      <c r="VZN35" s="9"/>
      <c r="VZO35" s="9"/>
      <c r="VZP35" s="10"/>
      <c r="VZQ35" s="11"/>
      <c r="VZR35" s="12"/>
      <c r="VZS35" s="12"/>
      <c r="VZT35" s="12"/>
      <c r="VZU35" s="13"/>
      <c r="VZV35" s="9"/>
      <c r="VZW35" s="9"/>
      <c r="VZX35" s="9"/>
      <c r="VZY35" s="9"/>
      <c r="VZZ35" s="10"/>
      <c r="WAA35" s="11"/>
      <c r="WAB35" s="12"/>
      <c r="WAC35" s="12"/>
      <c r="WAD35" s="12"/>
      <c r="WAE35" s="13"/>
      <c r="WAF35" s="9"/>
      <c r="WAG35" s="9"/>
      <c r="WAH35" s="9"/>
      <c r="WAI35" s="9"/>
      <c r="WAJ35" s="10"/>
      <c r="WAK35" s="11"/>
      <c r="WAL35" s="12"/>
      <c r="WAM35" s="12"/>
      <c r="WAN35" s="12"/>
      <c r="WAO35" s="13"/>
      <c r="WAP35" s="9"/>
      <c r="WAQ35" s="9"/>
      <c r="WAR35" s="9"/>
      <c r="WAS35" s="9"/>
      <c r="WAT35" s="10"/>
      <c r="WAU35" s="11"/>
      <c r="WAV35" s="12"/>
      <c r="WAW35" s="12"/>
      <c r="WAX35" s="12"/>
      <c r="WAY35" s="13"/>
      <c r="WAZ35" s="9"/>
      <c r="WBA35" s="9"/>
      <c r="WBB35" s="9"/>
      <c r="WBC35" s="9"/>
      <c r="WBD35" s="10"/>
      <c r="WBE35" s="11"/>
      <c r="WBF35" s="12"/>
      <c r="WBG35" s="12"/>
      <c r="WBH35" s="12"/>
      <c r="WBI35" s="13"/>
      <c r="WBJ35" s="9"/>
      <c r="WBK35" s="9"/>
      <c r="WBL35" s="9"/>
      <c r="WBM35" s="9"/>
      <c r="WBN35" s="10"/>
      <c r="WBO35" s="11"/>
      <c r="WBP35" s="12"/>
      <c r="WBQ35" s="12"/>
      <c r="WBR35" s="12"/>
      <c r="WBS35" s="13"/>
      <c r="WBT35" s="9"/>
      <c r="WBU35" s="9"/>
      <c r="WBV35" s="9"/>
      <c r="WBW35" s="9"/>
      <c r="WBX35" s="10"/>
      <c r="WBY35" s="11"/>
      <c r="WBZ35" s="12"/>
      <c r="WCA35" s="12"/>
      <c r="WCB35" s="12"/>
      <c r="WCC35" s="13"/>
      <c r="WCD35" s="9"/>
      <c r="WCE35" s="9"/>
      <c r="WCF35" s="9"/>
      <c r="WCG35" s="9"/>
      <c r="WCH35" s="10"/>
      <c r="WCI35" s="11"/>
      <c r="WCJ35" s="12"/>
      <c r="WCK35" s="12"/>
      <c r="WCL35" s="12"/>
      <c r="WCM35" s="13"/>
      <c r="WCN35" s="9"/>
      <c r="WCO35" s="9"/>
      <c r="WCP35" s="9"/>
      <c r="WCQ35" s="9"/>
      <c r="WCR35" s="10"/>
      <c r="WCS35" s="11"/>
      <c r="WCT35" s="12"/>
      <c r="WCU35" s="12"/>
      <c r="WCV35" s="12"/>
      <c r="WCW35" s="13"/>
      <c r="WCX35" s="9"/>
      <c r="WCY35" s="9"/>
      <c r="WCZ35" s="9"/>
      <c r="WDA35" s="9"/>
      <c r="WDB35" s="10"/>
      <c r="WDC35" s="11"/>
      <c r="WDD35" s="12"/>
      <c r="WDE35" s="12"/>
      <c r="WDF35" s="12"/>
      <c r="WDG35" s="13"/>
      <c r="WDH35" s="9"/>
      <c r="WDI35" s="9"/>
      <c r="WDJ35" s="9"/>
      <c r="WDK35" s="9"/>
      <c r="WDL35" s="10"/>
      <c r="WDM35" s="11"/>
      <c r="WDN35" s="12"/>
      <c r="WDO35" s="12"/>
      <c r="WDP35" s="12"/>
      <c r="WDQ35" s="13"/>
      <c r="WDR35" s="9"/>
      <c r="WDS35" s="9"/>
      <c r="WDT35" s="9"/>
      <c r="WDU35" s="9"/>
      <c r="WDV35" s="10"/>
      <c r="WDW35" s="11"/>
      <c r="WDX35" s="12"/>
      <c r="WDY35" s="12"/>
      <c r="WDZ35" s="12"/>
      <c r="WEA35" s="13"/>
      <c r="WEB35" s="9"/>
      <c r="WEC35" s="9"/>
      <c r="WED35" s="9"/>
      <c r="WEE35" s="9"/>
      <c r="WEF35" s="10"/>
      <c r="WEG35" s="11"/>
      <c r="WEH35" s="12"/>
      <c r="WEI35" s="12"/>
      <c r="WEJ35" s="12"/>
      <c r="WEK35" s="13"/>
      <c r="WEL35" s="9"/>
      <c r="WEM35" s="9"/>
      <c r="WEN35" s="9"/>
      <c r="WEO35" s="9"/>
      <c r="WEP35" s="10"/>
      <c r="WEQ35" s="11"/>
      <c r="WER35" s="12"/>
      <c r="WES35" s="12"/>
      <c r="WET35" s="12"/>
      <c r="WEU35" s="13"/>
      <c r="WEV35" s="9"/>
      <c r="WEW35" s="9"/>
      <c r="WEX35" s="9"/>
      <c r="WEY35" s="9"/>
      <c r="WEZ35" s="10"/>
      <c r="WFA35" s="11"/>
      <c r="WFB35" s="12"/>
      <c r="WFC35" s="12"/>
      <c r="WFD35" s="12"/>
      <c r="WFE35" s="13"/>
      <c r="WFF35" s="9"/>
      <c r="WFG35" s="9"/>
      <c r="WFH35" s="9"/>
      <c r="WFI35" s="9"/>
      <c r="WFJ35" s="10"/>
      <c r="WFK35" s="11"/>
      <c r="WFL35" s="12"/>
      <c r="WFM35" s="12"/>
      <c r="WFN35" s="12"/>
      <c r="WFO35" s="13"/>
      <c r="WFP35" s="9"/>
      <c r="WFQ35" s="9"/>
      <c r="WFR35" s="9"/>
      <c r="WFS35" s="9"/>
      <c r="WFT35" s="10"/>
      <c r="WFU35" s="11"/>
      <c r="WFV35" s="12"/>
      <c r="WFW35" s="12"/>
      <c r="WFX35" s="12"/>
      <c r="WFY35" s="13"/>
      <c r="WFZ35" s="9"/>
      <c r="WGA35" s="9"/>
      <c r="WGB35" s="9"/>
      <c r="WGC35" s="9"/>
      <c r="WGD35" s="10"/>
      <c r="WGE35" s="11"/>
      <c r="WGF35" s="12"/>
      <c r="WGG35" s="12"/>
      <c r="WGH35" s="12"/>
      <c r="WGI35" s="13"/>
      <c r="WGJ35" s="9"/>
      <c r="WGK35" s="9"/>
      <c r="WGL35" s="9"/>
      <c r="WGM35" s="9"/>
      <c r="WGN35" s="10"/>
      <c r="WGO35" s="11"/>
      <c r="WGP35" s="12"/>
      <c r="WGQ35" s="12"/>
      <c r="WGR35" s="12"/>
      <c r="WGS35" s="13"/>
      <c r="WGT35" s="9"/>
      <c r="WGU35" s="9"/>
      <c r="WGV35" s="9"/>
      <c r="WGW35" s="9"/>
      <c r="WGX35" s="10"/>
      <c r="WGY35" s="11"/>
      <c r="WGZ35" s="12"/>
      <c r="WHA35" s="12"/>
      <c r="WHB35" s="12"/>
      <c r="WHC35" s="13"/>
      <c r="WHD35" s="9"/>
      <c r="WHE35" s="9"/>
      <c r="WHF35" s="9"/>
      <c r="WHG35" s="9"/>
      <c r="WHH35" s="10"/>
      <c r="WHI35" s="11"/>
      <c r="WHJ35" s="12"/>
      <c r="WHK35" s="12"/>
      <c r="WHL35" s="12"/>
      <c r="WHM35" s="13"/>
      <c r="WHN35" s="9"/>
      <c r="WHO35" s="9"/>
      <c r="WHP35" s="9"/>
      <c r="WHQ35" s="9"/>
      <c r="WHR35" s="10"/>
      <c r="WHS35" s="11"/>
      <c r="WHT35" s="12"/>
      <c r="WHU35" s="12"/>
      <c r="WHV35" s="12"/>
      <c r="WHW35" s="13"/>
      <c r="WHX35" s="9"/>
      <c r="WHY35" s="9"/>
      <c r="WHZ35" s="9"/>
      <c r="WIA35" s="9"/>
      <c r="WIB35" s="10"/>
      <c r="WIC35" s="11"/>
      <c r="WID35" s="12"/>
      <c r="WIE35" s="12"/>
      <c r="WIF35" s="12"/>
      <c r="WIG35" s="13"/>
      <c r="WIH35" s="9"/>
      <c r="WII35" s="9"/>
      <c r="WIJ35" s="9"/>
      <c r="WIK35" s="9"/>
      <c r="WIL35" s="10"/>
      <c r="WIM35" s="11"/>
      <c r="WIN35" s="12"/>
      <c r="WIO35" s="12"/>
      <c r="WIP35" s="12"/>
      <c r="WIQ35" s="13"/>
      <c r="WIR35" s="9"/>
      <c r="WIS35" s="9"/>
      <c r="WIT35" s="9"/>
      <c r="WIU35" s="9"/>
      <c r="WIV35" s="10"/>
      <c r="WIW35" s="11"/>
      <c r="WIX35" s="12"/>
      <c r="WIY35" s="12"/>
      <c r="WIZ35" s="12"/>
      <c r="WJA35" s="13"/>
      <c r="WJB35" s="9"/>
      <c r="WJC35" s="9"/>
      <c r="WJD35" s="9"/>
      <c r="WJE35" s="9"/>
      <c r="WJF35" s="10"/>
      <c r="WJG35" s="11"/>
      <c r="WJH35" s="12"/>
      <c r="WJI35" s="12"/>
      <c r="WJJ35" s="12"/>
      <c r="WJK35" s="13"/>
      <c r="WJL35" s="9"/>
      <c r="WJM35" s="9"/>
      <c r="WJN35" s="9"/>
      <c r="WJO35" s="9"/>
      <c r="WJP35" s="10"/>
      <c r="WJQ35" s="11"/>
      <c r="WJR35" s="12"/>
      <c r="WJS35" s="12"/>
      <c r="WJT35" s="12"/>
      <c r="WJU35" s="13"/>
      <c r="WJV35" s="9"/>
      <c r="WJW35" s="9"/>
      <c r="WJX35" s="9"/>
      <c r="WJY35" s="9"/>
      <c r="WJZ35" s="10"/>
      <c r="WKA35" s="11"/>
      <c r="WKB35" s="12"/>
      <c r="WKC35" s="12"/>
      <c r="WKD35" s="12"/>
      <c r="WKE35" s="13"/>
      <c r="WKF35" s="9"/>
      <c r="WKG35" s="9"/>
      <c r="WKH35" s="9"/>
      <c r="WKI35" s="9"/>
      <c r="WKJ35" s="10"/>
      <c r="WKK35" s="11"/>
      <c r="WKL35" s="12"/>
      <c r="WKM35" s="12"/>
      <c r="WKN35" s="12"/>
      <c r="WKO35" s="13"/>
      <c r="WKP35" s="9"/>
      <c r="WKQ35" s="9"/>
      <c r="WKR35" s="9"/>
      <c r="WKS35" s="9"/>
      <c r="WKT35" s="10"/>
      <c r="WKU35" s="11"/>
      <c r="WKV35" s="12"/>
      <c r="WKW35" s="12"/>
      <c r="WKX35" s="12"/>
      <c r="WKY35" s="13"/>
      <c r="WKZ35" s="9"/>
      <c r="WLA35" s="9"/>
      <c r="WLB35" s="9"/>
      <c r="WLC35" s="9"/>
      <c r="WLD35" s="10"/>
      <c r="WLE35" s="11"/>
      <c r="WLF35" s="12"/>
      <c r="WLG35" s="12"/>
      <c r="WLH35" s="12"/>
      <c r="WLI35" s="13"/>
      <c r="WLJ35" s="9"/>
      <c r="WLK35" s="9"/>
      <c r="WLL35" s="9"/>
      <c r="WLM35" s="9"/>
      <c r="WLN35" s="10"/>
      <c r="WLO35" s="11"/>
      <c r="WLP35" s="12"/>
      <c r="WLQ35" s="12"/>
      <c r="WLR35" s="12"/>
      <c r="WLS35" s="13"/>
      <c r="WLT35" s="9"/>
      <c r="WLU35" s="9"/>
      <c r="WLV35" s="9"/>
      <c r="WLW35" s="9"/>
      <c r="WLX35" s="10"/>
      <c r="WLY35" s="11"/>
      <c r="WLZ35" s="12"/>
      <c r="WMA35" s="12"/>
      <c r="WMB35" s="12"/>
      <c r="WMC35" s="13"/>
      <c r="WMD35" s="9"/>
      <c r="WME35" s="9"/>
      <c r="WMF35" s="9"/>
      <c r="WMG35" s="9"/>
      <c r="WMH35" s="10"/>
      <c r="WMI35" s="11"/>
      <c r="WMJ35" s="12"/>
      <c r="WMK35" s="12"/>
      <c r="WML35" s="12"/>
      <c r="WMM35" s="13"/>
      <c r="WMN35" s="9"/>
      <c r="WMO35" s="9"/>
      <c r="WMP35" s="9"/>
      <c r="WMQ35" s="9"/>
      <c r="WMR35" s="10"/>
      <c r="WMS35" s="11"/>
      <c r="WMT35" s="12"/>
      <c r="WMU35" s="12"/>
      <c r="WMV35" s="12"/>
      <c r="WMW35" s="13"/>
      <c r="WMX35" s="9"/>
      <c r="WMY35" s="9"/>
      <c r="WMZ35" s="9"/>
      <c r="WNA35" s="9"/>
      <c r="WNB35" s="10"/>
      <c r="WNC35" s="11"/>
      <c r="WND35" s="12"/>
      <c r="WNE35" s="12"/>
      <c r="WNF35" s="12"/>
      <c r="WNG35" s="13"/>
      <c r="WNH35" s="9"/>
      <c r="WNI35" s="9"/>
      <c r="WNJ35" s="9"/>
      <c r="WNK35" s="9"/>
      <c r="WNL35" s="10"/>
      <c r="WNM35" s="11"/>
      <c r="WNN35" s="12"/>
      <c r="WNO35" s="12"/>
      <c r="WNP35" s="12"/>
      <c r="WNQ35" s="13"/>
      <c r="WNR35" s="9"/>
      <c r="WNS35" s="9"/>
      <c r="WNT35" s="9"/>
      <c r="WNU35" s="9"/>
      <c r="WNV35" s="10"/>
      <c r="WNW35" s="11"/>
      <c r="WNX35" s="12"/>
      <c r="WNY35" s="12"/>
      <c r="WNZ35" s="12"/>
      <c r="WOA35" s="13"/>
      <c r="WOB35" s="9"/>
      <c r="WOC35" s="9"/>
      <c r="WOD35" s="9"/>
      <c r="WOE35" s="9"/>
      <c r="WOF35" s="10"/>
      <c r="WOG35" s="11"/>
      <c r="WOH35" s="12"/>
      <c r="WOI35" s="12"/>
      <c r="WOJ35" s="12"/>
      <c r="WOK35" s="13"/>
      <c r="WOL35" s="9"/>
      <c r="WOM35" s="9"/>
      <c r="WON35" s="9"/>
      <c r="WOO35" s="9"/>
      <c r="WOP35" s="10"/>
      <c r="WOQ35" s="11"/>
      <c r="WOR35" s="12"/>
      <c r="WOS35" s="12"/>
      <c r="WOT35" s="12"/>
      <c r="WOU35" s="13"/>
      <c r="WOV35" s="9"/>
      <c r="WOW35" s="9"/>
      <c r="WOX35" s="9"/>
      <c r="WOY35" s="9"/>
      <c r="WOZ35" s="10"/>
      <c r="WPA35" s="11"/>
      <c r="WPB35" s="12"/>
      <c r="WPC35" s="12"/>
      <c r="WPD35" s="12"/>
      <c r="WPE35" s="13"/>
      <c r="WPF35" s="9"/>
      <c r="WPG35" s="9"/>
      <c r="WPH35" s="9"/>
      <c r="WPI35" s="9"/>
      <c r="WPJ35" s="10"/>
      <c r="WPK35" s="11"/>
      <c r="WPL35" s="12"/>
      <c r="WPM35" s="12"/>
      <c r="WPN35" s="12"/>
      <c r="WPO35" s="13"/>
      <c r="WPP35" s="9"/>
      <c r="WPQ35" s="9"/>
      <c r="WPR35" s="9"/>
      <c r="WPS35" s="9"/>
      <c r="WPT35" s="10"/>
      <c r="WPU35" s="11"/>
      <c r="WPV35" s="12"/>
      <c r="WPW35" s="12"/>
      <c r="WPX35" s="12"/>
      <c r="WPY35" s="13"/>
      <c r="WPZ35" s="9"/>
      <c r="WQA35" s="9"/>
      <c r="WQB35" s="9"/>
      <c r="WQC35" s="9"/>
      <c r="WQD35" s="10"/>
      <c r="WQE35" s="11"/>
      <c r="WQF35" s="12"/>
      <c r="WQG35" s="12"/>
      <c r="WQH35" s="12"/>
      <c r="WQI35" s="13"/>
      <c r="WQJ35" s="9"/>
      <c r="WQK35" s="9"/>
      <c r="WQL35" s="9"/>
      <c r="WQM35" s="9"/>
      <c r="WQN35" s="10"/>
      <c r="WQO35" s="11"/>
      <c r="WQP35" s="12"/>
      <c r="WQQ35" s="12"/>
      <c r="WQR35" s="12"/>
      <c r="WQS35" s="13"/>
      <c r="WQT35" s="9"/>
      <c r="WQU35" s="9"/>
      <c r="WQV35" s="9"/>
      <c r="WQW35" s="9"/>
      <c r="WQX35" s="10"/>
      <c r="WQY35" s="11"/>
      <c r="WQZ35" s="12"/>
      <c r="WRA35" s="12"/>
      <c r="WRB35" s="12"/>
      <c r="WRC35" s="13"/>
      <c r="WRD35" s="9"/>
      <c r="WRE35" s="9"/>
      <c r="WRF35" s="9"/>
      <c r="WRG35" s="9"/>
      <c r="WRH35" s="10"/>
      <c r="WRI35" s="11"/>
      <c r="WRJ35" s="12"/>
      <c r="WRK35" s="12"/>
      <c r="WRL35" s="12"/>
      <c r="WRM35" s="13"/>
      <c r="WRN35" s="9"/>
      <c r="WRO35" s="9"/>
      <c r="WRP35" s="9"/>
      <c r="WRQ35" s="9"/>
      <c r="WRR35" s="10"/>
      <c r="WRS35" s="11"/>
      <c r="WRT35" s="12"/>
      <c r="WRU35" s="12"/>
      <c r="WRV35" s="12"/>
      <c r="WRW35" s="13"/>
      <c r="WRX35" s="9"/>
      <c r="WRY35" s="9"/>
      <c r="WRZ35" s="9"/>
      <c r="WSA35" s="9"/>
      <c r="WSB35" s="10"/>
      <c r="WSC35" s="11"/>
      <c r="WSD35" s="12"/>
      <c r="WSE35" s="12"/>
      <c r="WSF35" s="12"/>
      <c r="WSG35" s="13"/>
      <c r="WSH35" s="9"/>
      <c r="WSI35" s="9"/>
      <c r="WSJ35" s="9"/>
      <c r="WSK35" s="9"/>
      <c r="WSL35" s="10"/>
      <c r="WSM35" s="11"/>
      <c r="WSN35" s="12"/>
      <c r="WSO35" s="12"/>
      <c r="WSP35" s="12"/>
      <c r="WSQ35" s="13"/>
      <c r="WSR35" s="9"/>
      <c r="WSS35" s="9"/>
      <c r="WST35" s="9"/>
      <c r="WSU35" s="9"/>
      <c r="WSV35" s="10"/>
      <c r="WSW35" s="11"/>
      <c r="WSX35" s="12"/>
      <c r="WSY35" s="12"/>
      <c r="WSZ35" s="12"/>
      <c r="WTA35" s="13"/>
      <c r="WTB35" s="9"/>
      <c r="WTC35" s="9"/>
      <c r="WTD35" s="9"/>
      <c r="WTE35" s="9"/>
      <c r="WTF35" s="10"/>
      <c r="WTG35" s="11"/>
      <c r="WTH35" s="12"/>
      <c r="WTI35" s="12"/>
      <c r="WTJ35" s="12"/>
      <c r="WTK35" s="13"/>
      <c r="WTL35" s="9"/>
      <c r="WTM35" s="9"/>
      <c r="WTN35" s="9"/>
      <c r="WTO35" s="9"/>
      <c r="WTP35" s="10"/>
      <c r="WTQ35" s="11"/>
      <c r="WTR35" s="12"/>
      <c r="WTS35" s="12"/>
      <c r="WTT35" s="12"/>
      <c r="WTU35" s="13"/>
      <c r="WTV35" s="9"/>
      <c r="WTW35" s="9"/>
      <c r="WTX35" s="9"/>
      <c r="WTY35" s="9"/>
      <c r="WTZ35" s="10"/>
      <c r="WUA35" s="11"/>
      <c r="WUB35" s="12"/>
      <c r="WUC35" s="12"/>
      <c r="WUD35" s="12"/>
      <c r="WUE35" s="13"/>
      <c r="WUF35" s="9"/>
      <c r="WUG35" s="9"/>
      <c r="WUH35" s="9"/>
      <c r="WUI35" s="9"/>
      <c r="WUJ35" s="10"/>
      <c r="WUK35" s="11"/>
      <c r="WUL35" s="12"/>
      <c r="WUM35" s="12"/>
      <c r="WUN35" s="12"/>
      <c r="WUO35" s="13"/>
      <c r="WUP35" s="9"/>
      <c r="WUQ35" s="9"/>
      <c r="WUR35" s="9"/>
      <c r="WUS35" s="9"/>
      <c r="WUT35" s="10"/>
      <c r="WUU35" s="11"/>
      <c r="WUV35" s="12"/>
      <c r="WUW35" s="12"/>
      <c r="WUX35" s="12"/>
      <c r="WUY35" s="13"/>
      <c r="WUZ35" s="9"/>
      <c r="WVA35" s="9"/>
      <c r="WVB35" s="9"/>
      <c r="WVC35" s="9"/>
      <c r="WVD35" s="10"/>
      <c r="WVE35" s="11"/>
      <c r="WVF35" s="12"/>
      <c r="WVG35" s="12"/>
      <c r="WVH35" s="12"/>
      <c r="WVI35" s="13"/>
      <c r="WVJ35" s="9"/>
      <c r="WVK35" s="9"/>
      <c r="WVL35" s="9"/>
      <c r="WVM35" s="9"/>
      <c r="WVN35" s="10"/>
      <c r="WVO35" s="11"/>
      <c r="WVP35" s="12"/>
      <c r="WVQ35" s="12"/>
      <c r="WVR35" s="12"/>
      <c r="WVS35" s="13"/>
      <c r="WVT35" s="9"/>
      <c r="WVU35" s="9"/>
      <c r="WVV35" s="9"/>
      <c r="WVW35" s="9"/>
      <c r="WVX35" s="10"/>
      <c r="WVY35" s="11"/>
      <c r="WVZ35" s="12"/>
      <c r="WWA35" s="12"/>
      <c r="WWB35" s="12"/>
      <c r="WWC35" s="13"/>
      <c r="WWD35" s="9"/>
      <c r="WWE35" s="9"/>
      <c r="WWF35" s="9"/>
      <c r="WWG35" s="9"/>
      <c r="WWH35" s="10"/>
      <c r="WWI35" s="11"/>
      <c r="WWJ35" s="12"/>
      <c r="WWK35" s="12"/>
      <c r="WWL35" s="12"/>
      <c r="WWM35" s="13"/>
      <c r="WWN35" s="9"/>
      <c r="WWO35" s="9"/>
      <c r="WWP35" s="9"/>
      <c r="WWQ35" s="9"/>
      <c r="WWR35" s="10"/>
      <c r="WWS35" s="11"/>
      <c r="WWT35" s="12"/>
      <c r="WWU35" s="12"/>
      <c r="WWV35" s="12"/>
      <c r="WWW35" s="13"/>
      <c r="WWX35" s="9"/>
      <c r="WWY35" s="9"/>
      <c r="WWZ35" s="9"/>
      <c r="WXA35" s="9"/>
      <c r="WXB35" s="10"/>
      <c r="WXC35" s="11"/>
      <c r="WXD35" s="12"/>
      <c r="WXE35" s="12"/>
      <c r="WXF35" s="12"/>
      <c r="WXG35" s="13"/>
      <c r="WXH35" s="9"/>
      <c r="WXI35" s="9"/>
      <c r="WXJ35" s="9"/>
      <c r="WXK35" s="9"/>
      <c r="WXL35" s="10"/>
      <c r="WXM35" s="11"/>
      <c r="WXN35" s="12"/>
      <c r="WXO35" s="12"/>
      <c r="WXP35" s="12"/>
      <c r="WXQ35" s="13"/>
      <c r="WXR35" s="9"/>
      <c r="WXS35" s="9"/>
      <c r="WXT35" s="9"/>
      <c r="WXU35" s="9"/>
      <c r="WXV35" s="10"/>
      <c r="WXW35" s="11"/>
      <c r="WXX35" s="12"/>
      <c r="WXY35" s="12"/>
      <c r="WXZ35" s="12"/>
      <c r="WYA35" s="13"/>
      <c r="WYB35" s="9"/>
      <c r="WYC35" s="9"/>
      <c r="WYD35" s="9"/>
      <c r="WYE35" s="9"/>
      <c r="WYF35" s="10"/>
      <c r="WYG35" s="11"/>
      <c r="WYH35" s="12"/>
      <c r="WYI35" s="12"/>
      <c r="WYJ35" s="12"/>
      <c r="WYK35" s="13"/>
      <c r="WYL35" s="9"/>
      <c r="WYM35" s="9"/>
      <c r="WYN35" s="9"/>
      <c r="WYO35" s="9"/>
      <c r="WYP35" s="10"/>
      <c r="WYQ35" s="11"/>
      <c r="WYR35" s="12"/>
      <c r="WYS35" s="12"/>
      <c r="WYT35" s="12"/>
      <c r="WYU35" s="13"/>
      <c r="WYV35" s="9"/>
      <c r="WYW35" s="9"/>
      <c r="WYX35" s="9"/>
      <c r="WYY35" s="9"/>
      <c r="WYZ35" s="10"/>
      <c r="WZA35" s="11"/>
      <c r="WZB35" s="12"/>
      <c r="WZC35" s="12"/>
      <c r="WZD35" s="12"/>
      <c r="WZE35" s="13"/>
      <c r="WZF35" s="9"/>
      <c r="WZG35" s="9"/>
      <c r="WZH35" s="9"/>
      <c r="WZI35" s="9"/>
      <c r="WZJ35" s="10"/>
      <c r="WZK35" s="11"/>
      <c r="WZL35" s="12"/>
      <c r="WZM35" s="12"/>
      <c r="WZN35" s="12"/>
      <c r="WZO35" s="13"/>
      <c r="WZP35" s="9"/>
      <c r="WZQ35" s="9"/>
      <c r="WZR35" s="9"/>
      <c r="WZS35" s="9"/>
      <c r="WZT35" s="10"/>
      <c r="WZU35" s="11"/>
      <c r="WZV35" s="12"/>
      <c r="WZW35" s="12"/>
      <c r="WZX35" s="12"/>
      <c r="WZY35" s="13"/>
      <c r="WZZ35" s="9"/>
      <c r="XAA35" s="9"/>
      <c r="XAB35" s="9"/>
      <c r="XAC35" s="9"/>
      <c r="XAD35" s="10"/>
      <c r="XAE35" s="11"/>
      <c r="XAF35" s="12"/>
      <c r="XAG35" s="12"/>
      <c r="XAH35" s="12"/>
      <c r="XAI35" s="13"/>
      <c r="XAJ35" s="9"/>
      <c r="XAK35" s="9"/>
      <c r="XAL35" s="9"/>
      <c r="XAM35" s="9"/>
      <c r="XAN35" s="10"/>
      <c r="XAO35" s="11"/>
      <c r="XAP35" s="12"/>
      <c r="XAQ35" s="12"/>
      <c r="XAR35" s="12"/>
      <c r="XAS35" s="13"/>
      <c r="XAT35" s="9"/>
      <c r="XAU35" s="9"/>
      <c r="XAV35" s="9"/>
      <c r="XAW35" s="9"/>
      <c r="XAX35" s="10"/>
      <c r="XAY35" s="11"/>
      <c r="XAZ35" s="12"/>
      <c r="XBA35" s="12"/>
      <c r="XBB35" s="12"/>
      <c r="XBC35" s="13"/>
      <c r="XBD35" s="9"/>
      <c r="XBE35" s="9"/>
      <c r="XBF35" s="9"/>
      <c r="XBG35" s="9"/>
      <c r="XBH35" s="10"/>
      <c r="XBI35" s="11"/>
      <c r="XBJ35" s="12"/>
      <c r="XBK35" s="12"/>
      <c r="XBL35" s="12"/>
      <c r="XBM35" s="13"/>
      <c r="XBN35" s="9"/>
      <c r="XBO35" s="9"/>
      <c r="XBP35" s="9"/>
      <c r="XBQ35" s="9"/>
      <c r="XBR35" s="10"/>
      <c r="XBS35" s="11"/>
      <c r="XBT35" s="12"/>
      <c r="XBU35" s="12"/>
      <c r="XBV35" s="12"/>
      <c r="XBW35" s="13"/>
      <c r="XBX35" s="9"/>
      <c r="XBY35" s="9"/>
      <c r="XBZ35" s="9"/>
      <c r="XCA35" s="9"/>
      <c r="XCB35" s="10"/>
      <c r="XCC35" s="11"/>
      <c r="XCD35" s="12"/>
      <c r="XCE35" s="12"/>
      <c r="XCF35" s="12"/>
      <c r="XCG35" s="13"/>
      <c r="XCH35" s="9"/>
      <c r="XCI35" s="9"/>
      <c r="XCJ35" s="9"/>
      <c r="XCK35" s="9"/>
      <c r="XCL35" s="10"/>
      <c r="XCM35" s="11"/>
      <c r="XCN35" s="12"/>
      <c r="XCO35" s="12"/>
      <c r="XCP35" s="12"/>
      <c r="XCQ35" s="13"/>
      <c r="XCR35" s="9"/>
      <c r="XCS35" s="9"/>
      <c r="XCT35" s="9"/>
      <c r="XCU35" s="9"/>
      <c r="XCV35" s="10"/>
      <c r="XCW35" s="11"/>
      <c r="XCX35" s="12"/>
      <c r="XCY35" s="12"/>
      <c r="XCZ35" s="12"/>
      <c r="XDA35" s="13"/>
      <c r="XDB35" s="9"/>
      <c r="XDC35" s="9"/>
      <c r="XDD35" s="9"/>
      <c r="XDE35" s="9"/>
      <c r="XDF35" s="10"/>
      <c r="XDG35" s="11"/>
      <c r="XDH35" s="12"/>
      <c r="XDI35" s="12"/>
      <c r="XDJ35" s="12"/>
      <c r="XDK35" s="13"/>
      <c r="XDL35" s="9"/>
      <c r="XDM35" s="9"/>
      <c r="XDN35" s="9"/>
      <c r="XDO35" s="9"/>
      <c r="XDP35" s="10"/>
      <c r="XDQ35" s="11"/>
      <c r="XDR35" s="12"/>
      <c r="XDS35" s="12"/>
      <c r="XDT35" s="12"/>
      <c r="XDU35" s="13"/>
      <c r="XDV35" s="9"/>
      <c r="XDW35" s="9"/>
      <c r="XDX35" s="9"/>
      <c r="XDY35" s="9"/>
      <c r="XDZ35" s="10"/>
      <c r="XEA35" s="11"/>
      <c r="XEB35" s="12"/>
      <c r="XEC35" s="12"/>
      <c r="XED35" s="12"/>
      <c r="XEE35" s="13"/>
      <c r="XEF35" s="9"/>
      <c r="XEG35" s="9"/>
      <c r="XEH35" s="9"/>
      <c r="XEI35" s="9"/>
      <c r="XEJ35" s="10"/>
      <c r="XEK35" s="11"/>
      <c r="XEL35" s="12"/>
      <c r="XEM35" s="12"/>
      <c r="XEN35" s="12"/>
      <c r="XEO35" s="13"/>
      <c r="XEP35" s="9"/>
      <c r="XEQ35" s="9"/>
      <c r="XER35" s="9"/>
      <c r="XES35" s="9"/>
      <c r="XET35" s="10"/>
      <c r="XEU35" s="11"/>
      <c r="XEV35" s="12"/>
      <c r="XEW35" s="12"/>
      <c r="XEX35" s="12"/>
      <c r="XEY35" s="13"/>
      <c r="XEZ35" s="9"/>
      <c r="XFA35" s="9"/>
      <c r="XFB35" s="9"/>
      <c r="XFC35" s="9"/>
      <c r="XFD35" s="10"/>
    </row>
    <row r="36" spans="1:16384" x14ac:dyDescent="0.25">
      <c r="A36" t="s">
        <v>70</v>
      </c>
      <c r="B36" t="s">
        <v>71</v>
      </c>
      <c r="C36" t="s">
        <v>104</v>
      </c>
      <c r="D36" s="1">
        <v>8</v>
      </c>
      <c r="E36" s="5">
        <v>11</v>
      </c>
      <c r="F36" s="8" t="s">
        <v>123</v>
      </c>
      <c r="G36" s="8" t="s">
        <v>122</v>
      </c>
      <c r="H36" s="8" t="s">
        <v>116</v>
      </c>
      <c r="I36" s="5">
        <v>9</v>
      </c>
      <c r="J36" t="s">
        <v>108</v>
      </c>
      <c r="K36" s="5">
        <f t="shared" si="0"/>
        <v>10</v>
      </c>
    </row>
    <row r="37" spans="1:16384" x14ac:dyDescent="0.25">
      <c r="A37" t="s">
        <v>72</v>
      </c>
      <c r="B37" t="s">
        <v>73</v>
      </c>
      <c r="C37" t="s">
        <v>86</v>
      </c>
      <c r="D37" s="1">
        <v>2</v>
      </c>
      <c r="E37" s="5">
        <v>11</v>
      </c>
      <c r="F37" s="8" t="s">
        <v>117</v>
      </c>
      <c r="G37" s="8" t="s">
        <v>115</v>
      </c>
      <c r="H37" s="8" t="s">
        <v>116</v>
      </c>
      <c r="I37" s="5">
        <v>9</v>
      </c>
      <c r="J37" t="s">
        <v>108</v>
      </c>
      <c r="K37" s="5">
        <f t="shared" si="0"/>
        <v>10</v>
      </c>
    </row>
    <row r="38" spans="1:16384" x14ac:dyDescent="0.25">
      <c r="A38" t="s">
        <v>74</v>
      </c>
      <c r="B38" t="s">
        <v>75</v>
      </c>
      <c r="C38" t="s">
        <v>87</v>
      </c>
      <c r="D38" s="1">
        <v>2</v>
      </c>
      <c r="E38" s="5">
        <v>11</v>
      </c>
      <c r="F38" s="8" t="s">
        <v>117</v>
      </c>
      <c r="G38" s="8" t="s">
        <v>115</v>
      </c>
      <c r="H38" s="8" t="s">
        <v>116</v>
      </c>
      <c r="I38" s="5">
        <v>9</v>
      </c>
      <c r="J38" t="s">
        <v>108</v>
      </c>
      <c r="K38" s="5">
        <f t="shared" si="0"/>
        <v>10</v>
      </c>
    </row>
    <row r="39" spans="1:16384" x14ac:dyDescent="0.25">
      <c r="A39" t="s">
        <v>76</v>
      </c>
      <c r="B39" t="s">
        <v>77</v>
      </c>
      <c r="C39" t="s">
        <v>94</v>
      </c>
      <c r="D39" s="1">
        <v>5</v>
      </c>
      <c r="E39" s="5">
        <v>11</v>
      </c>
      <c r="F39" s="8" t="s">
        <v>117</v>
      </c>
      <c r="G39" s="8" t="s">
        <v>120</v>
      </c>
      <c r="H39" s="8" t="s">
        <v>121</v>
      </c>
      <c r="I39" s="5">
        <v>9</v>
      </c>
      <c r="J39" t="s">
        <v>108</v>
      </c>
      <c r="K39" s="5">
        <f t="shared" si="0"/>
        <v>10</v>
      </c>
    </row>
    <row r="40" spans="1:16384" x14ac:dyDescent="0.25">
      <c r="A40" s="9" t="s">
        <v>78</v>
      </c>
      <c r="B40" s="9" t="s">
        <v>79</v>
      </c>
      <c r="C40" s="9" t="s">
        <v>90</v>
      </c>
      <c r="D40" s="10">
        <v>3</v>
      </c>
      <c r="E40" s="13">
        <v>12</v>
      </c>
      <c r="F40" s="12" t="s">
        <v>125</v>
      </c>
      <c r="G40" s="12" t="s">
        <v>120</v>
      </c>
      <c r="H40" s="12" t="s">
        <v>116</v>
      </c>
      <c r="I40" s="13">
        <v>10</v>
      </c>
      <c r="J40" s="9" t="s">
        <v>108</v>
      </c>
      <c r="K40" s="13">
        <f t="shared" si="0"/>
        <v>10</v>
      </c>
      <c r="L40" s="9"/>
      <c r="M40" s="9"/>
      <c r="N40" s="10"/>
      <c r="O40" s="11"/>
      <c r="P40" s="12"/>
      <c r="Q40" s="12"/>
      <c r="R40" s="12"/>
      <c r="S40" s="13"/>
      <c r="T40" s="9"/>
      <c r="U40" s="9"/>
      <c r="V40" s="9"/>
      <c r="W40" s="9"/>
      <c r="X40" s="10"/>
      <c r="Y40" s="11"/>
      <c r="Z40" s="12"/>
      <c r="AA40" s="12"/>
      <c r="AB40" s="12"/>
      <c r="AC40" s="13"/>
      <c r="AD40" s="9"/>
      <c r="AE40" s="9"/>
      <c r="AF40" s="9"/>
      <c r="AG40" s="9"/>
      <c r="AH40" s="10"/>
      <c r="AI40" s="11"/>
      <c r="AJ40" s="12"/>
      <c r="AK40" s="12"/>
      <c r="AL40" s="12"/>
      <c r="AM40" s="13"/>
      <c r="AN40" s="9"/>
      <c r="AO40" s="9"/>
      <c r="AP40" s="9"/>
      <c r="AQ40" s="9"/>
      <c r="AR40" s="10"/>
      <c r="AS40" s="11"/>
      <c r="AT40" s="12"/>
      <c r="AU40" s="12"/>
      <c r="AV40" s="12"/>
      <c r="AW40" s="13"/>
      <c r="AX40" s="9"/>
      <c r="AY40" s="9"/>
      <c r="AZ40" s="9"/>
      <c r="BA40" s="9"/>
      <c r="BB40" s="10"/>
      <c r="BC40" s="11"/>
      <c r="BD40" s="12"/>
      <c r="BE40" s="12"/>
      <c r="BF40" s="12"/>
      <c r="BG40" s="13"/>
      <c r="BH40" s="9"/>
      <c r="BI40" s="9"/>
      <c r="BJ40" s="9"/>
      <c r="BK40" s="9"/>
      <c r="BL40" s="10"/>
      <c r="BM40" s="11"/>
      <c r="BN40" s="12"/>
      <c r="BO40" s="12"/>
      <c r="BP40" s="12"/>
      <c r="BQ40" s="13"/>
      <c r="BR40" s="9"/>
      <c r="BS40" s="9"/>
      <c r="BT40" s="9"/>
      <c r="BU40" s="9"/>
      <c r="BV40" s="10"/>
      <c r="BW40" s="11"/>
      <c r="BX40" s="12"/>
      <c r="BY40" s="12"/>
      <c r="BZ40" s="12"/>
      <c r="CA40" s="13"/>
      <c r="CB40" s="9"/>
      <c r="CC40" s="9"/>
      <c r="CD40" s="9"/>
      <c r="CE40" s="9"/>
      <c r="CF40" s="10"/>
      <c r="CG40" s="11"/>
      <c r="CH40" s="12"/>
      <c r="CI40" s="12"/>
      <c r="CJ40" s="12"/>
      <c r="CK40" s="13"/>
      <c r="CL40" s="9"/>
      <c r="CM40" s="9"/>
      <c r="CN40" s="9"/>
      <c r="CO40" s="9"/>
      <c r="CP40" s="10"/>
      <c r="CQ40" s="11"/>
      <c r="CR40" s="12"/>
      <c r="CS40" s="12"/>
      <c r="CT40" s="12"/>
      <c r="CU40" s="13"/>
      <c r="CV40" s="9"/>
      <c r="CW40" s="9"/>
      <c r="CX40" s="9"/>
      <c r="CY40" s="9"/>
      <c r="CZ40" s="10"/>
      <c r="DA40" s="11"/>
      <c r="DB40" s="12"/>
      <c r="DC40" s="12"/>
      <c r="DD40" s="12"/>
      <c r="DE40" s="13"/>
      <c r="DF40" s="9"/>
      <c r="DG40" s="9"/>
      <c r="DH40" s="9"/>
      <c r="DI40" s="9"/>
      <c r="DJ40" s="10"/>
      <c r="DK40" s="11"/>
      <c r="DL40" s="12"/>
      <c r="DM40" s="12"/>
      <c r="DN40" s="12"/>
      <c r="DO40" s="13"/>
      <c r="DP40" s="9"/>
      <c r="DQ40" s="9"/>
      <c r="DR40" s="9"/>
      <c r="DS40" s="9"/>
      <c r="DT40" s="10"/>
      <c r="DU40" s="11"/>
      <c r="DV40" s="12"/>
      <c r="DW40" s="12"/>
      <c r="DX40" s="12"/>
      <c r="DY40" s="13"/>
      <c r="DZ40" s="9"/>
      <c r="EA40" s="9"/>
      <c r="EB40" s="9"/>
      <c r="EC40" s="9"/>
      <c r="ED40" s="10"/>
      <c r="EE40" s="11"/>
      <c r="EF40" s="12"/>
      <c r="EG40" s="12"/>
      <c r="EH40" s="12"/>
      <c r="EI40" s="13"/>
      <c r="EJ40" s="9"/>
      <c r="EK40" s="9"/>
      <c r="EL40" s="9"/>
      <c r="EM40" s="9"/>
      <c r="EN40" s="10"/>
      <c r="EO40" s="11"/>
      <c r="EP40" s="12"/>
      <c r="EQ40" s="12"/>
      <c r="ER40" s="12"/>
      <c r="ES40" s="13"/>
      <c r="ET40" s="9"/>
      <c r="EU40" s="9"/>
      <c r="EV40" s="9"/>
      <c r="EW40" s="9"/>
      <c r="EX40" s="10"/>
      <c r="EY40" s="11"/>
      <c r="EZ40" s="12"/>
      <c r="FA40" s="12"/>
      <c r="FB40" s="12"/>
      <c r="FC40" s="13"/>
      <c r="FD40" s="9"/>
      <c r="FE40" s="9"/>
      <c r="FF40" s="9"/>
      <c r="FG40" s="9"/>
      <c r="FH40" s="10"/>
      <c r="FI40" s="11"/>
      <c r="FJ40" s="12"/>
      <c r="FK40" s="12"/>
      <c r="FL40" s="12"/>
      <c r="FM40" s="13"/>
      <c r="FN40" s="9"/>
      <c r="FO40" s="9"/>
      <c r="FP40" s="9"/>
      <c r="FQ40" s="9"/>
      <c r="FR40" s="10"/>
      <c r="FS40" s="11"/>
      <c r="FT40" s="12"/>
      <c r="FU40" s="12"/>
      <c r="FV40" s="12"/>
      <c r="FW40" s="13"/>
      <c r="FX40" s="9"/>
      <c r="FY40" s="9"/>
      <c r="FZ40" s="9"/>
      <c r="GA40" s="9"/>
      <c r="GB40" s="10"/>
      <c r="GC40" s="11"/>
      <c r="GD40" s="12"/>
      <c r="GE40" s="12"/>
      <c r="GF40" s="12"/>
      <c r="GG40" s="13"/>
      <c r="GH40" s="9"/>
      <c r="GI40" s="9"/>
      <c r="GJ40" s="9"/>
      <c r="GK40" s="9"/>
      <c r="GL40" s="10"/>
      <c r="GM40" s="11"/>
      <c r="GN40" s="12"/>
      <c r="GO40" s="12"/>
      <c r="GP40" s="12"/>
      <c r="GQ40" s="13"/>
      <c r="GR40" s="9"/>
      <c r="GS40" s="9"/>
      <c r="GT40" s="9"/>
      <c r="GU40" s="9"/>
      <c r="GV40" s="10"/>
      <c r="GW40" s="11"/>
      <c r="GX40" s="12"/>
      <c r="GY40" s="12"/>
      <c r="GZ40" s="12"/>
      <c r="HA40" s="13"/>
      <c r="HB40" s="9"/>
      <c r="HC40" s="9"/>
      <c r="HD40" s="9"/>
      <c r="HE40" s="9"/>
      <c r="HF40" s="10"/>
      <c r="HG40" s="11"/>
      <c r="HH40" s="12"/>
      <c r="HI40" s="12"/>
      <c r="HJ40" s="12"/>
      <c r="HK40" s="13"/>
      <c r="HL40" s="9"/>
      <c r="HM40" s="9"/>
      <c r="HN40" s="9"/>
      <c r="HO40" s="9"/>
      <c r="HP40" s="10"/>
      <c r="HQ40" s="11"/>
      <c r="HR40" s="12"/>
      <c r="HS40" s="12"/>
      <c r="HT40" s="12"/>
      <c r="HU40" s="13"/>
      <c r="HV40" s="9"/>
      <c r="HW40" s="9"/>
      <c r="HX40" s="9"/>
      <c r="HY40" s="9"/>
      <c r="HZ40" s="10"/>
      <c r="IA40" s="11"/>
      <c r="IB40" s="12"/>
      <c r="IC40" s="12"/>
      <c r="ID40" s="12"/>
      <c r="IE40" s="13"/>
      <c r="IF40" s="9"/>
      <c r="IG40" s="9"/>
      <c r="IH40" s="9"/>
      <c r="II40" s="9"/>
      <c r="IJ40" s="10"/>
      <c r="IK40" s="11"/>
      <c r="IL40" s="12"/>
      <c r="IM40" s="12"/>
      <c r="IN40" s="12"/>
      <c r="IO40" s="13"/>
      <c r="IP40" s="9"/>
      <c r="IQ40" s="9"/>
      <c r="IR40" s="9"/>
      <c r="IS40" s="9"/>
      <c r="IT40" s="10"/>
      <c r="IU40" s="11"/>
      <c r="IV40" s="12"/>
      <c r="IW40" s="12"/>
      <c r="IX40" s="12"/>
      <c r="IY40" s="13"/>
      <c r="IZ40" s="9"/>
      <c r="JA40" s="9"/>
      <c r="JB40" s="9"/>
      <c r="JC40" s="9"/>
      <c r="JD40" s="10"/>
      <c r="JE40" s="11"/>
      <c r="JF40" s="12"/>
      <c r="JG40" s="12"/>
      <c r="JH40" s="12"/>
      <c r="JI40" s="13"/>
      <c r="JJ40" s="9"/>
      <c r="JK40" s="9"/>
      <c r="JL40" s="9"/>
      <c r="JM40" s="9"/>
      <c r="JN40" s="10"/>
      <c r="JO40" s="11"/>
      <c r="JP40" s="12"/>
      <c r="JQ40" s="12"/>
      <c r="JR40" s="12"/>
      <c r="JS40" s="13"/>
      <c r="JT40" s="9"/>
      <c r="JU40" s="9"/>
      <c r="JV40" s="9"/>
      <c r="JW40" s="9"/>
      <c r="JX40" s="10"/>
      <c r="JY40" s="11"/>
      <c r="JZ40" s="12"/>
      <c r="KA40" s="12"/>
      <c r="KB40" s="12"/>
      <c r="KC40" s="13"/>
      <c r="KD40" s="9"/>
      <c r="KE40" s="9"/>
      <c r="KF40" s="9"/>
      <c r="KG40" s="9"/>
      <c r="KH40" s="10"/>
      <c r="KI40" s="11"/>
      <c r="KJ40" s="12"/>
      <c r="KK40" s="12"/>
      <c r="KL40" s="12"/>
      <c r="KM40" s="13"/>
      <c r="KN40" s="9"/>
      <c r="KO40" s="9"/>
      <c r="KP40" s="9"/>
      <c r="KQ40" s="9"/>
      <c r="KR40" s="10"/>
      <c r="KS40" s="11"/>
      <c r="KT40" s="12"/>
      <c r="KU40" s="12"/>
      <c r="KV40" s="12"/>
      <c r="KW40" s="13"/>
      <c r="KX40" s="9"/>
      <c r="KY40" s="9"/>
      <c r="KZ40" s="9"/>
      <c r="LA40" s="9"/>
      <c r="LB40" s="10"/>
      <c r="LC40" s="11"/>
      <c r="LD40" s="12"/>
      <c r="LE40" s="12"/>
      <c r="LF40" s="12"/>
      <c r="LG40" s="13"/>
      <c r="LH40" s="9"/>
      <c r="LI40" s="9"/>
      <c r="LJ40" s="9"/>
      <c r="LK40" s="9"/>
      <c r="LL40" s="10"/>
      <c r="LM40" s="11"/>
      <c r="LN40" s="12"/>
      <c r="LO40" s="12"/>
      <c r="LP40" s="12"/>
      <c r="LQ40" s="13"/>
      <c r="LR40" s="9"/>
      <c r="LS40" s="9"/>
      <c r="LT40" s="9"/>
      <c r="LU40" s="9"/>
      <c r="LV40" s="10"/>
      <c r="LW40" s="11"/>
      <c r="LX40" s="12"/>
      <c r="LY40" s="12"/>
      <c r="LZ40" s="12"/>
      <c r="MA40" s="13"/>
      <c r="MB40" s="9"/>
      <c r="MC40" s="9"/>
      <c r="MD40" s="9"/>
      <c r="ME40" s="9"/>
      <c r="MF40" s="10"/>
      <c r="MG40" s="11"/>
      <c r="MH40" s="12"/>
      <c r="MI40" s="12"/>
      <c r="MJ40" s="12"/>
      <c r="MK40" s="13"/>
      <c r="ML40" s="9"/>
      <c r="MM40" s="9"/>
      <c r="MN40" s="9"/>
      <c r="MO40" s="9"/>
      <c r="MP40" s="10"/>
      <c r="MQ40" s="11"/>
      <c r="MR40" s="12"/>
      <c r="MS40" s="12"/>
      <c r="MT40" s="12"/>
      <c r="MU40" s="13"/>
      <c r="MV40" s="9"/>
      <c r="MW40" s="9"/>
      <c r="MX40" s="9"/>
      <c r="MY40" s="9"/>
      <c r="MZ40" s="10"/>
      <c r="NA40" s="11"/>
      <c r="NB40" s="12"/>
      <c r="NC40" s="12"/>
      <c r="ND40" s="12"/>
      <c r="NE40" s="13"/>
      <c r="NF40" s="9"/>
      <c r="NG40" s="9"/>
      <c r="NH40" s="9"/>
      <c r="NI40" s="9"/>
      <c r="NJ40" s="10"/>
      <c r="NK40" s="11"/>
      <c r="NL40" s="12"/>
      <c r="NM40" s="12"/>
      <c r="NN40" s="12"/>
      <c r="NO40" s="13"/>
      <c r="NP40" s="9"/>
      <c r="NQ40" s="9"/>
      <c r="NR40" s="9"/>
      <c r="NS40" s="9"/>
      <c r="NT40" s="10"/>
      <c r="NU40" s="11"/>
      <c r="NV40" s="12"/>
      <c r="NW40" s="12"/>
      <c r="NX40" s="12"/>
      <c r="NY40" s="13"/>
      <c r="NZ40" s="9"/>
      <c r="OA40" s="9"/>
      <c r="OB40" s="9"/>
      <c r="OC40" s="9"/>
      <c r="OD40" s="10"/>
      <c r="OE40" s="11"/>
      <c r="OF40" s="12"/>
      <c r="OG40" s="12"/>
      <c r="OH40" s="12"/>
      <c r="OI40" s="13"/>
      <c r="OJ40" s="9"/>
      <c r="OK40" s="9"/>
      <c r="OL40" s="9"/>
      <c r="OM40" s="9"/>
      <c r="ON40" s="10"/>
      <c r="OO40" s="11"/>
      <c r="OP40" s="12"/>
      <c r="OQ40" s="12"/>
      <c r="OR40" s="12"/>
      <c r="OS40" s="13"/>
      <c r="OT40" s="9"/>
      <c r="OU40" s="9"/>
      <c r="OV40" s="9"/>
      <c r="OW40" s="9"/>
      <c r="OX40" s="10"/>
      <c r="OY40" s="11"/>
      <c r="OZ40" s="12"/>
      <c r="PA40" s="12"/>
      <c r="PB40" s="12"/>
      <c r="PC40" s="13"/>
      <c r="PD40" s="9"/>
      <c r="PE40" s="9"/>
      <c r="PF40" s="9"/>
      <c r="PG40" s="9"/>
      <c r="PH40" s="10"/>
      <c r="PI40" s="11"/>
      <c r="PJ40" s="12"/>
      <c r="PK40" s="12"/>
      <c r="PL40" s="12"/>
      <c r="PM40" s="13"/>
      <c r="PN40" s="9"/>
      <c r="PO40" s="9"/>
      <c r="PP40" s="9"/>
      <c r="PQ40" s="9"/>
      <c r="PR40" s="10"/>
      <c r="PS40" s="11"/>
      <c r="PT40" s="12"/>
      <c r="PU40" s="12"/>
      <c r="PV40" s="12"/>
      <c r="PW40" s="13"/>
      <c r="PX40" s="9"/>
      <c r="PY40" s="9"/>
      <c r="PZ40" s="9"/>
      <c r="QA40" s="9"/>
      <c r="QB40" s="10"/>
      <c r="QC40" s="11"/>
      <c r="QD40" s="12"/>
      <c r="QE40" s="12"/>
      <c r="QF40" s="12"/>
      <c r="QG40" s="13"/>
      <c r="QH40" s="9"/>
      <c r="QI40" s="9"/>
      <c r="QJ40" s="9"/>
      <c r="QK40" s="9"/>
      <c r="QL40" s="10"/>
      <c r="QM40" s="11"/>
      <c r="QN40" s="12"/>
      <c r="QO40" s="12"/>
      <c r="QP40" s="12"/>
      <c r="QQ40" s="13"/>
      <c r="QR40" s="9"/>
      <c r="QS40" s="9"/>
      <c r="QT40" s="9"/>
      <c r="QU40" s="9"/>
      <c r="QV40" s="10"/>
      <c r="QW40" s="11"/>
      <c r="QX40" s="12"/>
      <c r="QY40" s="12"/>
      <c r="QZ40" s="12"/>
      <c r="RA40" s="13"/>
      <c r="RB40" s="9"/>
      <c r="RC40" s="9"/>
      <c r="RD40" s="9"/>
      <c r="RE40" s="9"/>
      <c r="RF40" s="10"/>
      <c r="RG40" s="11"/>
      <c r="RH40" s="12"/>
      <c r="RI40" s="12"/>
      <c r="RJ40" s="12"/>
      <c r="RK40" s="13"/>
      <c r="RL40" s="9"/>
      <c r="RM40" s="9"/>
      <c r="RN40" s="9"/>
      <c r="RO40" s="9"/>
      <c r="RP40" s="10"/>
      <c r="RQ40" s="11"/>
      <c r="RR40" s="12"/>
      <c r="RS40" s="12"/>
      <c r="RT40" s="12"/>
      <c r="RU40" s="13"/>
      <c r="RV40" s="9"/>
      <c r="RW40" s="9"/>
      <c r="RX40" s="9"/>
      <c r="RY40" s="9"/>
      <c r="RZ40" s="10"/>
      <c r="SA40" s="11"/>
      <c r="SB40" s="12"/>
      <c r="SC40" s="12"/>
      <c r="SD40" s="12"/>
      <c r="SE40" s="13"/>
      <c r="SF40" s="9"/>
      <c r="SG40" s="9"/>
      <c r="SH40" s="9"/>
      <c r="SI40" s="9"/>
      <c r="SJ40" s="10"/>
      <c r="SK40" s="11"/>
      <c r="SL40" s="12"/>
      <c r="SM40" s="12"/>
      <c r="SN40" s="12"/>
      <c r="SO40" s="13"/>
      <c r="SP40" s="9"/>
      <c r="SQ40" s="9"/>
      <c r="SR40" s="9"/>
      <c r="SS40" s="9"/>
      <c r="ST40" s="10"/>
      <c r="SU40" s="11"/>
      <c r="SV40" s="12"/>
      <c r="SW40" s="12"/>
      <c r="SX40" s="12"/>
      <c r="SY40" s="13"/>
      <c r="SZ40" s="9"/>
      <c r="TA40" s="9"/>
      <c r="TB40" s="9"/>
      <c r="TC40" s="9"/>
      <c r="TD40" s="10"/>
      <c r="TE40" s="11"/>
      <c r="TF40" s="12"/>
      <c r="TG40" s="12"/>
      <c r="TH40" s="12"/>
      <c r="TI40" s="13"/>
      <c r="TJ40" s="9"/>
      <c r="TK40" s="9"/>
      <c r="TL40" s="9"/>
      <c r="TM40" s="9"/>
      <c r="TN40" s="10"/>
      <c r="TO40" s="11"/>
      <c r="TP40" s="12"/>
      <c r="TQ40" s="12"/>
      <c r="TR40" s="12"/>
      <c r="TS40" s="13"/>
      <c r="TT40" s="9"/>
      <c r="TU40" s="9"/>
      <c r="TV40" s="9"/>
      <c r="TW40" s="9"/>
      <c r="TX40" s="10"/>
      <c r="TY40" s="11"/>
      <c r="TZ40" s="12"/>
      <c r="UA40" s="12"/>
      <c r="UB40" s="12"/>
      <c r="UC40" s="13"/>
      <c r="UD40" s="9"/>
      <c r="UE40" s="9"/>
      <c r="UF40" s="9"/>
      <c r="UG40" s="9"/>
      <c r="UH40" s="10"/>
      <c r="UI40" s="11"/>
      <c r="UJ40" s="12"/>
      <c r="UK40" s="12"/>
      <c r="UL40" s="12"/>
      <c r="UM40" s="13"/>
      <c r="UN40" s="9"/>
      <c r="UO40" s="9"/>
      <c r="UP40" s="9"/>
      <c r="UQ40" s="9"/>
      <c r="UR40" s="10"/>
      <c r="US40" s="11"/>
      <c r="UT40" s="12"/>
      <c r="UU40" s="12"/>
      <c r="UV40" s="12"/>
      <c r="UW40" s="13"/>
      <c r="UX40" s="9"/>
      <c r="UY40" s="9"/>
      <c r="UZ40" s="9"/>
      <c r="VA40" s="9"/>
      <c r="VB40" s="10"/>
      <c r="VC40" s="11"/>
      <c r="VD40" s="12"/>
      <c r="VE40" s="12"/>
      <c r="VF40" s="12"/>
      <c r="VG40" s="13"/>
      <c r="VH40" s="9"/>
      <c r="VI40" s="9"/>
      <c r="VJ40" s="9"/>
      <c r="VK40" s="9"/>
      <c r="VL40" s="10"/>
      <c r="VM40" s="11"/>
      <c r="VN40" s="12"/>
      <c r="VO40" s="12"/>
      <c r="VP40" s="12"/>
      <c r="VQ40" s="13"/>
      <c r="VR40" s="9"/>
      <c r="VS40" s="9"/>
      <c r="VT40" s="9"/>
      <c r="VU40" s="9"/>
      <c r="VV40" s="10"/>
      <c r="VW40" s="11"/>
      <c r="VX40" s="12"/>
      <c r="VY40" s="12"/>
      <c r="VZ40" s="12"/>
      <c r="WA40" s="13"/>
      <c r="WB40" s="9"/>
      <c r="WC40" s="9"/>
      <c r="WD40" s="9"/>
      <c r="WE40" s="9"/>
      <c r="WF40" s="10"/>
      <c r="WG40" s="11"/>
      <c r="WH40" s="12"/>
      <c r="WI40" s="12"/>
      <c r="WJ40" s="12"/>
      <c r="WK40" s="13"/>
      <c r="WL40" s="9"/>
      <c r="WM40" s="9"/>
      <c r="WN40" s="9"/>
      <c r="WO40" s="9"/>
      <c r="WP40" s="10"/>
      <c r="WQ40" s="11"/>
      <c r="WR40" s="12"/>
      <c r="WS40" s="12"/>
      <c r="WT40" s="12"/>
      <c r="WU40" s="13"/>
      <c r="WV40" s="9"/>
      <c r="WW40" s="9"/>
      <c r="WX40" s="9"/>
      <c r="WY40" s="9"/>
      <c r="WZ40" s="10"/>
      <c r="XA40" s="11"/>
      <c r="XB40" s="12"/>
      <c r="XC40" s="12"/>
      <c r="XD40" s="12"/>
      <c r="XE40" s="13"/>
      <c r="XF40" s="9"/>
      <c r="XG40" s="9"/>
      <c r="XH40" s="9"/>
      <c r="XI40" s="9"/>
      <c r="XJ40" s="10"/>
      <c r="XK40" s="11"/>
      <c r="XL40" s="12"/>
      <c r="XM40" s="12"/>
      <c r="XN40" s="12"/>
      <c r="XO40" s="13"/>
      <c r="XP40" s="9"/>
      <c r="XQ40" s="9"/>
      <c r="XR40" s="9"/>
      <c r="XS40" s="9"/>
      <c r="XT40" s="10"/>
      <c r="XU40" s="11"/>
      <c r="XV40" s="12"/>
      <c r="XW40" s="12"/>
      <c r="XX40" s="12"/>
      <c r="XY40" s="13"/>
      <c r="XZ40" s="9"/>
      <c r="YA40" s="9"/>
      <c r="YB40" s="9"/>
      <c r="YC40" s="9"/>
      <c r="YD40" s="10"/>
      <c r="YE40" s="11"/>
      <c r="YF40" s="12"/>
      <c r="YG40" s="12"/>
      <c r="YH40" s="12"/>
      <c r="YI40" s="13"/>
      <c r="YJ40" s="9"/>
      <c r="YK40" s="9"/>
      <c r="YL40" s="9"/>
      <c r="YM40" s="9"/>
      <c r="YN40" s="10"/>
      <c r="YO40" s="11"/>
      <c r="YP40" s="12"/>
      <c r="YQ40" s="12"/>
      <c r="YR40" s="12"/>
      <c r="YS40" s="13"/>
      <c r="YT40" s="9"/>
      <c r="YU40" s="9"/>
      <c r="YV40" s="9"/>
      <c r="YW40" s="9"/>
      <c r="YX40" s="10"/>
      <c r="YY40" s="11"/>
      <c r="YZ40" s="12"/>
      <c r="ZA40" s="12"/>
      <c r="ZB40" s="12"/>
      <c r="ZC40" s="13"/>
      <c r="ZD40" s="9"/>
      <c r="ZE40" s="9"/>
      <c r="ZF40" s="9"/>
      <c r="ZG40" s="9"/>
      <c r="ZH40" s="10"/>
      <c r="ZI40" s="11"/>
      <c r="ZJ40" s="12"/>
      <c r="ZK40" s="12"/>
      <c r="ZL40" s="12"/>
      <c r="ZM40" s="13"/>
      <c r="ZN40" s="9"/>
      <c r="ZO40" s="9"/>
      <c r="ZP40" s="9"/>
      <c r="ZQ40" s="9"/>
      <c r="ZR40" s="10"/>
      <c r="ZS40" s="11"/>
      <c r="ZT40" s="12"/>
      <c r="ZU40" s="12"/>
      <c r="ZV40" s="12"/>
      <c r="ZW40" s="13"/>
      <c r="ZX40" s="9"/>
      <c r="ZY40" s="9"/>
      <c r="ZZ40" s="9"/>
      <c r="AAA40" s="9"/>
      <c r="AAB40" s="10"/>
      <c r="AAC40" s="11"/>
      <c r="AAD40" s="12"/>
      <c r="AAE40" s="12"/>
      <c r="AAF40" s="12"/>
      <c r="AAG40" s="13"/>
      <c r="AAH40" s="9"/>
      <c r="AAI40" s="9"/>
      <c r="AAJ40" s="9"/>
      <c r="AAK40" s="9"/>
      <c r="AAL40" s="10"/>
      <c r="AAM40" s="11"/>
      <c r="AAN40" s="12"/>
      <c r="AAO40" s="12"/>
      <c r="AAP40" s="12"/>
      <c r="AAQ40" s="13"/>
      <c r="AAR40" s="9"/>
      <c r="AAS40" s="9"/>
      <c r="AAT40" s="9"/>
      <c r="AAU40" s="9"/>
      <c r="AAV40" s="10"/>
      <c r="AAW40" s="11"/>
      <c r="AAX40" s="12"/>
      <c r="AAY40" s="12"/>
      <c r="AAZ40" s="12"/>
      <c r="ABA40" s="13"/>
      <c r="ABB40" s="9"/>
      <c r="ABC40" s="9"/>
      <c r="ABD40" s="9"/>
      <c r="ABE40" s="9"/>
      <c r="ABF40" s="10"/>
      <c r="ABG40" s="11"/>
      <c r="ABH40" s="12"/>
      <c r="ABI40" s="12"/>
      <c r="ABJ40" s="12"/>
      <c r="ABK40" s="13"/>
      <c r="ABL40" s="9"/>
      <c r="ABM40" s="9"/>
      <c r="ABN40" s="9"/>
      <c r="ABO40" s="9"/>
      <c r="ABP40" s="10"/>
      <c r="ABQ40" s="11"/>
      <c r="ABR40" s="12"/>
      <c r="ABS40" s="12"/>
      <c r="ABT40" s="12"/>
      <c r="ABU40" s="13"/>
      <c r="ABV40" s="9"/>
      <c r="ABW40" s="9"/>
      <c r="ABX40" s="9"/>
      <c r="ABY40" s="9"/>
      <c r="ABZ40" s="10"/>
      <c r="ACA40" s="11"/>
      <c r="ACB40" s="12"/>
      <c r="ACC40" s="12"/>
      <c r="ACD40" s="12"/>
      <c r="ACE40" s="13"/>
      <c r="ACF40" s="9"/>
      <c r="ACG40" s="9"/>
      <c r="ACH40" s="9"/>
      <c r="ACI40" s="9"/>
      <c r="ACJ40" s="10"/>
      <c r="ACK40" s="11"/>
      <c r="ACL40" s="12"/>
      <c r="ACM40" s="12"/>
      <c r="ACN40" s="12"/>
      <c r="ACO40" s="13"/>
      <c r="ACP40" s="9"/>
      <c r="ACQ40" s="9"/>
      <c r="ACR40" s="9"/>
      <c r="ACS40" s="9"/>
      <c r="ACT40" s="10"/>
      <c r="ACU40" s="11"/>
      <c r="ACV40" s="12"/>
      <c r="ACW40" s="12"/>
      <c r="ACX40" s="12"/>
      <c r="ACY40" s="13"/>
      <c r="ACZ40" s="9"/>
      <c r="ADA40" s="9"/>
      <c r="ADB40" s="9"/>
      <c r="ADC40" s="9"/>
      <c r="ADD40" s="10"/>
      <c r="ADE40" s="11"/>
      <c r="ADF40" s="12"/>
      <c r="ADG40" s="12"/>
      <c r="ADH40" s="12"/>
      <c r="ADI40" s="13"/>
      <c r="ADJ40" s="9"/>
      <c r="ADK40" s="9"/>
      <c r="ADL40" s="9"/>
      <c r="ADM40" s="9"/>
      <c r="ADN40" s="10"/>
      <c r="ADO40" s="11"/>
      <c r="ADP40" s="12"/>
      <c r="ADQ40" s="12"/>
      <c r="ADR40" s="12"/>
      <c r="ADS40" s="13"/>
      <c r="ADT40" s="9"/>
      <c r="ADU40" s="9"/>
      <c r="ADV40" s="9"/>
      <c r="ADW40" s="9"/>
      <c r="ADX40" s="10"/>
      <c r="ADY40" s="11"/>
      <c r="ADZ40" s="12"/>
      <c r="AEA40" s="12"/>
      <c r="AEB40" s="12"/>
      <c r="AEC40" s="13"/>
      <c r="AED40" s="9"/>
      <c r="AEE40" s="9"/>
      <c r="AEF40" s="9"/>
      <c r="AEG40" s="9"/>
      <c r="AEH40" s="10"/>
      <c r="AEI40" s="11"/>
      <c r="AEJ40" s="12"/>
      <c r="AEK40" s="12"/>
      <c r="AEL40" s="12"/>
      <c r="AEM40" s="13"/>
      <c r="AEN40" s="9"/>
      <c r="AEO40" s="9"/>
      <c r="AEP40" s="9"/>
      <c r="AEQ40" s="9"/>
      <c r="AER40" s="10"/>
      <c r="AES40" s="11"/>
      <c r="AET40" s="12"/>
      <c r="AEU40" s="12"/>
      <c r="AEV40" s="12"/>
      <c r="AEW40" s="13"/>
      <c r="AEX40" s="9"/>
      <c r="AEY40" s="9"/>
      <c r="AEZ40" s="9"/>
      <c r="AFA40" s="9"/>
      <c r="AFB40" s="10"/>
      <c r="AFC40" s="11"/>
      <c r="AFD40" s="12"/>
      <c r="AFE40" s="12"/>
      <c r="AFF40" s="12"/>
      <c r="AFG40" s="13"/>
      <c r="AFH40" s="9"/>
      <c r="AFI40" s="9"/>
      <c r="AFJ40" s="9"/>
      <c r="AFK40" s="9"/>
      <c r="AFL40" s="10"/>
      <c r="AFM40" s="11"/>
      <c r="AFN40" s="12"/>
      <c r="AFO40" s="12"/>
      <c r="AFP40" s="12"/>
      <c r="AFQ40" s="13"/>
      <c r="AFR40" s="9"/>
      <c r="AFS40" s="9"/>
      <c r="AFT40" s="9"/>
      <c r="AFU40" s="9"/>
      <c r="AFV40" s="10"/>
      <c r="AFW40" s="11"/>
      <c r="AFX40" s="12"/>
      <c r="AFY40" s="12"/>
      <c r="AFZ40" s="12"/>
      <c r="AGA40" s="13"/>
      <c r="AGB40" s="9"/>
      <c r="AGC40" s="9"/>
      <c r="AGD40" s="9"/>
      <c r="AGE40" s="9"/>
      <c r="AGF40" s="10"/>
      <c r="AGG40" s="11"/>
      <c r="AGH40" s="12"/>
      <c r="AGI40" s="12"/>
      <c r="AGJ40" s="12"/>
      <c r="AGK40" s="13"/>
      <c r="AGL40" s="9"/>
      <c r="AGM40" s="9"/>
      <c r="AGN40" s="9"/>
      <c r="AGO40" s="9"/>
      <c r="AGP40" s="10"/>
      <c r="AGQ40" s="11"/>
      <c r="AGR40" s="12"/>
      <c r="AGS40" s="12"/>
      <c r="AGT40" s="12"/>
      <c r="AGU40" s="13"/>
      <c r="AGV40" s="9"/>
      <c r="AGW40" s="9"/>
      <c r="AGX40" s="9"/>
      <c r="AGY40" s="9"/>
      <c r="AGZ40" s="10"/>
      <c r="AHA40" s="11"/>
      <c r="AHB40" s="12"/>
      <c r="AHC40" s="12"/>
      <c r="AHD40" s="12"/>
      <c r="AHE40" s="13"/>
      <c r="AHF40" s="9"/>
      <c r="AHG40" s="9"/>
      <c r="AHH40" s="9"/>
      <c r="AHI40" s="9"/>
      <c r="AHJ40" s="10"/>
      <c r="AHK40" s="11"/>
      <c r="AHL40" s="12"/>
      <c r="AHM40" s="12"/>
      <c r="AHN40" s="12"/>
      <c r="AHO40" s="13"/>
      <c r="AHP40" s="9"/>
      <c r="AHQ40" s="9"/>
      <c r="AHR40" s="9"/>
      <c r="AHS40" s="9"/>
      <c r="AHT40" s="10"/>
      <c r="AHU40" s="11"/>
      <c r="AHV40" s="12"/>
      <c r="AHW40" s="12"/>
      <c r="AHX40" s="12"/>
      <c r="AHY40" s="13"/>
      <c r="AHZ40" s="9"/>
      <c r="AIA40" s="9"/>
      <c r="AIB40" s="9"/>
      <c r="AIC40" s="9"/>
      <c r="AID40" s="10"/>
      <c r="AIE40" s="11"/>
      <c r="AIF40" s="12"/>
      <c r="AIG40" s="12"/>
      <c r="AIH40" s="12"/>
      <c r="AII40" s="13"/>
      <c r="AIJ40" s="9"/>
      <c r="AIK40" s="9"/>
      <c r="AIL40" s="9"/>
      <c r="AIM40" s="9"/>
      <c r="AIN40" s="10"/>
      <c r="AIO40" s="11"/>
      <c r="AIP40" s="12"/>
      <c r="AIQ40" s="12"/>
      <c r="AIR40" s="12"/>
      <c r="AIS40" s="13"/>
      <c r="AIT40" s="9"/>
      <c r="AIU40" s="9"/>
      <c r="AIV40" s="9"/>
      <c r="AIW40" s="9"/>
      <c r="AIX40" s="10"/>
      <c r="AIY40" s="11"/>
      <c r="AIZ40" s="12"/>
      <c r="AJA40" s="12"/>
      <c r="AJB40" s="12"/>
      <c r="AJC40" s="13"/>
      <c r="AJD40" s="9"/>
      <c r="AJE40" s="9"/>
      <c r="AJF40" s="9"/>
      <c r="AJG40" s="9"/>
      <c r="AJH40" s="10"/>
      <c r="AJI40" s="11"/>
      <c r="AJJ40" s="12"/>
      <c r="AJK40" s="12"/>
      <c r="AJL40" s="12"/>
      <c r="AJM40" s="13"/>
      <c r="AJN40" s="9"/>
      <c r="AJO40" s="9"/>
      <c r="AJP40" s="9"/>
      <c r="AJQ40" s="9"/>
      <c r="AJR40" s="10"/>
      <c r="AJS40" s="11"/>
      <c r="AJT40" s="12"/>
      <c r="AJU40" s="12"/>
      <c r="AJV40" s="12"/>
      <c r="AJW40" s="13"/>
      <c r="AJX40" s="9"/>
      <c r="AJY40" s="9"/>
      <c r="AJZ40" s="9"/>
      <c r="AKA40" s="9"/>
      <c r="AKB40" s="10"/>
      <c r="AKC40" s="11"/>
      <c r="AKD40" s="12"/>
      <c r="AKE40" s="12"/>
      <c r="AKF40" s="12"/>
      <c r="AKG40" s="13"/>
      <c r="AKH40" s="9"/>
      <c r="AKI40" s="9"/>
      <c r="AKJ40" s="9"/>
      <c r="AKK40" s="9"/>
      <c r="AKL40" s="10"/>
      <c r="AKM40" s="11"/>
      <c r="AKN40" s="12"/>
      <c r="AKO40" s="12"/>
      <c r="AKP40" s="12"/>
      <c r="AKQ40" s="13"/>
      <c r="AKR40" s="9"/>
      <c r="AKS40" s="9"/>
      <c r="AKT40" s="9"/>
      <c r="AKU40" s="9"/>
      <c r="AKV40" s="10"/>
      <c r="AKW40" s="11"/>
      <c r="AKX40" s="12"/>
      <c r="AKY40" s="12"/>
      <c r="AKZ40" s="12"/>
      <c r="ALA40" s="13"/>
      <c r="ALB40" s="9"/>
      <c r="ALC40" s="9"/>
      <c r="ALD40" s="9"/>
      <c r="ALE40" s="9"/>
      <c r="ALF40" s="10"/>
      <c r="ALG40" s="11"/>
      <c r="ALH40" s="12"/>
      <c r="ALI40" s="12"/>
      <c r="ALJ40" s="12"/>
      <c r="ALK40" s="13"/>
      <c r="ALL40" s="9"/>
      <c r="ALM40" s="9"/>
      <c r="ALN40" s="9"/>
      <c r="ALO40" s="9"/>
      <c r="ALP40" s="10"/>
      <c r="ALQ40" s="11"/>
      <c r="ALR40" s="12"/>
      <c r="ALS40" s="12"/>
      <c r="ALT40" s="12"/>
      <c r="ALU40" s="13"/>
      <c r="ALV40" s="9"/>
      <c r="ALW40" s="9"/>
      <c r="ALX40" s="9"/>
      <c r="ALY40" s="9"/>
      <c r="ALZ40" s="10"/>
      <c r="AMA40" s="11"/>
      <c r="AMB40" s="12"/>
      <c r="AMC40" s="12"/>
      <c r="AMD40" s="12"/>
      <c r="AME40" s="13"/>
      <c r="AMF40" s="9"/>
      <c r="AMG40" s="9"/>
      <c r="AMH40" s="9"/>
      <c r="AMI40" s="9"/>
      <c r="AMJ40" s="10"/>
      <c r="AMK40" s="11"/>
      <c r="AML40" s="12"/>
      <c r="AMM40" s="12"/>
      <c r="AMN40" s="12"/>
      <c r="AMO40" s="13"/>
      <c r="AMP40" s="9"/>
      <c r="AMQ40" s="9"/>
      <c r="AMR40" s="9"/>
      <c r="AMS40" s="9"/>
      <c r="AMT40" s="10"/>
      <c r="AMU40" s="11"/>
      <c r="AMV40" s="12"/>
      <c r="AMW40" s="12"/>
      <c r="AMX40" s="12"/>
      <c r="AMY40" s="13"/>
      <c r="AMZ40" s="9"/>
      <c r="ANA40" s="9"/>
      <c r="ANB40" s="9"/>
      <c r="ANC40" s="9"/>
      <c r="AND40" s="10"/>
      <c r="ANE40" s="11"/>
      <c r="ANF40" s="12"/>
      <c r="ANG40" s="12"/>
      <c r="ANH40" s="12"/>
      <c r="ANI40" s="13"/>
      <c r="ANJ40" s="9"/>
      <c r="ANK40" s="9"/>
      <c r="ANL40" s="9"/>
      <c r="ANM40" s="9"/>
      <c r="ANN40" s="10"/>
      <c r="ANO40" s="11"/>
      <c r="ANP40" s="12"/>
      <c r="ANQ40" s="12"/>
      <c r="ANR40" s="12"/>
      <c r="ANS40" s="13"/>
      <c r="ANT40" s="9"/>
      <c r="ANU40" s="9"/>
      <c r="ANV40" s="9"/>
      <c r="ANW40" s="9"/>
      <c r="ANX40" s="10"/>
      <c r="ANY40" s="11"/>
      <c r="ANZ40" s="12"/>
      <c r="AOA40" s="12"/>
      <c r="AOB40" s="12"/>
      <c r="AOC40" s="13"/>
      <c r="AOD40" s="9"/>
      <c r="AOE40" s="9"/>
      <c r="AOF40" s="9"/>
      <c r="AOG40" s="9"/>
      <c r="AOH40" s="10"/>
      <c r="AOI40" s="11"/>
      <c r="AOJ40" s="12"/>
      <c r="AOK40" s="12"/>
      <c r="AOL40" s="12"/>
      <c r="AOM40" s="13"/>
      <c r="AON40" s="9"/>
      <c r="AOO40" s="9"/>
      <c r="AOP40" s="9"/>
      <c r="AOQ40" s="9"/>
      <c r="AOR40" s="10"/>
      <c r="AOS40" s="11"/>
      <c r="AOT40" s="12"/>
      <c r="AOU40" s="12"/>
      <c r="AOV40" s="12"/>
      <c r="AOW40" s="13"/>
      <c r="AOX40" s="9"/>
      <c r="AOY40" s="9"/>
      <c r="AOZ40" s="9"/>
      <c r="APA40" s="9"/>
      <c r="APB40" s="10"/>
      <c r="APC40" s="11"/>
      <c r="APD40" s="12"/>
      <c r="APE40" s="12"/>
      <c r="APF40" s="12"/>
      <c r="APG40" s="13"/>
      <c r="APH40" s="9"/>
      <c r="API40" s="9"/>
      <c r="APJ40" s="9"/>
      <c r="APK40" s="9"/>
      <c r="APL40" s="10"/>
      <c r="APM40" s="11"/>
      <c r="APN40" s="12"/>
      <c r="APO40" s="12"/>
      <c r="APP40" s="12"/>
      <c r="APQ40" s="13"/>
      <c r="APR40" s="9"/>
      <c r="APS40" s="9"/>
      <c r="APT40" s="9"/>
      <c r="APU40" s="9"/>
      <c r="APV40" s="10"/>
      <c r="APW40" s="11"/>
      <c r="APX40" s="12"/>
      <c r="APY40" s="12"/>
      <c r="APZ40" s="12"/>
      <c r="AQA40" s="13"/>
      <c r="AQB40" s="9"/>
      <c r="AQC40" s="9"/>
      <c r="AQD40" s="9"/>
      <c r="AQE40" s="9"/>
      <c r="AQF40" s="10"/>
      <c r="AQG40" s="11"/>
      <c r="AQH40" s="12"/>
      <c r="AQI40" s="12"/>
      <c r="AQJ40" s="12"/>
      <c r="AQK40" s="13"/>
      <c r="AQL40" s="9"/>
      <c r="AQM40" s="9"/>
      <c r="AQN40" s="9"/>
      <c r="AQO40" s="9"/>
      <c r="AQP40" s="10"/>
      <c r="AQQ40" s="11"/>
      <c r="AQR40" s="12"/>
      <c r="AQS40" s="12"/>
      <c r="AQT40" s="12"/>
      <c r="AQU40" s="13"/>
      <c r="AQV40" s="9"/>
      <c r="AQW40" s="9"/>
      <c r="AQX40" s="9"/>
      <c r="AQY40" s="9"/>
      <c r="AQZ40" s="10"/>
      <c r="ARA40" s="11"/>
      <c r="ARB40" s="12"/>
      <c r="ARC40" s="12"/>
      <c r="ARD40" s="12"/>
      <c r="ARE40" s="13"/>
      <c r="ARF40" s="9"/>
      <c r="ARG40" s="9"/>
      <c r="ARH40" s="9"/>
      <c r="ARI40" s="9"/>
      <c r="ARJ40" s="10"/>
      <c r="ARK40" s="11"/>
      <c r="ARL40" s="12"/>
      <c r="ARM40" s="12"/>
      <c r="ARN40" s="12"/>
      <c r="ARO40" s="13"/>
      <c r="ARP40" s="9"/>
      <c r="ARQ40" s="9"/>
      <c r="ARR40" s="9"/>
      <c r="ARS40" s="9"/>
      <c r="ART40" s="10"/>
      <c r="ARU40" s="11"/>
      <c r="ARV40" s="12"/>
      <c r="ARW40" s="12"/>
      <c r="ARX40" s="12"/>
      <c r="ARY40" s="13"/>
      <c r="ARZ40" s="9"/>
      <c r="ASA40" s="9"/>
      <c r="ASB40" s="9"/>
      <c r="ASC40" s="9"/>
      <c r="ASD40" s="10"/>
      <c r="ASE40" s="11"/>
      <c r="ASF40" s="12"/>
      <c r="ASG40" s="12"/>
      <c r="ASH40" s="12"/>
      <c r="ASI40" s="13"/>
      <c r="ASJ40" s="9"/>
      <c r="ASK40" s="9"/>
      <c r="ASL40" s="9"/>
      <c r="ASM40" s="9"/>
      <c r="ASN40" s="10"/>
      <c r="ASO40" s="11"/>
      <c r="ASP40" s="12"/>
      <c r="ASQ40" s="12"/>
      <c r="ASR40" s="12"/>
      <c r="ASS40" s="13"/>
      <c r="AST40" s="9"/>
      <c r="ASU40" s="9"/>
      <c r="ASV40" s="9"/>
      <c r="ASW40" s="9"/>
      <c r="ASX40" s="10"/>
      <c r="ASY40" s="11"/>
      <c r="ASZ40" s="12"/>
      <c r="ATA40" s="12"/>
      <c r="ATB40" s="12"/>
      <c r="ATC40" s="13"/>
      <c r="ATD40" s="9"/>
      <c r="ATE40" s="9"/>
      <c r="ATF40" s="9"/>
      <c r="ATG40" s="9"/>
      <c r="ATH40" s="10"/>
      <c r="ATI40" s="11"/>
      <c r="ATJ40" s="12"/>
      <c r="ATK40" s="12"/>
      <c r="ATL40" s="12"/>
      <c r="ATM40" s="13"/>
      <c r="ATN40" s="9"/>
      <c r="ATO40" s="9"/>
      <c r="ATP40" s="9"/>
      <c r="ATQ40" s="9"/>
      <c r="ATR40" s="10"/>
      <c r="ATS40" s="11"/>
      <c r="ATT40" s="12"/>
      <c r="ATU40" s="12"/>
      <c r="ATV40" s="12"/>
      <c r="ATW40" s="13"/>
      <c r="ATX40" s="9"/>
      <c r="ATY40" s="9"/>
      <c r="ATZ40" s="9"/>
      <c r="AUA40" s="9"/>
      <c r="AUB40" s="10"/>
      <c r="AUC40" s="11"/>
      <c r="AUD40" s="12"/>
      <c r="AUE40" s="12"/>
      <c r="AUF40" s="12"/>
      <c r="AUG40" s="13"/>
      <c r="AUH40" s="9"/>
      <c r="AUI40" s="9"/>
      <c r="AUJ40" s="9"/>
      <c r="AUK40" s="9"/>
      <c r="AUL40" s="10"/>
      <c r="AUM40" s="11"/>
      <c r="AUN40" s="12"/>
      <c r="AUO40" s="12"/>
      <c r="AUP40" s="12"/>
      <c r="AUQ40" s="13"/>
      <c r="AUR40" s="9"/>
      <c r="AUS40" s="9"/>
      <c r="AUT40" s="9"/>
      <c r="AUU40" s="9"/>
      <c r="AUV40" s="10"/>
      <c r="AUW40" s="11"/>
      <c r="AUX40" s="12"/>
      <c r="AUY40" s="12"/>
      <c r="AUZ40" s="12"/>
      <c r="AVA40" s="13"/>
      <c r="AVB40" s="9"/>
      <c r="AVC40" s="9"/>
      <c r="AVD40" s="9"/>
      <c r="AVE40" s="9"/>
      <c r="AVF40" s="10"/>
      <c r="AVG40" s="11"/>
      <c r="AVH40" s="12"/>
      <c r="AVI40" s="12"/>
      <c r="AVJ40" s="12"/>
      <c r="AVK40" s="13"/>
      <c r="AVL40" s="9"/>
      <c r="AVM40" s="9"/>
      <c r="AVN40" s="9"/>
      <c r="AVO40" s="9"/>
      <c r="AVP40" s="10"/>
      <c r="AVQ40" s="11"/>
      <c r="AVR40" s="12"/>
      <c r="AVS40" s="12"/>
      <c r="AVT40" s="12"/>
      <c r="AVU40" s="13"/>
      <c r="AVV40" s="9"/>
      <c r="AVW40" s="9"/>
      <c r="AVX40" s="9"/>
      <c r="AVY40" s="9"/>
      <c r="AVZ40" s="10"/>
      <c r="AWA40" s="11"/>
      <c r="AWB40" s="12"/>
      <c r="AWC40" s="12"/>
      <c r="AWD40" s="12"/>
      <c r="AWE40" s="13"/>
      <c r="AWF40" s="9"/>
      <c r="AWG40" s="9"/>
      <c r="AWH40" s="9"/>
      <c r="AWI40" s="9"/>
      <c r="AWJ40" s="10"/>
      <c r="AWK40" s="11"/>
      <c r="AWL40" s="12"/>
      <c r="AWM40" s="12"/>
      <c r="AWN40" s="12"/>
      <c r="AWO40" s="13"/>
      <c r="AWP40" s="9"/>
      <c r="AWQ40" s="9"/>
      <c r="AWR40" s="9"/>
      <c r="AWS40" s="9"/>
      <c r="AWT40" s="10"/>
      <c r="AWU40" s="11"/>
      <c r="AWV40" s="12"/>
      <c r="AWW40" s="12"/>
      <c r="AWX40" s="12"/>
      <c r="AWY40" s="13"/>
      <c r="AWZ40" s="9"/>
      <c r="AXA40" s="9"/>
      <c r="AXB40" s="9"/>
      <c r="AXC40" s="9"/>
      <c r="AXD40" s="10"/>
      <c r="AXE40" s="11"/>
      <c r="AXF40" s="12"/>
      <c r="AXG40" s="12"/>
      <c r="AXH40" s="12"/>
      <c r="AXI40" s="13"/>
      <c r="AXJ40" s="9"/>
      <c r="AXK40" s="9"/>
      <c r="AXL40" s="9"/>
      <c r="AXM40" s="9"/>
      <c r="AXN40" s="10"/>
      <c r="AXO40" s="11"/>
      <c r="AXP40" s="12"/>
      <c r="AXQ40" s="12"/>
      <c r="AXR40" s="12"/>
      <c r="AXS40" s="13"/>
      <c r="AXT40" s="9"/>
      <c r="AXU40" s="9"/>
      <c r="AXV40" s="9"/>
      <c r="AXW40" s="9"/>
      <c r="AXX40" s="10"/>
      <c r="AXY40" s="11"/>
      <c r="AXZ40" s="12"/>
      <c r="AYA40" s="12"/>
      <c r="AYB40" s="12"/>
      <c r="AYC40" s="13"/>
      <c r="AYD40" s="9"/>
      <c r="AYE40" s="9"/>
      <c r="AYF40" s="9"/>
      <c r="AYG40" s="9"/>
      <c r="AYH40" s="10"/>
      <c r="AYI40" s="11"/>
      <c r="AYJ40" s="12"/>
      <c r="AYK40" s="12"/>
      <c r="AYL40" s="12"/>
      <c r="AYM40" s="13"/>
      <c r="AYN40" s="9"/>
      <c r="AYO40" s="9"/>
      <c r="AYP40" s="9"/>
      <c r="AYQ40" s="9"/>
      <c r="AYR40" s="10"/>
      <c r="AYS40" s="11"/>
      <c r="AYT40" s="12"/>
      <c r="AYU40" s="12"/>
      <c r="AYV40" s="12"/>
      <c r="AYW40" s="13"/>
      <c r="AYX40" s="9"/>
      <c r="AYY40" s="9"/>
      <c r="AYZ40" s="9"/>
      <c r="AZA40" s="9"/>
      <c r="AZB40" s="10"/>
      <c r="AZC40" s="11"/>
      <c r="AZD40" s="12"/>
      <c r="AZE40" s="12"/>
      <c r="AZF40" s="12"/>
      <c r="AZG40" s="13"/>
      <c r="AZH40" s="9"/>
      <c r="AZI40" s="9"/>
      <c r="AZJ40" s="9"/>
      <c r="AZK40" s="9"/>
      <c r="AZL40" s="10"/>
      <c r="AZM40" s="11"/>
      <c r="AZN40" s="12"/>
      <c r="AZO40" s="12"/>
      <c r="AZP40" s="12"/>
      <c r="AZQ40" s="13"/>
      <c r="AZR40" s="9"/>
      <c r="AZS40" s="9"/>
      <c r="AZT40" s="9"/>
      <c r="AZU40" s="9"/>
      <c r="AZV40" s="10"/>
      <c r="AZW40" s="11"/>
      <c r="AZX40" s="12"/>
      <c r="AZY40" s="12"/>
      <c r="AZZ40" s="12"/>
      <c r="BAA40" s="13"/>
      <c r="BAB40" s="9"/>
      <c r="BAC40" s="9"/>
      <c r="BAD40" s="9"/>
      <c r="BAE40" s="9"/>
      <c r="BAF40" s="10"/>
      <c r="BAG40" s="11"/>
      <c r="BAH40" s="12"/>
      <c r="BAI40" s="12"/>
      <c r="BAJ40" s="12"/>
      <c r="BAK40" s="13"/>
      <c r="BAL40" s="9"/>
      <c r="BAM40" s="9"/>
      <c r="BAN40" s="9"/>
      <c r="BAO40" s="9"/>
      <c r="BAP40" s="10"/>
      <c r="BAQ40" s="11"/>
      <c r="BAR40" s="12"/>
      <c r="BAS40" s="12"/>
      <c r="BAT40" s="12"/>
      <c r="BAU40" s="13"/>
      <c r="BAV40" s="9"/>
      <c r="BAW40" s="9"/>
      <c r="BAX40" s="9"/>
      <c r="BAY40" s="9"/>
      <c r="BAZ40" s="10"/>
      <c r="BBA40" s="11"/>
      <c r="BBB40" s="12"/>
      <c r="BBC40" s="12"/>
      <c r="BBD40" s="12"/>
      <c r="BBE40" s="13"/>
      <c r="BBF40" s="9"/>
      <c r="BBG40" s="9"/>
      <c r="BBH40" s="9"/>
      <c r="BBI40" s="9"/>
      <c r="BBJ40" s="10"/>
      <c r="BBK40" s="11"/>
      <c r="BBL40" s="12"/>
      <c r="BBM40" s="12"/>
      <c r="BBN40" s="12"/>
      <c r="BBO40" s="13"/>
      <c r="BBP40" s="9"/>
      <c r="BBQ40" s="9"/>
      <c r="BBR40" s="9"/>
      <c r="BBS40" s="9"/>
      <c r="BBT40" s="10"/>
      <c r="BBU40" s="11"/>
      <c r="BBV40" s="12"/>
      <c r="BBW40" s="12"/>
      <c r="BBX40" s="12"/>
      <c r="BBY40" s="13"/>
      <c r="BBZ40" s="9"/>
      <c r="BCA40" s="9"/>
      <c r="BCB40" s="9"/>
      <c r="BCC40" s="9"/>
      <c r="BCD40" s="10"/>
      <c r="BCE40" s="11"/>
      <c r="BCF40" s="12"/>
      <c r="BCG40" s="12"/>
      <c r="BCH40" s="12"/>
      <c r="BCI40" s="13"/>
      <c r="BCJ40" s="9"/>
      <c r="BCK40" s="9"/>
      <c r="BCL40" s="9"/>
      <c r="BCM40" s="9"/>
      <c r="BCN40" s="10"/>
      <c r="BCO40" s="11"/>
      <c r="BCP40" s="12"/>
      <c r="BCQ40" s="12"/>
      <c r="BCR40" s="12"/>
      <c r="BCS40" s="13"/>
      <c r="BCT40" s="9"/>
      <c r="BCU40" s="9"/>
      <c r="BCV40" s="9"/>
      <c r="BCW40" s="9"/>
      <c r="BCX40" s="10"/>
      <c r="BCY40" s="11"/>
      <c r="BCZ40" s="12"/>
      <c r="BDA40" s="12"/>
      <c r="BDB40" s="12"/>
      <c r="BDC40" s="13"/>
      <c r="BDD40" s="9"/>
      <c r="BDE40" s="9"/>
      <c r="BDF40" s="9"/>
      <c r="BDG40" s="9"/>
      <c r="BDH40" s="10"/>
      <c r="BDI40" s="11"/>
      <c r="BDJ40" s="12"/>
      <c r="BDK40" s="12"/>
      <c r="BDL40" s="12"/>
      <c r="BDM40" s="13"/>
      <c r="BDN40" s="9"/>
      <c r="BDO40" s="9"/>
      <c r="BDP40" s="9"/>
      <c r="BDQ40" s="9"/>
      <c r="BDR40" s="10"/>
      <c r="BDS40" s="11"/>
      <c r="BDT40" s="12"/>
      <c r="BDU40" s="12"/>
      <c r="BDV40" s="12"/>
      <c r="BDW40" s="13"/>
      <c r="BDX40" s="9"/>
      <c r="BDY40" s="9"/>
      <c r="BDZ40" s="9"/>
      <c r="BEA40" s="9"/>
      <c r="BEB40" s="10"/>
      <c r="BEC40" s="11"/>
      <c r="BED40" s="12"/>
      <c r="BEE40" s="12"/>
      <c r="BEF40" s="12"/>
      <c r="BEG40" s="13"/>
      <c r="BEH40" s="9"/>
      <c r="BEI40" s="9"/>
      <c r="BEJ40" s="9"/>
      <c r="BEK40" s="9"/>
      <c r="BEL40" s="10"/>
      <c r="BEM40" s="11"/>
      <c r="BEN40" s="12"/>
      <c r="BEO40" s="12"/>
      <c r="BEP40" s="12"/>
      <c r="BEQ40" s="13"/>
      <c r="BER40" s="9"/>
      <c r="BES40" s="9"/>
      <c r="BET40" s="9"/>
      <c r="BEU40" s="9"/>
      <c r="BEV40" s="10"/>
      <c r="BEW40" s="11"/>
      <c r="BEX40" s="12"/>
      <c r="BEY40" s="12"/>
      <c r="BEZ40" s="12"/>
      <c r="BFA40" s="13"/>
      <c r="BFB40" s="9"/>
      <c r="BFC40" s="9"/>
      <c r="BFD40" s="9"/>
      <c r="BFE40" s="9"/>
      <c r="BFF40" s="10"/>
      <c r="BFG40" s="11"/>
      <c r="BFH40" s="12"/>
      <c r="BFI40" s="12"/>
      <c r="BFJ40" s="12"/>
      <c r="BFK40" s="13"/>
      <c r="BFL40" s="9"/>
      <c r="BFM40" s="9"/>
      <c r="BFN40" s="9"/>
      <c r="BFO40" s="9"/>
      <c r="BFP40" s="10"/>
      <c r="BFQ40" s="11"/>
      <c r="BFR40" s="12"/>
      <c r="BFS40" s="12"/>
      <c r="BFT40" s="12"/>
      <c r="BFU40" s="13"/>
      <c r="BFV40" s="9"/>
      <c r="BFW40" s="9"/>
      <c r="BFX40" s="9"/>
      <c r="BFY40" s="9"/>
      <c r="BFZ40" s="10"/>
      <c r="BGA40" s="11"/>
      <c r="BGB40" s="12"/>
      <c r="BGC40" s="12"/>
      <c r="BGD40" s="12"/>
      <c r="BGE40" s="13"/>
      <c r="BGF40" s="9"/>
      <c r="BGG40" s="9"/>
      <c r="BGH40" s="9"/>
      <c r="BGI40" s="9"/>
      <c r="BGJ40" s="10"/>
      <c r="BGK40" s="11"/>
      <c r="BGL40" s="12"/>
      <c r="BGM40" s="12"/>
      <c r="BGN40" s="12"/>
      <c r="BGO40" s="13"/>
      <c r="BGP40" s="9"/>
      <c r="BGQ40" s="9"/>
      <c r="BGR40" s="9"/>
      <c r="BGS40" s="9"/>
      <c r="BGT40" s="10"/>
      <c r="BGU40" s="11"/>
      <c r="BGV40" s="12"/>
      <c r="BGW40" s="12"/>
      <c r="BGX40" s="12"/>
      <c r="BGY40" s="13"/>
      <c r="BGZ40" s="9"/>
      <c r="BHA40" s="9"/>
      <c r="BHB40" s="9"/>
      <c r="BHC40" s="9"/>
      <c r="BHD40" s="10"/>
      <c r="BHE40" s="11"/>
      <c r="BHF40" s="12"/>
      <c r="BHG40" s="12"/>
      <c r="BHH40" s="12"/>
      <c r="BHI40" s="13"/>
      <c r="BHJ40" s="9"/>
      <c r="BHK40" s="9"/>
      <c r="BHL40" s="9"/>
      <c r="BHM40" s="9"/>
      <c r="BHN40" s="10"/>
      <c r="BHO40" s="11"/>
      <c r="BHP40" s="12"/>
      <c r="BHQ40" s="12"/>
      <c r="BHR40" s="12"/>
      <c r="BHS40" s="13"/>
      <c r="BHT40" s="9"/>
      <c r="BHU40" s="9"/>
      <c r="BHV40" s="9"/>
      <c r="BHW40" s="9"/>
      <c r="BHX40" s="10"/>
      <c r="BHY40" s="11"/>
      <c r="BHZ40" s="12"/>
      <c r="BIA40" s="12"/>
      <c r="BIB40" s="12"/>
      <c r="BIC40" s="13"/>
      <c r="BID40" s="9"/>
      <c r="BIE40" s="9"/>
      <c r="BIF40" s="9"/>
      <c r="BIG40" s="9"/>
      <c r="BIH40" s="10"/>
      <c r="BII40" s="11"/>
      <c r="BIJ40" s="12"/>
      <c r="BIK40" s="12"/>
      <c r="BIL40" s="12"/>
      <c r="BIM40" s="13"/>
      <c r="BIN40" s="9"/>
      <c r="BIO40" s="9"/>
      <c r="BIP40" s="9"/>
      <c r="BIQ40" s="9"/>
      <c r="BIR40" s="10"/>
      <c r="BIS40" s="11"/>
      <c r="BIT40" s="12"/>
      <c r="BIU40" s="12"/>
      <c r="BIV40" s="12"/>
      <c r="BIW40" s="13"/>
      <c r="BIX40" s="9"/>
      <c r="BIY40" s="9"/>
      <c r="BIZ40" s="9"/>
      <c r="BJA40" s="9"/>
      <c r="BJB40" s="10"/>
      <c r="BJC40" s="11"/>
      <c r="BJD40" s="12"/>
      <c r="BJE40" s="12"/>
      <c r="BJF40" s="12"/>
      <c r="BJG40" s="13"/>
      <c r="BJH40" s="9"/>
      <c r="BJI40" s="9"/>
      <c r="BJJ40" s="9"/>
      <c r="BJK40" s="9"/>
      <c r="BJL40" s="10"/>
      <c r="BJM40" s="11"/>
      <c r="BJN40" s="12"/>
      <c r="BJO40" s="12"/>
      <c r="BJP40" s="12"/>
      <c r="BJQ40" s="13"/>
      <c r="BJR40" s="9"/>
      <c r="BJS40" s="9"/>
      <c r="BJT40" s="9"/>
      <c r="BJU40" s="9"/>
      <c r="BJV40" s="10"/>
      <c r="BJW40" s="11"/>
      <c r="BJX40" s="12"/>
      <c r="BJY40" s="12"/>
      <c r="BJZ40" s="12"/>
      <c r="BKA40" s="13"/>
      <c r="BKB40" s="9"/>
      <c r="BKC40" s="9"/>
      <c r="BKD40" s="9"/>
      <c r="BKE40" s="9"/>
      <c r="BKF40" s="10"/>
      <c r="BKG40" s="11"/>
      <c r="BKH40" s="12"/>
      <c r="BKI40" s="12"/>
      <c r="BKJ40" s="12"/>
      <c r="BKK40" s="13"/>
      <c r="BKL40" s="9"/>
      <c r="BKM40" s="9"/>
      <c r="BKN40" s="9"/>
      <c r="BKO40" s="9"/>
      <c r="BKP40" s="10"/>
      <c r="BKQ40" s="11"/>
      <c r="BKR40" s="12"/>
      <c r="BKS40" s="12"/>
      <c r="BKT40" s="12"/>
      <c r="BKU40" s="13"/>
      <c r="BKV40" s="9"/>
      <c r="BKW40" s="9"/>
      <c r="BKX40" s="9"/>
      <c r="BKY40" s="9"/>
      <c r="BKZ40" s="10"/>
      <c r="BLA40" s="11"/>
      <c r="BLB40" s="12"/>
      <c r="BLC40" s="12"/>
      <c r="BLD40" s="12"/>
      <c r="BLE40" s="13"/>
      <c r="BLF40" s="9"/>
      <c r="BLG40" s="9"/>
      <c r="BLH40" s="9"/>
      <c r="BLI40" s="9"/>
      <c r="BLJ40" s="10"/>
      <c r="BLK40" s="11"/>
      <c r="BLL40" s="12"/>
      <c r="BLM40" s="12"/>
      <c r="BLN40" s="12"/>
      <c r="BLO40" s="13"/>
      <c r="BLP40" s="9"/>
      <c r="BLQ40" s="9"/>
      <c r="BLR40" s="9"/>
      <c r="BLS40" s="9"/>
      <c r="BLT40" s="10"/>
      <c r="BLU40" s="11"/>
      <c r="BLV40" s="12"/>
      <c r="BLW40" s="12"/>
      <c r="BLX40" s="12"/>
      <c r="BLY40" s="13"/>
      <c r="BLZ40" s="9"/>
      <c r="BMA40" s="9"/>
      <c r="BMB40" s="9"/>
      <c r="BMC40" s="9"/>
      <c r="BMD40" s="10"/>
      <c r="BME40" s="11"/>
      <c r="BMF40" s="12"/>
      <c r="BMG40" s="12"/>
      <c r="BMH40" s="12"/>
      <c r="BMI40" s="13"/>
      <c r="BMJ40" s="9"/>
      <c r="BMK40" s="9"/>
      <c r="BML40" s="9"/>
      <c r="BMM40" s="9"/>
      <c r="BMN40" s="10"/>
      <c r="BMO40" s="11"/>
      <c r="BMP40" s="12"/>
      <c r="BMQ40" s="12"/>
      <c r="BMR40" s="12"/>
      <c r="BMS40" s="13"/>
      <c r="BMT40" s="9"/>
      <c r="BMU40" s="9"/>
      <c r="BMV40" s="9"/>
      <c r="BMW40" s="9"/>
      <c r="BMX40" s="10"/>
      <c r="BMY40" s="11"/>
      <c r="BMZ40" s="12"/>
      <c r="BNA40" s="12"/>
      <c r="BNB40" s="12"/>
      <c r="BNC40" s="13"/>
      <c r="BND40" s="9"/>
      <c r="BNE40" s="9"/>
      <c r="BNF40" s="9"/>
      <c r="BNG40" s="9"/>
      <c r="BNH40" s="10"/>
      <c r="BNI40" s="11"/>
      <c r="BNJ40" s="12"/>
      <c r="BNK40" s="12"/>
      <c r="BNL40" s="12"/>
      <c r="BNM40" s="13"/>
      <c r="BNN40" s="9"/>
      <c r="BNO40" s="9"/>
      <c r="BNP40" s="9"/>
      <c r="BNQ40" s="9"/>
      <c r="BNR40" s="10"/>
      <c r="BNS40" s="11"/>
      <c r="BNT40" s="12"/>
      <c r="BNU40" s="12"/>
      <c r="BNV40" s="12"/>
      <c r="BNW40" s="13"/>
      <c r="BNX40" s="9"/>
      <c r="BNY40" s="9"/>
      <c r="BNZ40" s="9"/>
      <c r="BOA40" s="9"/>
      <c r="BOB40" s="10"/>
      <c r="BOC40" s="11"/>
      <c r="BOD40" s="12"/>
      <c r="BOE40" s="12"/>
      <c r="BOF40" s="12"/>
      <c r="BOG40" s="13"/>
      <c r="BOH40" s="9"/>
      <c r="BOI40" s="9"/>
      <c r="BOJ40" s="9"/>
      <c r="BOK40" s="9"/>
      <c r="BOL40" s="10"/>
      <c r="BOM40" s="11"/>
      <c r="BON40" s="12"/>
      <c r="BOO40" s="12"/>
      <c r="BOP40" s="12"/>
      <c r="BOQ40" s="13"/>
      <c r="BOR40" s="9"/>
      <c r="BOS40" s="9"/>
      <c r="BOT40" s="9"/>
      <c r="BOU40" s="9"/>
      <c r="BOV40" s="10"/>
      <c r="BOW40" s="11"/>
      <c r="BOX40" s="12"/>
      <c r="BOY40" s="12"/>
      <c r="BOZ40" s="12"/>
      <c r="BPA40" s="13"/>
      <c r="BPB40" s="9"/>
      <c r="BPC40" s="9"/>
      <c r="BPD40" s="9"/>
      <c r="BPE40" s="9"/>
      <c r="BPF40" s="10"/>
      <c r="BPG40" s="11"/>
      <c r="BPH40" s="12"/>
      <c r="BPI40" s="12"/>
      <c r="BPJ40" s="12"/>
      <c r="BPK40" s="13"/>
      <c r="BPL40" s="9"/>
      <c r="BPM40" s="9"/>
      <c r="BPN40" s="9"/>
      <c r="BPO40" s="9"/>
      <c r="BPP40" s="10"/>
      <c r="BPQ40" s="11"/>
      <c r="BPR40" s="12"/>
      <c r="BPS40" s="12"/>
      <c r="BPT40" s="12"/>
      <c r="BPU40" s="13"/>
      <c r="BPV40" s="9"/>
      <c r="BPW40" s="9"/>
      <c r="BPX40" s="9"/>
      <c r="BPY40" s="9"/>
      <c r="BPZ40" s="10"/>
      <c r="BQA40" s="11"/>
      <c r="BQB40" s="12"/>
      <c r="BQC40" s="12"/>
      <c r="BQD40" s="12"/>
      <c r="BQE40" s="13"/>
      <c r="BQF40" s="9"/>
      <c r="BQG40" s="9"/>
      <c r="BQH40" s="9"/>
      <c r="BQI40" s="9"/>
      <c r="BQJ40" s="10"/>
      <c r="BQK40" s="11"/>
      <c r="BQL40" s="12"/>
      <c r="BQM40" s="12"/>
      <c r="BQN40" s="12"/>
      <c r="BQO40" s="13"/>
      <c r="BQP40" s="9"/>
      <c r="BQQ40" s="9"/>
      <c r="BQR40" s="9"/>
      <c r="BQS40" s="9"/>
      <c r="BQT40" s="10"/>
      <c r="BQU40" s="11"/>
      <c r="BQV40" s="12"/>
      <c r="BQW40" s="12"/>
      <c r="BQX40" s="12"/>
      <c r="BQY40" s="13"/>
      <c r="BQZ40" s="9"/>
      <c r="BRA40" s="9"/>
      <c r="BRB40" s="9"/>
      <c r="BRC40" s="9"/>
      <c r="BRD40" s="10"/>
      <c r="BRE40" s="11"/>
      <c r="BRF40" s="12"/>
      <c r="BRG40" s="12"/>
      <c r="BRH40" s="12"/>
      <c r="BRI40" s="13"/>
      <c r="BRJ40" s="9"/>
      <c r="BRK40" s="9"/>
      <c r="BRL40" s="9"/>
      <c r="BRM40" s="9"/>
      <c r="BRN40" s="10"/>
      <c r="BRO40" s="11"/>
      <c r="BRP40" s="12"/>
      <c r="BRQ40" s="12"/>
      <c r="BRR40" s="12"/>
      <c r="BRS40" s="13"/>
      <c r="BRT40" s="9"/>
      <c r="BRU40" s="9"/>
      <c r="BRV40" s="9"/>
      <c r="BRW40" s="9"/>
      <c r="BRX40" s="10"/>
      <c r="BRY40" s="11"/>
      <c r="BRZ40" s="12"/>
      <c r="BSA40" s="12"/>
      <c r="BSB40" s="12"/>
      <c r="BSC40" s="13"/>
      <c r="BSD40" s="9"/>
      <c r="BSE40" s="9"/>
      <c r="BSF40" s="9"/>
      <c r="BSG40" s="9"/>
      <c r="BSH40" s="10"/>
      <c r="BSI40" s="11"/>
      <c r="BSJ40" s="12"/>
      <c r="BSK40" s="12"/>
      <c r="BSL40" s="12"/>
      <c r="BSM40" s="13"/>
      <c r="BSN40" s="9"/>
      <c r="BSO40" s="9"/>
      <c r="BSP40" s="9"/>
      <c r="BSQ40" s="9"/>
      <c r="BSR40" s="10"/>
      <c r="BSS40" s="11"/>
      <c r="BST40" s="12"/>
      <c r="BSU40" s="12"/>
      <c r="BSV40" s="12"/>
      <c r="BSW40" s="13"/>
      <c r="BSX40" s="9"/>
      <c r="BSY40" s="9"/>
      <c r="BSZ40" s="9"/>
      <c r="BTA40" s="9"/>
      <c r="BTB40" s="10"/>
      <c r="BTC40" s="11"/>
      <c r="BTD40" s="12"/>
      <c r="BTE40" s="12"/>
      <c r="BTF40" s="12"/>
      <c r="BTG40" s="13"/>
      <c r="BTH40" s="9"/>
      <c r="BTI40" s="9"/>
      <c r="BTJ40" s="9"/>
      <c r="BTK40" s="9"/>
      <c r="BTL40" s="10"/>
      <c r="BTM40" s="11"/>
      <c r="BTN40" s="12"/>
      <c r="BTO40" s="12"/>
      <c r="BTP40" s="12"/>
      <c r="BTQ40" s="13"/>
      <c r="BTR40" s="9"/>
      <c r="BTS40" s="9"/>
      <c r="BTT40" s="9"/>
      <c r="BTU40" s="9"/>
      <c r="BTV40" s="10"/>
      <c r="BTW40" s="11"/>
      <c r="BTX40" s="12"/>
      <c r="BTY40" s="12"/>
      <c r="BTZ40" s="12"/>
      <c r="BUA40" s="13"/>
      <c r="BUB40" s="9"/>
      <c r="BUC40" s="9"/>
      <c r="BUD40" s="9"/>
      <c r="BUE40" s="9"/>
      <c r="BUF40" s="10"/>
      <c r="BUG40" s="11"/>
      <c r="BUH40" s="12"/>
      <c r="BUI40" s="12"/>
      <c r="BUJ40" s="12"/>
      <c r="BUK40" s="13"/>
      <c r="BUL40" s="9"/>
      <c r="BUM40" s="9"/>
      <c r="BUN40" s="9"/>
      <c r="BUO40" s="9"/>
      <c r="BUP40" s="10"/>
      <c r="BUQ40" s="11"/>
      <c r="BUR40" s="12"/>
      <c r="BUS40" s="12"/>
      <c r="BUT40" s="12"/>
      <c r="BUU40" s="13"/>
      <c r="BUV40" s="9"/>
      <c r="BUW40" s="9"/>
      <c r="BUX40" s="9"/>
      <c r="BUY40" s="9"/>
      <c r="BUZ40" s="10"/>
      <c r="BVA40" s="11"/>
      <c r="BVB40" s="12"/>
      <c r="BVC40" s="12"/>
      <c r="BVD40" s="12"/>
      <c r="BVE40" s="13"/>
      <c r="BVF40" s="9"/>
      <c r="BVG40" s="9"/>
      <c r="BVH40" s="9"/>
      <c r="BVI40" s="9"/>
      <c r="BVJ40" s="10"/>
      <c r="BVK40" s="11"/>
      <c r="BVL40" s="12"/>
      <c r="BVM40" s="12"/>
      <c r="BVN40" s="12"/>
      <c r="BVO40" s="13"/>
      <c r="BVP40" s="9"/>
      <c r="BVQ40" s="9"/>
      <c r="BVR40" s="9"/>
      <c r="BVS40" s="9"/>
      <c r="BVT40" s="10"/>
      <c r="BVU40" s="11"/>
      <c r="BVV40" s="12"/>
      <c r="BVW40" s="12"/>
      <c r="BVX40" s="12"/>
      <c r="BVY40" s="13"/>
      <c r="BVZ40" s="9"/>
      <c r="BWA40" s="9"/>
      <c r="BWB40" s="9"/>
      <c r="BWC40" s="9"/>
      <c r="BWD40" s="10"/>
      <c r="BWE40" s="11"/>
      <c r="BWF40" s="12"/>
      <c r="BWG40" s="12"/>
      <c r="BWH40" s="12"/>
      <c r="BWI40" s="13"/>
      <c r="BWJ40" s="9"/>
      <c r="BWK40" s="9"/>
      <c r="BWL40" s="9"/>
      <c r="BWM40" s="9"/>
      <c r="BWN40" s="10"/>
      <c r="BWO40" s="11"/>
      <c r="BWP40" s="12"/>
      <c r="BWQ40" s="12"/>
      <c r="BWR40" s="12"/>
      <c r="BWS40" s="13"/>
      <c r="BWT40" s="9"/>
      <c r="BWU40" s="9"/>
      <c r="BWV40" s="9"/>
      <c r="BWW40" s="9"/>
      <c r="BWX40" s="10"/>
      <c r="BWY40" s="11"/>
      <c r="BWZ40" s="12"/>
      <c r="BXA40" s="12"/>
      <c r="BXB40" s="12"/>
      <c r="BXC40" s="13"/>
      <c r="BXD40" s="9"/>
      <c r="BXE40" s="9"/>
      <c r="BXF40" s="9"/>
      <c r="BXG40" s="9"/>
      <c r="BXH40" s="10"/>
      <c r="BXI40" s="11"/>
      <c r="BXJ40" s="12"/>
      <c r="BXK40" s="12"/>
      <c r="BXL40" s="12"/>
      <c r="BXM40" s="13"/>
      <c r="BXN40" s="9"/>
      <c r="BXO40" s="9"/>
      <c r="BXP40" s="9"/>
      <c r="BXQ40" s="9"/>
      <c r="BXR40" s="10"/>
      <c r="BXS40" s="11"/>
      <c r="BXT40" s="12"/>
      <c r="BXU40" s="12"/>
      <c r="BXV40" s="12"/>
      <c r="BXW40" s="13"/>
      <c r="BXX40" s="9"/>
      <c r="BXY40" s="9"/>
      <c r="BXZ40" s="9"/>
      <c r="BYA40" s="9"/>
      <c r="BYB40" s="10"/>
      <c r="BYC40" s="11"/>
      <c r="BYD40" s="12"/>
      <c r="BYE40" s="12"/>
      <c r="BYF40" s="12"/>
      <c r="BYG40" s="13"/>
      <c r="BYH40" s="9"/>
      <c r="BYI40" s="9"/>
      <c r="BYJ40" s="9"/>
      <c r="BYK40" s="9"/>
      <c r="BYL40" s="10"/>
      <c r="BYM40" s="11"/>
      <c r="BYN40" s="12"/>
      <c r="BYO40" s="12"/>
      <c r="BYP40" s="12"/>
      <c r="BYQ40" s="13"/>
      <c r="BYR40" s="9"/>
      <c r="BYS40" s="9"/>
      <c r="BYT40" s="9"/>
      <c r="BYU40" s="9"/>
      <c r="BYV40" s="10"/>
      <c r="BYW40" s="11"/>
      <c r="BYX40" s="12"/>
      <c r="BYY40" s="12"/>
      <c r="BYZ40" s="12"/>
      <c r="BZA40" s="13"/>
      <c r="BZB40" s="9"/>
      <c r="BZC40" s="9"/>
      <c r="BZD40" s="9"/>
      <c r="BZE40" s="9"/>
      <c r="BZF40" s="10"/>
      <c r="BZG40" s="11"/>
      <c r="BZH40" s="12"/>
      <c r="BZI40" s="12"/>
      <c r="BZJ40" s="12"/>
      <c r="BZK40" s="13"/>
      <c r="BZL40" s="9"/>
      <c r="BZM40" s="9"/>
      <c r="BZN40" s="9"/>
      <c r="BZO40" s="9"/>
      <c r="BZP40" s="10"/>
      <c r="BZQ40" s="11"/>
      <c r="BZR40" s="12"/>
      <c r="BZS40" s="12"/>
      <c r="BZT40" s="12"/>
      <c r="BZU40" s="13"/>
      <c r="BZV40" s="9"/>
      <c r="BZW40" s="9"/>
      <c r="BZX40" s="9"/>
      <c r="BZY40" s="9"/>
      <c r="BZZ40" s="10"/>
      <c r="CAA40" s="11"/>
      <c r="CAB40" s="12"/>
      <c r="CAC40" s="12"/>
      <c r="CAD40" s="12"/>
      <c r="CAE40" s="13"/>
      <c r="CAF40" s="9"/>
      <c r="CAG40" s="9"/>
      <c r="CAH40" s="9"/>
      <c r="CAI40" s="9"/>
      <c r="CAJ40" s="10"/>
      <c r="CAK40" s="11"/>
      <c r="CAL40" s="12"/>
      <c r="CAM40" s="12"/>
      <c r="CAN40" s="12"/>
      <c r="CAO40" s="13"/>
      <c r="CAP40" s="9"/>
      <c r="CAQ40" s="9"/>
      <c r="CAR40" s="9"/>
      <c r="CAS40" s="9"/>
      <c r="CAT40" s="10"/>
      <c r="CAU40" s="11"/>
      <c r="CAV40" s="12"/>
      <c r="CAW40" s="12"/>
      <c r="CAX40" s="12"/>
      <c r="CAY40" s="13"/>
      <c r="CAZ40" s="9"/>
      <c r="CBA40" s="9"/>
      <c r="CBB40" s="9"/>
      <c r="CBC40" s="9"/>
      <c r="CBD40" s="10"/>
      <c r="CBE40" s="11"/>
      <c r="CBF40" s="12"/>
      <c r="CBG40" s="12"/>
      <c r="CBH40" s="12"/>
      <c r="CBI40" s="13"/>
      <c r="CBJ40" s="9"/>
      <c r="CBK40" s="9"/>
      <c r="CBL40" s="9"/>
      <c r="CBM40" s="9"/>
      <c r="CBN40" s="10"/>
      <c r="CBO40" s="11"/>
      <c r="CBP40" s="12"/>
      <c r="CBQ40" s="12"/>
      <c r="CBR40" s="12"/>
      <c r="CBS40" s="13"/>
      <c r="CBT40" s="9"/>
      <c r="CBU40" s="9"/>
      <c r="CBV40" s="9"/>
      <c r="CBW40" s="9"/>
      <c r="CBX40" s="10"/>
      <c r="CBY40" s="11"/>
      <c r="CBZ40" s="12"/>
      <c r="CCA40" s="12"/>
      <c r="CCB40" s="12"/>
      <c r="CCC40" s="13"/>
      <c r="CCD40" s="9"/>
      <c r="CCE40" s="9"/>
      <c r="CCF40" s="9"/>
      <c r="CCG40" s="9"/>
      <c r="CCH40" s="10"/>
      <c r="CCI40" s="11"/>
      <c r="CCJ40" s="12"/>
      <c r="CCK40" s="12"/>
      <c r="CCL40" s="12"/>
      <c r="CCM40" s="13"/>
      <c r="CCN40" s="9"/>
      <c r="CCO40" s="9"/>
      <c r="CCP40" s="9"/>
      <c r="CCQ40" s="9"/>
      <c r="CCR40" s="10"/>
      <c r="CCS40" s="11"/>
      <c r="CCT40" s="12"/>
      <c r="CCU40" s="12"/>
      <c r="CCV40" s="12"/>
      <c r="CCW40" s="13"/>
      <c r="CCX40" s="9"/>
      <c r="CCY40" s="9"/>
      <c r="CCZ40" s="9"/>
      <c r="CDA40" s="9"/>
      <c r="CDB40" s="10"/>
      <c r="CDC40" s="11"/>
      <c r="CDD40" s="12"/>
      <c r="CDE40" s="12"/>
      <c r="CDF40" s="12"/>
      <c r="CDG40" s="13"/>
      <c r="CDH40" s="9"/>
      <c r="CDI40" s="9"/>
      <c r="CDJ40" s="9"/>
      <c r="CDK40" s="9"/>
      <c r="CDL40" s="10"/>
      <c r="CDM40" s="11"/>
      <c r="CDN40" s="12"/>
      <c r="CDO40" s="12"/>
      <c r="CDP40" s="12"/>
      <c r="CDQ40" s="13"/>
      <c r="CDR40" s="9"/>
      <c r="CDS40" s="9"/>
      <c r="CDT40" s="9"/>
      <c r="CDU40" s="9"/>
      <c r="CDV40" s="10"/>
      <c r="CDW40" s="11"/>
      <c r="CDX40" s="12"/>
      <c r="CDY40" s="12"/>
      <c r="CDZ40" s="12"/>
      <c r="CEA40" s="13"/>
      <c r="CEB40" s="9"/>
      <c r="CEC40" s="9"/>
      <c r="CED40" s="9"/>
      <c r="CEE40" s="9"/>
      <c r="CEF40" s="10"/>
      <c r="CEG40" s="11"/>
      <c r="CEH40" s="12"/>
      <c r="CEI40" s="12"/>
      <c r="CEJ40" s="12"/>
      <c r="CEK40" s="13"/>
      <c r="CEL40" s="9"/>
      <c r="CEM40" s="9"/>
      <c r="CEN40" s="9"/>
      <c r="CEO40" s="9"/>
      <c r="CEP40" s="10"/>
      <c r="CEQ40" s="11"/>
      <c r="CER40" s="12"/>
      <c r="CES40" s="12"/>
      <c r="CET40" s="12"/>
      <c r="CEU40" s="13"/>
      <c r="CEV40" s="9"/>
      <c r="CEW40" s="9"/>
      <c r="CEX40" s="9"/>
      <c r="CEY40" s="9"/>
      <c r="CEZ40" s="10"/>
      <c r="CFA40" s="11"/>
      <c r="CFB40" s="12"/>
      <c r="CFC40" s="12"/>
      <c r="CFD40" s="12"/>
      <c r="CFE40" s="13"/>
      <c r="CFF40" s="9"/>
      <c r="CFG40" s="9"/>
      <c r="CFH40" s="9"/>
      <c r="CFI40" s="9"/>
      <c r="CFJ40" s="10"/>
      <c r="CFK40" s="11"/>
      <c r="CFL40" s="12"/>
      <c r="CFM40" s="12"/>
      <c r="CFN40" s="12"/>
      <c r="CFO40" s="13"/>
      <c r="CFP40" s="9"/>
      <c r="CFQ40" s="9"/>
      <c r="CFR40" s="9"/>
      <c r="CFS40" s="9"/>
      <c r="CFT40" s="10"/>
      <c r="CFU40" s="11"/>
      <c r="CFV40" s="12"/>
      <c r="CFW40" s="12"/>
      <c r="CFX40" s="12"/>
      <c r="CFY40" s="13"/>
      <c r="CFZ40" s="9"/>
      <c r="CGA40" s="9"/>
      <c r="CGB40" s="9"/>
      <c r="CGC40" s="9"/>
      <c r="CGD40" s="10"/>
      <c r="CGE40" s="11"/>
      <c r="CGF40" s="12"/>
      <c r="CGG40" s="12"/>
      <c r="CGH40" s="12"/>
      <c r="CGI40" s="13"/>
      <c r="CGJ40" s="9"/>
      <c r="CGK40" s="9"/>
      <c r="CGL40" s="9"/>
      <c r="CGM40" s="9"/>
      <c r="CGN40" s="10"/>
      <c r="CGO40" s="11"/>
      <c r="CGP40" s="12"/>
      <c r="CGQ40" s="12"/>
      <c r="CGR40" s="12"/>
      <c r="CGS40" s="13"/>
      <c r="CGT40" s="9"/>
      <c r="CGU40" s="9"/>
      <c r="CGV40" s="9"/>
      <c r="CGW40" s="9"/>
      <c r="CGX40" s="10"/>
      <c r="CGY40" s="11"/>
      <c r="CGZ40" s="12"/>
      <c r="CHA40" s="12"/>
      <c r="CHB40" s="12"/>
      <c r="CHC40" s="13"/>
      <c r="CHD40" s="9"/>
      <c r="CHE40" s="9"/>
      <c r="CHF40" s="9"/>
      <c r="CHG40" s="9"/>
      <c r="CHH40" s="10"/>
      <c r="CHI40" s="11"/>
      <c r="CHJ40" s="12"/>
      <c r="CHK40" s="12"/>
      <c r="CHL40" s="12"/>
      <c r="CHM40" s="13"/>
      <c r="CHN40" s="9"/>
      <c r="CHO40" s="9"/>
      <c r="CHP40" s="9"/>
      <c r="CHQ40" s="9"/>
      <c r="CHR40" s="10"/>
      <c r="CHS40" s="11"/>
      <c r="CHT40" s="12"/>
      <c r="CHU40" s="12"/>
      <c r="CHV40" s="12"/>
      <c r="CHW40" s="13"/>
      <c r="CHX40" s="9"/>
      <c r="CHY40" s="9"/>
      <c r="CHZ40" s="9"/>
      <c r="CIA40" s="9"/>
      <c r="CIB40" s="10"/>
      <c r="CIC40" s="11"/>
      <c r="CID40" s="12"/>
      <c r="CIE40" s="12"/>
      <c r="CIF40" s="12"/>
      <c r="CIG40" s="13"/>
      <c r="CIH40" s="9"/>
      <c r="CII40" s="9"/>
      <c r="CIJ40" s="9"/>
      <c r="CIK40" s="9"/>
      <c r="CIL40" s="10"/>
      <c r="CIM40" s="11"/>
      <c r="CIN40" s="12"/>
      <c r="CIO40" s="12"/>
      <c r="CIP40" s="12"/>
      <c r="CIQ40" s="13"/>
      <c r="CIR40" s="9"/>
      <c r="CIS40" s="9"/>
      <c r="CIT40" s="9"/>
      <c r="CIU40" s="9"/>
      <c r="CIV40" s="10"/>
      <c r="CIW40" s="11"/>
      <c r="CIX40" s="12"/>
      <c r="CIY40" s="12"/>
      <c r="CIZ40" s="12"/>
      <c r="CJA40" s="13"/>
      <c r="CJB40" s="9"/>
      <c r="CJC40" s="9"/>
      <c r="CJD40" s="9"/>
      <c r="CJE40" s="9"/>
      <c r="CJF40" s="10"/>
      <c r="CJG40" s="11"/>
      <c r="CJH40" s="12"/>
      <c r="CJI40" s="12"/>
      <c r="CJJ40" s="12"/>
      <c r="CJK40" s="13"/>
      <c r="CJL40" s="9"/>
      <c r="CJM40" s="9"/>
      <c r="CJN40" s="9"/>
      <c r="CJO40" s="9"/>
      <c r="CJP40" s="10"/>
      <c r="CJQ40" s="11"/>
      <c r="CJR40" s="12"/>
      <c r="CJS40" s="12"/>
      <c r="CJT40" s="12"/>
      <c r="CJU40" s="13"/>
      <c r="CJV40" s="9"/>
      <c r="CJW40" s="9"/>
      <c r="CJX40" s="9"/>
      <c r="CJY40" s="9"/>
      <c r="CJZ40" s="10"/>
      <c r="CKA40" s="11"/>
      <c r="CKB40" s="12"/>
      <c r="CKC40" s="12"/>
      <c r="CKD40" s="12"/>
      <c r="CKE40" s="13"/>
      <c r="CKF40" s="9"/>
      <c r="CKG40" s="9"/>
      <c r="CKH40" s="9"/>
      <c r="CKI40" s="9"/>
      <c r="CKJ40" s="10"/>
      <c r="CKK40" s="11"/>
      <c r="CKL40" s="12"/>
      <c r="CKM40" s="12"/>
      <c r="CKN40" s="12"/>
      <c r="CKO40" s="13"/>
      <c r="CKP40" s="9"/>
      <c r="CKQ40" s="9"/>
      <c r="CKR40" s="9"/>
      <c r="CKS40" s="9"/>
      <c r="CKT40" s="10"/>
      <c r="CKU40" s="11"/>
      <c r="CKV40" s="12"/>
      <c r="CKW40" s="12"/>
      <c r="CKX40" s="12"/>
      <c r="CKY40" s="13"/>
      <c r="CKZ40" s="9"/>
      <c r="CLA40" s="9"/>
      <c r="CLB40" s="9"/>
      <c r="CLC40" s="9"/>
      <c r="CLD40" s="10"/>
      <c r="CLE40" s="11"/>
      <c r="CLF40" s="12"/>
      <c r="CLG40" s="12"/>
      <c r="CLH40" s="12"/>
      <c r="CLI40" s="13"/>
      <c r="CLJ40" s="9"/>
      <c r="CLK40" s="9"/>
      <c r="CLL40" s="9"/>
      <c r="CLM40" s="9"/>
      <c r="CLN40" s="10"/>
      <c r="CLO40" s="11"/>
      <c r="CLP40" s="12"/>
      <c r="CLQ40" s="12"/>
      <c r="CLR40" s="12"/>
      <c r="CLS40" s="13"/>
      <c r="CLT40" s="9"/>
      <c r="CLU40" s="9"/>
      <c r="CLV40" s="9"/>
      <c r="CLW40" s="9"/>
      <c r="CLX40" s="10"/>
      <c r="CLY40" s="11"/>
      <c r="CLZ40" s="12"/>
      <c r="CMA40" s="12"/>
      <c r="CMB40" s="12"/>
      <c r="CMC40" s="13"/>
      <c r="CMD40" s="9"/>
      <c r="CME40" s="9"/>
      <c r="CMF40" s="9"/>
      <c r="CMG40" s="9"/>
      <c r="CMH40" s="10"/>
      <c r="CMI40" s="11"/>
      <c r="CMJ40" s="12"/>
      <c r="CMK40" s="12"/>
      <c r="CML40" s="12"/>
      <c r="CMM40" s="13"/>
      <c r="CMN40" s="9"/>
      <c r="CMO40" s="9"/>
      <c r="CMP40" s="9"/>
      <c r="CMQ40" s="9"/>
      <c r="CMR40" s="10"/>
      <c r="CMS40" s="11"/>
      <c r="CMT40" s="12"/>
      <c r="CMU40" s="12"/>
      <c r="CMV40" s="12"/>
      <c r="CMW40" s="13"/>
      <c r="CMX40" s="9"/>
      <c r="CMY40" s="9"/>
      <c r="CMZ40" s="9"/>
      <c r="CNA40" s="9"/>
      <c r="CNB40" s="10"/>
      <c r="CNC40" s="11"/>
      <c r="CND40" s="12"/>
      <c r="CNE40" s="12"/>
      <c r="CNF40" s="12"/>
      <c r="CNG40" s="13"/>
      <c r="CNH40" s="9"/>
      <c r="CNI40" s="9"/>
      <c r="CNJ40" s="9"/>
      <c r="CNK40" s="9"/>
      <c r="CNL40" s="10"/>
      <c r="CNM40" s="11"/>
      <c r="CNN40" s="12"/>
      <c r="CNO40" s="12"/>
      <c r="CNP40" s="12"/>
      <c r="CNQ40" s="13"/>
      <c r="CNR40" s="9"/>
      <c r="CNS40" s="9"/>
      <c r="CNT40" s="9"/>
      <c r="CNU40" s="9"/>
      <c r="CNV40" s="10"/>
      <c r="CNW40" s="11"/>
      <c r="CNX40" s="12"/>
      <c r="CNY40" s="12"/>
      <c r="CNZ40" s="12"/>
      <c r="COA40" s="13"/>
      <c r="COB40" s="9"/>
      <c r="COC40" s="9"/>
      <c r="COD40" s="9"/>
      <c r="COE40" s="9"/>
      <c r="COF40" s="10"/>
      <c r="COG40" s="11"/>
      <c r="COH40" s="12"/>
      <c r="COI40" s="12"/>
      <c r="COJ40" s="12"/>
      <c r="COK40" s="13"/>
      <c r="COL40" s="9"/>
      <c r="COM40" s="9"/>
      <c r="CON40" s="9"/>
      <c r="COO40" s="9"/>
      <c r="COP40" s="10"/>
      <c r="COQ40" s="11"/>
      <c r="COR40" s="12"/>
      <c r="COS40" s="12"/>
      <c r="COT40" s="12"/>
      <c r="COU40" s="13"/>
      <c r="COV40" s="9"/>
      <c r="COW40" s="9"/>
      <c r="COX40" s="9"/>
      <c r="COY40" s="9"/>
      <c r="COZ40" s="10"/>
      <c r="CPA40" s="11"/>
      <c r="CPB40" s="12"/>
      <c r="CPC40" s="12"/>
      <c r="CPD40" s="12"/>
      <c r="CPE40" s="13"/>
      <c r="CPF40" s="9"/>
      <c r="CPG40" s="9"/>
      <c r="CPH40" s="9"/>
      <c r="CPI40" s="9"/>
      <c r="CPJ40" s="10"/>
      <c r="CPK40" s="11"/>
      <c r="CPL40" s="12"/>
      <c r="CPM40" s="12"/>
      <c r="CPN40" s="12"/>
      <c r="CPO40" s="13"/>
      <c r="CPP40" s="9"/>
      <c r="CPQ40" s="9"/>
      <c r="CPR40" s="9"/>
      <c r="CPS40" s="9"/>
      <c r="CPT40" s="10"/>
      <c r="CPU40" s="11"/>
      <c r="CPV40" s="12"/>
      <c r="CPW40" s="12"/>
      <c r="CPX40" s="12"/>
      <c r="CPY40" s="13"/>
      <c r="CPZ40" s="9"/>
      <c r="CQA40" s="9"/>
      <c r="CQB40" s="9"/>
      <c r="CQC40" s="9"/>
      <c r="CQD40" s="10"/>
      <c r="CQE40" s="11"/>
      <c r="CQF40" s="12"/>
      <c r="CQG40" s="12"/>
      <c r="CQH40" s="12"/>
      <c r="CQI40" s="13"/>
      <c r="CQJ40" s="9"/>
      <c r="CQK40" s="9"/>
      <c r="CQL40" s="9"/>
      <c r="CQM40" s="9"/>
      <c r="CQN40" s="10"/>
      <c r="CQO40" s="11"/>
      <c r="CQP40" s="12"/>
      <c r="CQQ40" s="12"/>
      <c r="CQR40" s="12"/>
      <c r="CQS40" s="13"/>
      <c r="CQT40" s="9"/>
      <c r="CQU40" s="9"/>
      <c r="CQV40" s="9"/>
      <c r="CQW40" s="9"/>
      <c r="CQX40" s="10"/>
      <c r="CQY40" s="11"/>
      <c r="CQZ40" s="12"/>
      <c r="CRA40" s="12"/>
      <c r="CRB40" s="12"/>
      <c r="CRC40" s="13"/>
      <c r="CRD40" s="9"/>
      <c r="CRE40" s="9"/>
      <c r="CRF40" s="9"/>
      <c r="CRG40" s="9"/>
      <c r="CRH40" s="10"/>
      <c r="CRI40" s="11"/>
      <c r="CRJ40" s="12"/>
      <c r="CRK40" s="12"/>
      <c r="CRL40" s="12"/>
      <c r="CRM40" s="13"/>
      <c r="CRN40" s="9"/>
      <c r="CRO40" s="9"/>
      <c r="CRP40" s="9"/>
      <c r="CRQ40" s="9"/>
      <c r="CRR40" s="10"/>
      <c r="CRS40" s="11"/>
      <c r="CRT40" s="12"/>
      <c r="CRU40" s="12"/>
      <c r="CRV40" s="12"/>
      <c r="CRW40" s="13"/>
      <c r="CRX40" s="9"/>
      <c r="CRY40" s="9"/>
      <c r="CRZ40" s="9"/>
      <c r="CSA40" s="9"/>
      <c r="CSB40" s="10"/>
      <c r="CSC40" s="11"/>
      <c r="CSD40" s="12"/>
      <c r="CSE40" s="12"/>
      <c r="CSF40" s="12"/>
      <c r="CSG40" s="13"/>
      <c r="CSH40" s="9"/>
      <c r="CSI40" s="9"/>
      <c r="CSJ40" s="9"/>
      <c r="CSK40" s="9"/>
      <c r="CSL40" s="10"/>
      <c r="CSM40" s="11"/>
      <c r="CSN40" s="12"/>
      <c r="CSO40" s="12"/>
      <c r="CSP40" s="12"/>
      <c r="CSQ40" s="13"/>
      <c r="CSR40" s="9"/>
      <c r="CSS40" s="9"/>
      <c r="CST40" s="9"/>
      <c r="CSU40" s="9"/>
      <c r="CSV40" s="10"/>
      <c r="CSW40" s="11"/>
      <c r="CSX40" s="12"/>
      <c r="CSY40" s="12"/>
      <c r="CSZ40" s="12"/>
      <c r="CTA40" s="13"/>
      <c r="CTB40" s="9"/>
      <c r="CTC40" s="9"/>
      <c r="CTD40" s="9"/>
      <c r="CTE40" s="9"/>
      <c r="CTF40" s="10"/>
      <c r="CTG40" s="11"/>
      <c r="CTH40" s="12"/>
      <c r="CTI40" s="12"/>
      <c r="CTJ40" s="12"/>
      <c r="CTK40" s="13"/>
      <c r="CTL40" s="9"/>
      <c r="CTM40" s="9"/>
      <c r="CTN40" s="9"/>
      <c r="CTO40" s="9"/>
      <c r="CTP40" s="10"/>
      <c r="CTQ40" s="11"/>
      <c r="CTR40" s="12"/>
      <c r="CTS40" s="12"/>
      <c r="CTT40" s="12"/>
      <c r="CTU40" s="13"/>
      <c r="CTV40" s="9"/>
      <c r="CTW40" s="9"/>
      <c r="CTX40" s="9"/>
      <c r="CTY40" s="9"/>
      <c r="CTZ40" s="10"/>
      <c r="CUA40" s="11"/>
      <c r="CUB40" s="12"/>
      <c r="CUC40" s="12"/>
      <c r="CUD40" s="12"/>
      <c r="CUE40" s="13"/>
      <c r="CUF40" s="9"/>
      <c r="CUG40" s="9"/>
      <c r="CUH40" s="9"/>
      <c r="CUI40" s="9"/>
      <c r="CUJ40" s="10"/>
      <c r="CUK40" s="11"/>
      <c r="CUL40" s="12"/>
      <c r="CUM40" s="12"/>
      <c r="CUN40" s="12"/>
      <c r="CUO40" s="13"/>
      <c r="CUP40" s="9"/>
      <c r="CUQ40" s="9"/>
      <c r="CUR40" s="9"/>
      <c r="CUS40" s="9"/>
      <c r="CUT40" s="10"/>
      <c r="CUU40" s="11"/>
      <c r="CUV40" s="12"/>
      <c r="CUW40" s="12"/>
      <c r="CUX40" s="12"/>
      <c r="CUY40" s="13"/>
      <c r="CUZ40" s="9"/>
      <c r="CVA40" s="9"/>
      <c r="CVB40" s="9"/>
      <c r="CVC40" s="9"/>
      <c r="CVD40" s="10"/>
      <c r="CVE40" s="11"/>
      <c r="CVF40" s="12"/>
      <c r="CVG40" s="12"/>
      <c r="CVH40" s="12"/>
      <c r="CVI40" s="13"/>
      <c r="CVJ40" s="9"/>
      <c r="CVK40" s="9"/>
      <c r="CVL40" s="9"/>
      <c r="CVM40" s="9"/>
      <c r="CVN40" s="10"/>
      <c r="CVO40" s="11"/>
      <c r="CVP40" s="12"/>
      <c r="CVQ40" s="12"/>
      <c r="CVR40" s="12"/>
      <c r="CVS40" s="13"/>
      <c r="CVT40" s="9"/>
      <c r="CVU40" s="9"/>
      <c r="CVV40" s="9"/>
      <c r="CVW40" s="9"/>
      <c r="CVX40" s="10"/>
      <c r="CVY40" s="11"/>
      <c r="CVZ40" s="12"/>
      <c r="CWA40" s="12"/>
      <c r="CWB40" s="12"/>
      <c r="CWC40" s="13"/>
      <c r="CWD40" s="9"/>
      <c r="CWE40" s="9"/>
      <c r="CWF40" s="9"/>
      <c r="CWG40" s="9"/>
      <c r="CWH40" s="10"/>
      <c r="CWI40" s="11"/>
      <c r="CWJ40" s="12"/>
      <c r="CWK40" s="12"/>
      <c r="CWL40" s="12"/>
      <c r="CWM40" s="13"/>
      <c r="CWN40" s="9"/>
      <c r="CWO40" s="9"/>
      <c r="CWP40" s="9"/>
      <c r="CWQ40" s="9"/>
      <c r="CWR40" s="10"/>
      <c r="CWS40" s="11"/>
      <c r="CWT40" s="12"/>
      <c r="CWU40" s="12"/>
      <c r="CWV40" s="12"/>
      <c r="CWW40" s="13"/>
      <c r="CWX40" s="9"/>
      <c r="CWY40" s="9"/>
      <c r="CWZ40" s="9"/>
      <c r="CXA40" s="9"/>
      <c r="CXB40" s="10"/>
      <c r="CXC40" s="11"/>
      <c r="CXD40" s="12"/>
      <c r="CXE40" s="12"/>
      <c r="CXF40" s="12"/>
      <c r="CXG40" s="13"/>
      <c r="CXH40" s="9"/>
      <c r="CXI40" s="9"/>
      <c r="CXJ40" s="9"/>
      <c r="CXK40" s="9"/>
      <c r="CXL40" s="10"/>
      <c r="CXM40" s="11"/>
      <c r="CXN40" s="12"/>
      <c r="CXO40" s="12"/>
      <c r="CXP40" s="12"/>
      <c r="CXQ40" s="13"/>
      <c r="CXR40" s="9"/>
      <c r="CXS40" s="9"/>
      <c r="CXT40" s="9"/>
      <c r="CXU40" s="9"/>
      <c r="CXV40" s="10"/>
      <c r="CXW40" s="11"/>
      <c r="CXX40" s="12"/>
      <c r="CXY40" s="12"/>
      <c r="CXZ40" s="12"/>
      <c r="CYA40" s="13"/>
      <c r="CYB40" s="9"/>
      <c r="CYC40" s="9"/>
      <c r="CYD40" s="9"/>
      <c r="CYE40" s="9"/>
      <c r="CYF40" s="10"/>
      <c r="CYG40" s="11"/>
      <c r="CYH40" s="12"/>
      <c r="CYI40" s="12"/>
      <c r="CYJ40" s="12"/>
      <c r="CYK40" s="13"/>
      <c r="CYL40" s="9"/>
      <c r="CYM40" s="9"/>
      <c r="CYN40" s="9"/>
      <c r="CYO40" s="9"/>
      <c r="CYP40" s="10"/>
      <c r="CYQ40" s="11"/>
      <c r="CYR40" s="12"/>
      <c r="CYS40" s="12"/>
      <c r="CYT40" s="12"/>
      <c r="CYU40" s="13"/>
      <c r="CYV40" s="9"/>
      <c r="CYW40" s="9"/>
      <c r="CYX40" s="9"/>
      <c r="CYY40" s="9"/>
      <c r="CYZ40" s="10"/>
      <c r="CZA40" s="11"/>
      <c r="CZB40" s="12"/>
      <c r="CZC40" s="12"/>
      <c r="CZD40" s="12"/>
      <c r="CZE40" s="13"/>
      <c r="CZF40" s="9"/>
      <c r="CZG40" s="9"/>
      <c r="CZH40" s="9"/>
      <c r="CZI40" s="9"/>
      <c r="CZJ40" s="10"/>
      <c r="CZK40" s="11"/>
      <c r="CZL40" s="12"/>
      <c r="CZM40" s="12"/>
      <c r="CZN40" s="12"/>
      <c r="CZO40" s="13"/>
      <c r="CZP40" s="9"/>
      <c r="CZQ40" s="9"/>
      <c r="CZR40" s="9"/>
      <c r="CZS40" s="9"/>
      <c r="CZT40" s="10"/>
      <c r="CZU40" s="11"/>
      <c r="CZV40" s="12"/>
      <c r="CZW40" s="12"/>
      <c r="CZX40" s="12"/>
      <c r="CZY40" s="13"/>
      <c r="CZZ40" s="9"/>
      <c r="DAA40" s="9"/>
      <c r="DAB40" s="9"/>
      <c r="DAC40" s="9"/>
      <c r="DAD40" s="10"/>
      <c r="DAE40" s="11"/>
      <c r="DAF40" s="12"/>
      <c r="DAG40" s="12"/>
      <c r="DAH40" s="12"/>
      <c r="DAI40" s="13"/>
      <c r="DAJ40" s="9"/>
      <c r="DAK40" s="9"/>
      <c r="DAL40" s="9"/>
      <c r="DAM40" s="9"/>
      <c r="DAN40" s="10"/>
      <c r="DAO40" s="11"/>
      <c r="DAP40" s="12"/>
      <c r="DAQ40" s="12"/>
      <c r="DAR40" s="12"/>
      <c r="DAS40" s="13"/>
      <c r="DAT40" s="9"/>
      <c r="DAU40" s="9"/>
      <c r="DAV40" s="9"/>
      <c r="DAW40" s="9"/>
      <c r="DAX40" s="10"/>
      <c r="DAY40" s="11"/>
      <c r="DAZ40" s="12"/>
      <c r="DBA40" s="12"/>
      <c r="DBB40" s="12"/>
      <c r="DBC40" s="13"/>
      <c r="DBD40" s="9"/>
      <c r="DBE40" s="9"/>
      <c r="DBF40" s="9"/>
      <c r="DBG40" s="9"/>
      <c r="DBH40" s="10"/>
      <c r="DBI40" s="11"/>
      <c r="DBJ40" s="12"/>
      <c r="DBK40" s="12"/>
      <c r="DBL40" s="12"/>
      <c r="DBM40" s="13"/>
      <c r="DBN40" s="9"/>
      <c r="DBO40" s="9"/>
      <c r="DBP40" s="9"/>
      <c r="DBQ40" s="9"/>
      <c r="DBR40" s="10"/>
      <c r="DBS40" s="11"/>
      <c r="DBT40" s="12"/>
      <c r="DBU40" s="12"/>
      <c r="DBV40" s="12"/>
      <c r="DBW40" s="13"/>
      <c r="DBX40" s="9"/>
      <c r="DBY40" s="9"/>
      <c r="DBZ40" s="9"/>
      <c r="DCA40" s="9"/>
      <c r="DCB40" s="10"/>
      <c r="DCC40" s="11"/>
      <c r="DCD40" s="12"/>
      <c r="DCE40" s="12"/>
      <c r="DCF40" s="12"/>
      <c r="DCG40" s="13"/>
      <c r="DCH40" s="9"/>
      <c r="DCI40" s="9"/>
      <c r="DCJ40" s="9"/>
      <c r="DCK40" s="9"/>
      <c r="DCL40" s="10"/>
      <c r="DCM40" s="11"/>
      <c r="DCN40" s="12"/>
      <c r="DCO40" s="12"/>
      <c r="DCP40" s="12"/>
      <c r="DCQ40" s="13"/>
      <c r="DCR40" s="9"/>
      <c r="DCS40" s="9"/>
      <c r="DCT40" s="9"/>
      <c r="DCU40" s="9"/>
      <c r="DCV40" s="10"/>
      <c r="DCW40" s="11"/>
      <c r="DCX40" s="12"/>
      <c r="DCY40" s="12"/>
      <c r="DCZ40" s="12"/>
      <c r="DDA40" s="13"/>
      <c r="DDB40" s="9"/>
      <c r="DDC40" s="9"/>
      <c r="DDD40" s="9"/>
      <c r="DDE40" s="9"/>
      <c r="DDF40" s="10"/>
      <c r="DDG40" s="11"/>
      <c r="DDH40" s="12"/>
      <c r="DDI40" s="12"/>
      <c r="DDJ40" s="12"/>
      <c r="DDK40" s="13"/>
      <c r="DDL40" s="9"/>
      <c r="DDM40" s="9"/>
      <c r="DDN40" s="9"/>
      <c r="DDO40" s="9"/>
      <c r="DDP40" s="10"/>
      <c r="DDQ40" s="11"/>
      <c r="DDR40" s="12"/>
      <c r="DDS40" s="12"/>
      <c r="DDT40" s="12"/>
      <c r="DDU40" s="13"/>
      <c r="DDV40" s="9"/>
      <c r="DDW40" s="9"/>
      <c r="DDX40" s="9"/>
      <c r="DDY40" s="9"/>
      <c r="DDZ40" s="10"/>
      <c r="DEA40" s="11"/>
      <c r="DEB40" s="12"/>
      <c r="DEC40" s="12"/>
      <c r="DED40" s="12"/>
      <c r="DEE40" s="13"/>
      <c r="DEF40" s="9"/>
      <c r="DEG40" s="9"/>
      <c r="DEH40" s="9"/>
      <c r="DEI40" s="9"/>
      <c r="DEJ40" s="10"/>
      <c r="DEK40" s="11"/>
      <c r="DEL40" s="12"/>
      <c r="DEM40" s="12"/>
      <c r="DEN40" s="12"/>
      <c r="DEO40" s="13"/>
      <c r="DEP40" s="9"/>
      <c r="DEQ40" s="9"/>
      <c r="DER40" s="9"/>
      <c r="DES40" s="9"/>
      <c r="DET40" s="10"/>
      <c r="DEU40" s="11"/>
      <c r="DEV40" s="12"/>
      <c r="DEW40" s="12"/>
      <c r="DEX40" s="12"/>
      <c r="DEY40" s="13"/>
      <c r="DEZ40" s="9"/>
      <c r="DFA40" s="9"/>
      <c r="DFB40" s="9"/>
      <c r="DFC40" s="9"/>
      <c r="DFD40" s="10"/>
      <c r="DFE40" s="11"/>
      <c r="DFF40" s="12"/>
      <c r="DFG40" s="12"/>
      <c r="DFH40" s="12"/>
      <c r="DFI40" s="13"/>
      <c r="DFJ40" s="9"/>
      <c r="DFK40" s="9"/>
      <c r="DFL40" s="9"/>
      <c r="DFM40" s="9"/>
      <c r="DFN40" s="10"/>
      <c r="DFO40" s="11"/>
      <c r="DFP40" s="12"/>
      <c r="DFQ40" s="12"/>
      <c r="DFR40" s="12"/>
      <c r="DFS40" s="13"/>
      <c r="DFT40" s="9"/>
      <c r="DFU40" s="9"/>
      <c r="DFV40" s="9"/>
      <c r="DFW40" s="9"/>
      <c r="DFX40" s="10"/>
      <c r="DFY40" s="11"/>
      <c r="DFZ40" s="12"/>
      <c r="DGA40" s="12"/>
      <c r="DGB40" s="12"/>
      <c r="DGC40" s="13"/>
      <c r="DGD40" s="9"/>
      <c r="DGE40" s="9"/>
      <c r="DGF40" s="9"/>
      <c r="DGG40" s="9"/>
      <c r="DGH40" s="10"/>
      <c r="DGI40" s="11"/>
      <c r="DGJ40" s="12"/>
      <c r="DGK40" s="12"/>
      <c r="DGL40" s="12"/>
      <c r="DGM40" s="13"/>
      <c r="DGN40" s="9"/>
      <c r="DGO40" s="9"/>
      <c r="DGP40" s="9"/>
      <c r="DGQ40" s="9"/>
      <c r="DGR40" s="10"/>
      <c r="DGS40" s="11"/>
      <c r="DGT40" s="12"/>
      <c r="DGU40" s="12"/>
      <c r="DGV40" s="12"/>
      <c r="DGW40" s="13"/>
      <c r="DGX40" s="9"/>
      <c r="DGY40" s="9"/>
      <c r="DGZ40" s="9"/>
      <c r="DHA40" s="9"/>
      <c r="DHB40" s="10"/>
      <c r="DHC40" s="11"/>
      <c r="DHD40" s="12"/>
      <c r="DHE40" s="12"/>
      <c r="DHF40" s="12"/>
      <c r="DHG40" s="13"/>
      <c r="DHH40" s="9"/>
      <c r="DHI40" s="9"/>
      <c r="DHJ40" s="9"/>
      <c r="DHK40" s="9"/>
      <c r="DHL40" s="10"/>
      <c r="DHM40" s="11"/>
      <c r="DHN40" s="12"/>
      <c r="DHO40" s="12"/>
      <c r="DHP40" s="12"/>
      <c r="DHQ40" s="13"/>
      <c r="DHR40" s="9"/>
      <c r="DHS40" s="9"/>
      <c r="DHT40" s="9"/>
      <c r="DHU40" s="9"/>
      <c r="DHV40" s="10"/>
      <c r="DHW40" s="11"/>
      <c r="DHX40" s="12"/>
      <c r="DHY40" s="12"/>
      <c r="DHZ40" s="12"/>
      <c r="DIA40" s="13"/>
      <c r="DIB40" s="9"/>
      <c r="DIC40" s="9"/>
      <c r="DID40" s="9"/>
      <c r="DIE40" s="9"/>
      <c r="DIF40" s="10"/>
      <c r="DIG40" s="11"/>
      <c r="DIH40" s="12"/>
      <c r="DII40" s="12"/>
      <c r="DIJ40" s="12"/>
      <c r="DIK40" s="13"/>
      <c r="DIL40" s="9"/>
      <c r="DIM40" s="9"/>
      <c r="DIN40" s="9"/>
      <c r="DIO40" s="9"/>
      <c r="DIP40" s="10"/>
      <c r="DIQ40" s="11"/>
      <c r="DIR40" s="12"/>
      <c r="DIS40" s="12"/>
      <c r="DIT40" s="12"/>
      <c r="DIU40" s="13"/>
      <c r="DIV40" s="9"/>
      <c r="DIW40" s="9"/>
      <c r="DIX40" s="9"/>
      <c r="DIY40" s="9"/>
      <c r="DIZ40" s="10"/>
      <c r="DJA40" s="11"/>
      <c r="DJB40" s="12"/>
      <c r="DJC40" s="12"/>
      <c r="DJD40" s="12"/>
      <c r="DJE40" s="13"/>
      <c r="DJF40" s="9"/>
      <c r="DJG40" s="9"/>
      <c r="DJH40" s="9"/>
      <c r="DJI40" s="9"/>
      <c r="DJJ40" s="10"/>
      <c r="DJK40" s="11"/>
      <c r="DJL40" s="12"/>
      <c r="DJM40" s="12"/>
      <c r="DJN40" s="12"/>
      <c r="DJO40" s="13"/>
      <c r="DJP40" s="9"/>
      <c r="DJQ40" s="9"/>
      <c r="DJR40" s="9"/>
      <c r="DJS40" s="9"/>
      <c r="DJT40" s="10"/>
      <c r="DJU40" s="11"/>
      <c r="DJV40" s="12"/>
      <c r="DJW40" s="12"/>
      <c r="DJX40" s="12"/>
      <c r="DJY40" s="13"/>
      <c r="DJZ40" s="9"/>
      <c r="DKA40" s="9"/>
      <c r="DKB40" s="9"/>
      <c r="DKC40" s="9"/>
      <c r="DKD40" s="10"/>
      <c r="DKE40" s="11"/>
      <c r="DKF40" s="12"/>
      <c r="DKG40" s="12"/>
      <c r="DKH40" s="12"/>
      <c r="DKI40" s="13"/>
      <c r="DKJ40" s="9"/>
      <c r="DKK40" s="9"/>
      <c r="DKL40" s="9"/>
      <c r="DKM40" s="9"/>
      <c r="DKN40" s="10"/>
      <c r="DKO40" s="11"/>
      <c r="DKP40" s="12"/>
      <c r="DKQ40" s="12"/>
      <c r="DKR40" s="12"/>
      <c r="DKS40" s="13"/>
      <c r="DKT40" s="9"/>
      <c r="DKU40" s="9"/>
      <c r="DKV40" s="9"/>
      <c r="DKW40" s="9"/>
      <c r="DKX40" s="10"/>
      <c r="DKY40" s="11"/>
      <c r="DKZ40" s="12"/>
      <c r="DLA40" s="12"/>
      <c r="DLB40" s="12"/>
      <c r="DLC40" s="13"/>
      <c r="DLD40" s="9"/>
      <c r="DLE40" s="9"/>
      <c r="DLF40" s="9"/>
      <c r="DLG40" s="9"/>
      <c r="DLH40" s="10"/>
      <c r="DLI40" s="11"/>
      <c r="DLJ40" s="12"/>
      <c r="DLK40" s="12"/>
      <c r="DLL40" s="12"/>
      <c r="DLM40" s="13"/>
      <c r="DLN40" s="9"/>
      <c r="DLO40" s="9"/>
      <c r="DLP40" s="9"/>
      <c r="DLQ40" s="9"/>
      <c r="DLR40" s="10"/>
      <c r="DLS40" s="11"/>
      <c r="DLT40" s="12"/>
      <c r="DLU40" s="12"/>
      <c r="DLV40" s="12"/>
      <c r="DLW40" s="13"/>
      <c r="DLX40" s="9"/>
      <c r="DLY40" s="9"/>
      <c r="DLZ40" s="9"/>
      <c r="DMA40" s="9"/>
      <c r="DMB40" s="10"/>
      <c r="DMC40" s="11"/>
      <c r="DMD40" s="12"/>
      <c r="DME40" s="12"/>
      <c r="DMF40" s="12"/>
      <c r="DMG40" s="13"/>
      <c r="DMH40" s="9"/>
      <c r="DMI40" s="9"/>
      <c r="DMJ40" s="9"/>
      <c r="DMK40" s="9"/>
      <c r="DML40" s="10"/>
      <c r="DMM40" s="11"/>
      <c r="DMN40" s="12"/>
      <c r="DMO40" s="12"/>
      <c r="DMP40" s="12"/>
      <c r="DMQ40" s="13"/>
      <c r="DMR40" s="9"/>
      <c r="DMS40" s="9"/>
      <c r="DMT40" s="9"/>
      <c r="DMU40" s="9"/>
      <c r="DMV40" s="10"/>
      <c r="DMW40" s="11"/>
      <c r="DMX40" s="12"/>
      <c r="DMY40" s="12"/>
      <c r="DMZ40" s="12"/>
      <c r="DNA40" s="13"/>
      <c r="DNB40" s="9"/>
      <c r="DNC40" s="9"/>
      <c r="DND40" s="9"/>
      <c r="DNE40" s="9"/>
      <c r="DNF40" s="10"/>
      <c r="DNG40" s="11"/>
      <c r="DNH40" s="12"/>
      <c r="DNI40" s="12"/>
      <c r="DNJ40" s="12"/>
      <c r="DNK40" s="13"/>
      <c r="DNL40" s="9"/>
      <c r="DNM40" s="9"/>
      <c r="DNN40" s="9"/>
      <c r="DNO40" s="9"/>
      <c r="DNP40" s="10"/>
      <c r="DNQ40" s="11"/>
      <c r="DNR40" s="12"/>
      <c r="DNS40" s="12"/>
      <c r="DNT40" s="12"/>
      <c r="DNU40" s="13"/>
      <c r="DNV40" s="9"/>
      <c r="DNW40" s="9"/>
      <c r="DNX40" s="9"/>
      <c r="DNY40" s="9"/>
      <c r="DNZ40" s="10"/>
      <c r="DOA40" s="11"/>
      <c r="DOB40" s="12"/>
      <c r="DOC40" s="12"/>
      <c r="DOD40" s="12"/>
      <c r="DOE40" s="13"/>
      <c r="DOF40" s="9"/>
      <c r="DOG40" s="9"/>
      <c r="DOH40" s="9"/>
      <c r="DOI40" s="9"/>
      <c r="DOJ40" s="10"/>
      <c r="DOK40" s="11"/>
      <c r="DOL40" s="12"/>
      <c r="DOM40" s="12"/>
      <c r="DON40" s="12"/>
      <c r="DOO40" s="13"/>
      <c r="DOP40" s="9"/>
      <c r="DOQ40" s="9"/>
      <c r="DOR40" s="9"/>
      <c r="DOS40" s="9"/>
      <c r="DOT40" s="10"/>
      <c r="DOU40" s="11"/>
      <c r="DOV40" s="12"/>
      <c r="DOW40" s="12"/>
      <c r="DOX40" s="12"/>
      <c r="DOY40" s="13"/>
      <c r="DOZ40" s="9"/>
      <c r="DPA40" s="9"/>
      <c r="DPB40" s="9"/>
      <c r="DPC40" s="9"/>
      <c r="DPD40" s="10"/>
      <c r="DPE40" s="11"/>
      <c r="DPF40" s="12"/>
      <c r="DPG40" s="12"/>
      <c r="DPH40" s="12"/>
      <c r="DPI40" s="13"/>
      <c r="DPJ40" s="9"/>
      <c r="DPK40" s="9"/>
      <c r="DPL40" s="9"/>
      <c r="DPM40" s="9"/>
      <c r="DPN40" s="10"/>
      <c r="DPO40" s="11"/>
      <c r="DPP40" s="12"/>
      <c r="DPQ40" s="12"/>
      <c r="DPR40" s="12"/>
      <c r="DPS40" s="13"/>
      <c r="DPT40" s="9"/>
      <c r="DPU40" s="9"/>
      <c r="DPV40" s="9"/>
      <c r="DPW40" s="9"/>
      <c r="DPX40" s="10"/>
      <c r="DPY40" s="11"/>
      <c r="DPZ40" s="12"/>
      <c r="DQA40" s="12"/>
      <c r="DQB40" s="12"/>
      <c r="DQC40" s="13"/>
      <c r="DQD40" s="9"/>
      <c r="DQE40" s="9"/>
      <c r="DQF40" s="9"/>
      <c r="DQG40" s="9"/>
      <c r="DQH40" s="10"/>
      <c r="DQI40" s="11"/>
      <c r="DQJ40" s="12"/>
      <c r="DQK40" s="12"/>
      <c r="DQL40" s="12"/>
      <c r="DQM40" s="13"/>
      <c r="DQN40" s="9"/>
      <c r="DQO40" s="9"/>
      <c r="DQP40" s="9"/>
      <c r="DQQ40" s="9"/>
      <c r="DQR40" s="10"/>
      <c r="DQS40" s="11"/>
      <c r="DQT40" s="12"/>
      <c r="DQU40" s="12"/>
      <c r="DQV40" s="12"/>
      <c r="DQW40" s="13"/>
      <c r="DQX40" s="9"/>
      <c r="DQY40" s="9"/>
      <c r="DQZ40" s="9"/>
      <c r="DRA40" s="9"/>
      <c r="DRB40" s="10"/>
      <c r="DRC40" s="11"/>
      <c r="DRD40" s="12"/>
      <c r="DRE40" s="12"/>
      <c r="DRF40" s="12"/>
      <c r="DRG40" s="13"/>
      <c r="DRH40" s="9"/>
      <c r="DRI40" s="9"/>
      <c r="DRJ40" s="9"/>
      <c r="DRK40" s="9"/>
      <c r="DRL40" s="10"/>
      <c r="DRM40" s="11"/>
      <c r="DRN40" s="12"/>
      <c r="DRO40" s="12"/>
      <c r="DRP40" s="12"/>
      <c r="DRQ40" s="13"/>
      <c r="DRR40" s="9"/>
      <c r="DRS40" s="9"/>
      <c r="DRT40" s="9"/>
      <c r="DRU40" s="9"/>
      <c r="DRV40" s="10"/>
      <c r="DRW40" s="11"/>
      <c r="DRX40" s="12"/>
      <c r="DRY40" s="12"/>
      <c r="DRZ40" s="12"/>
      <c r="DSA40" s="13"/>
      <c r="DSB40" s="9"/>
      <c r="DSC40" s="9"/>
      <c r="DSD40" s="9"/>
      <c r="DSE40" s="9"/>
      <c r="DSF40" s="10"/>
      <c r="DSG40" s="11"/>
      <c r="DSH40" s="12"/>
      <c r="DSI40" s="12"/>
      <c r="DSJ40" s="12"/>
      <c r="DSK40" s="13"/>
      <c r="DSL40" s="9"/>
      <c r="DSM40" s="9"/>
      <c r="DSN40" s="9"/>
      <c r="DSO40" s="9"/>
      <c r="DSP40" s="10"/>
      <c r="DSQ40" s="11"/>
      <c r="DSR40" s="12"/>
      <c r="DSS40" s="12"/>
      <c r="DST40" s="12"/>
      <c r="DSU40" s="13"/>
      <c r="DSV40" s="9"/>
      <c r="DSW40" s="9"/>
      <c r="DSX40" s="9"/>
      <c r="DSY40" s="9"/>
      <c r="DSZ40" s="10"/>
      <c r="DTA40" s="11"/>
      <c r="DTB40" s="12"/>
      <c r="DTC40" s="12"/>
      <c r="DTD40" s="12"/>
      <c r="DTE40" s="13"/>
      <c r="DTF40" s="9"/>
      <c r="DTG40" s="9"/>
      <c r="DTH40" s="9"/>
      <c r="DTI40" s="9"/>
      <c r="DTJ40" s="10"/>
      <c r="DTK40" s="11"/>
      <c r="DTL40" s="12"/>
      <c r="DTM40" s="12"/>
      <c r="DTN40" s="12"/>
      <c r="DTO40" s="13"/>
      <c r="DTP40" s="9"/>
      <c r="DTQ40" s="9"/>
      <c r="DTR40" s="9"/>
      <c r="DTS40" s="9"/>
      <c r="DTT40" s="10"/>
      <c r="DTU40" s="11"/>
      <c r="DTV40" s="12"/>
      <c r="DTW40" s="12"/>
      <c r="DTX40" s="12"/>
      <c r="DTY40" s="13"/>
      <c r="DTZ40" s="9"/>
      <c r="DUA40" s="9"/>
      <c r="DUB40" s="9"/>
      <c r="DUC40" s="9"/>
      <c r="DUD40" s="10"/>
      <c r="DUE40" s="11"/>
      <c r="DUF40" s="12"/>
      <c r="DUG40" s="12"/>
      <c r="DUH40" s="12"/>
      <c r="DUI40" s="13"/>
      <c r="DUJ40" s="9"/>
      <c r="DUK40" s="9"/>
      <c r="DUL40" s="9"/>
      <c r="DUM40" s="9"/>
      <c r="DUN40" s="10"/>
      <c r="DUO40" s="11"/>
      <c r="DUP40" s="12"/>
      <c r="DUQ40" s="12"/>
      <c r="DUR40" s="12"/>
      <c r="DUS40" s="13"/>
      <c r="DUT40" s="9"/>
      <c r="DUU40" s="9"/>
      <c r="DUV40" s="9"/>
      <c r="DUW40" s="9"/>
      <c r="DUX40" s="10"/>
      <c r="DUY40" s="11"/>
      <c r="DUZ40" s="12"/>
      <c r="DVA40" s="12"/>
      <c r="DVB40" s="12"/>
      <c r="DVC40" s="13"/>
      <c r="DVD40" s="9"/>
      <c r="DVE40" s="9"/>
      <c r="DVF40" s="9"/>
      <c r="DVG40" s="9"/>
      <c r="DVH40" s="10"/>
      <c r="DVI40" s="11"/>
      <c r="DVJ40" s="12"/>
      <c r="DVK40" s="12"/>
      <c r="DVL40" s="12"/>
      <c r="DVM40" s="13"/>
      <c r="DVN40" s="9"/>
      <c r="DVO40" s="9"/>
      <c r="DVP40" s="9"/>
      <c r="DVQ40" s="9"/>
      <c r="DVR40" s="10"/>
      <c r="DVS40" s="11"/>
      <c r="DVT40" s="12"/>
      <c r="DVU40" s="12"/>
      <c r="DVV40" s="12"/>
      <c r="DVW40" s="13"/>
      <c r="DVX40" s="9"/>
      <c r="DVY40" s="9"/>
      <c r="DVZ40" s="9"/>
      <c r="DWA40" s="9"/>
      <c r="DWB40" s="10"/>
      <c r="DWC40" s="11"/>
      <c r="DWD40" s="12"/>
      <c r="DWE40" s="12"/>
      <c r="DWF40" s="12"/>
      <c r="DWG40" s="13"/>
      <c r="DWH40" s="9"/>
      <c r="DWI40" s="9"/>
      <c r="DWJ40" s="9"/>
      <c r="DWK40" s="9"/>
      <c r="DWL40" s="10"/>
      <c r="DWM40" s="11"/>
      <c r="DWN40" s="12"/>
      <c r="DWO40" s="12"/>
      <c r="DWP40" s="12"/>
      <c r="DWQ40" s="13"/>
      <c r="DWR40" s="9"/>
      <c r="DWS40" s="9"/>
      <c r="DWT40" s="9"/>
      <c r="DWU40" s="9"/>
      <c r="DWV40" s="10"/>
      <c r="DWW40" s="11"/>
      <c r="DWX40" s="12"/>
      <c r="DWY40" s="12"/>
      <c r="DWZ40" s="12"/>
      <c r="DXA40" s="13"/>
      <c r="DXB40" s="9"/>
      <c r="DXC40" s="9"/>
      <c r="DXD40" s="9"/>
      <c r="DXE40" s="9"/>
      <c r="DXF40" s="10"/>
      <c r="DXG40" s="11"/>
      <c r="DXH40" s="12"/>
      <c r="DXI40" s="12"/>
      <c r="DXJ40" s="12"/>
      <c r="DXK40" s="13"/>
      <c r="DXL40" s="9"/>
      <c r="DXM40" s="9"/>
      <c r="DXN40" s="9"/>
      <c r="DXO40" s="9"/>
      <c r="DXP40" s="10"/>
      <c r="DXQ40" s="11"/>
      <c r="DXR40" s="12"/>
      <c r="DXS40" s="12"/>
      <c r="DXT40" s="12"/>
      <c r="DXU40" s="13"/>
      <c r="DXV40" s="9"/>
      <c r="DXW40" s="9"/>
      <c r="DXX40" s="9"/>
      <c r="DXY40" s="9"/>
      <c r="DXZ40" s="10"/>
      <c r="DYA40" s="11"/>
      <c r="DYB40" s="12"/>
      <c r="DYC40" s="12"/>
      <c r="DYD40" s="12"/>
      <c r="DYE40" s="13"/>
      <c r="DYF40" s="9"/>
      <c r="DYG40" s="9"/>
      <c r="DYH40" s="9"/>
      <c r="DYI40" s="9"/>
      <c r="DYJ40" s="10"/>
      <c r="DYK40" s="11"/>
      <c r="DYL40" s="12"/>
      <c r="DYM40" s="12"/>
      <c r="DYN40" s="12"/>
      <c r="DYO40" s="13"/>
      <c r="DYP40" s="9"/>
      <c r="DYQ40" s="9"/>
      <c r="DYR40" s="9"/>
      <c r="DYS40" s="9"/>
      <c r="DYT40" s="10"/>
      <c r="DYU40" s="11"/>
      <c r="DYV40" s="12"/>
      <c r="DYW40" s="12"/>
      <c r="DYX40" s="12"/>
      <c r="DYY40" s="13"/>
      <c r="DYZ40" s="9"/>
      <c r="DZA40" s="9"/>
      <c r="DZB40" s="9"/>
      <c r="DZC40" s="9"/>
      <c r="DZD40" s="10"/>
      <c r="DZE40" s="11"/>
      <c r="DZF40" s="12"/>
      <c r="DZG40" s="12"/>
      <c r="DZH40" s="12"/>
      <c r="DZI40" s="13"/>
      <c r="DZJ40" s="9"/>
      <c r="DZK40" s="9"/>
      <c r="DZL40" s="9"/>
      <c r="DZM40" s="9"/>
      <c r="DZN40" s="10"/>
      <c r="DZO40" s="11"/>
      <c r="DZP40" s="12"/>
      <c r="DZQ40" s="12"/>
      <c r="DZR40" s="12"/>
      <c r="DZS40" s="13"/>
      <c r="DZT40" s="9"/>
      <c r="DZU40" s="9"/>
      <c r="DZV40" s="9"/>
      <c r="DZW40" s="9"/>
      <c r="DZX40" s="10"/>
      <c r="DZY40" s="11"/>
      <c r="DZZ40" s="12"/>
      <c r="EAA40" s="12"/>
      <c r="EAB40" s="12"/>
      <c r="EAC40" s="13"/>
      <c r="EAD40" s="9"/>
      <c r="EAE40" s="9"/>
      <c r="EAF40" s="9"/>
      <c r="EAG40" s="9"/>
      <c r="EAH40" s="10"/>
      <c r="EAI40" s="11"/>
      <c r="EAJ40" s="12"/>
      <c r="EAK40" s="12"/>
      <c r="EAL40" s="12"/>
      <c r="EAM40" s="13"/>
      <c r="EAN40" s="9"/>
      <c r="EAO40" s="9"/>
      <c r="EAP40" s="9"/>
      <c r="EAQ40" s="9"/>
      <c r="EAR40" s="10"/>
      <c r="EAS40" s="11"/>
      <c r="EAT40" s="12"/>
      <c r="EAU40" s="12"/>
      <c r="EAV40" s="12"/>
      <c r="EAW40" s="13"/>
      <c r="EAX40" s="9"/>
      <c r="EAY40" s="9"/>
      <c r="EAZ40" s="9"/>
      <c r="EBA40" s="9"/>
      <c r="EBB40" s="10"/>
      <c r="EBC40" s="11"/>
      <c r="EBD40" s="12"/>
      <c r="EBE40" s="12"/>
      <c r="EBF40" s="12"/>
      <c r="EBG40" s="13"/>
      <c r="EBH40" s="9"/>
      <c r="EBI40" s="9"/>
      <c r="EBJ40" s="9"/>
      <c r="EBK40" s="9"/>
      <c r="EBL40" s="10"/>
      <c r="EBM40" s="11"/>
      <c r="EBN40" s="12"/>
      <c r="EBO40" s="12"/>
      <c r="EBP40" s="12"/>
      <c r="EBQ40" s="13"/>
      <c r="EBR40" s="9"/>
      <c r="EBS40" s="9"/>
      <c r="EBT40" s="9"/>
      <c r="EBU40" s="9"/>
      <c r="EBV40" s="10"/>
      <c r="EBW40" s="11"/>
      <c r="EBX40" s="12"/>
      <c r="EBY40" s="12"/>
      <c r="EBZ40" s="12"/>
      <c r="ECA40" s="13"/>
      <c r="ECB40" s="9"/>
      <c r="ECC40" s="9"/>
      <c r="ECD40" s="9"/>
      <c r="ECE40" s="9"/>
      <c r="ECF40" s="10"/>
      <c r="ECG40" s="11"/>
      <c r="ECH40" s="12"/>
      <c r="ECI40" s="12"/>
      <c r="ECJ40" s="12"/>
      <c r="ECK40" s="13"/>
      <c r="ECL40" s="9"/>
      <c r="ECM40" s="9"/>
      <c r="ECN40" s="9"/>
      <c r="ECO40" s="9"/>
      <c r="ECP40" s="10"/>
      <c r="ECQ40" s="11"/>
      <c r="ECR40" s="12"/>
      <c r="ECS40" s="12"/>
      <c r="ECT40" s="12"/>
      <c r="ECU40" s="13"/>
      <c r="ECV40" s="9"/>
      <c r="ECW40" s="9"/>
      <c r="ECX40" s="9"/>
      <c r="ECY40" s="9"/>
      <c r="ECZ40" s="10"/>
      <c r="EDA40" s="11"/>
      <c r="EDB40" s="12"/>
      <c r="EDC40" s="12"/>
      <c r="EDD40" s="12"/>
      <c r="EDE40" s="13"/>
      <c r="EDF40" s="9"/>
      <c r="EDG40" s="9"/>
      <c r="EDH40" s="9"/>
      <c r="EDI40" s="9"/>
      <c r="EDJ40" s="10"/>
      <c r="EDK40" s="11"/>
      <c r="EDL40" s="12"/>
      <c r="EDM40" s="12"/>
      <c r="EDN40" s="12"/>
      <c r="EDO40" s="13"/>
      <c r="EDP40" s="9"/>
      <c r="EDQ40" s="9"/>
      <c r="EDR40" s="9"/>
      <c r="EDS40" s="9"/>
      <c r="EDT40" s="10"/>
      <c r="EDU40" s="11"/>
      <c r="EDV40" s="12"/>
      <c r="EDW40" s="12"/>
      <c r="EDX40" s="12"/>
      <c r="EDY40" s="13"/>
      <c r="EDZ40" s="9"/>
      <c r="EEA40" s="9"/>
      <c r="EEB40" s="9"/>
      <c r="EEC40" s="9"/>
      <c r="EED40" s="10"/>
      <c r="EEE40" s="11"/>
      <c r="EEF40" s="12"/>
      <c r="EEG40" s="12"/>
      <c r="EEH40" s="12"/>
      <c r="EEI40" s="13"/>
      <c r="EEJ40" s="9"/>
      <c r="EEK40" s="9"/>
      <c r="EEL40" s="9"/>
      <c r="EEM40" s="9"/>
      <c r="EEN40" s="10"/>
      <c r="EEO40" s="11"/>
      <c r="EEP40" s="12"/>
      <c r="EEQ40" s="12"/>
      <c r="EER40" s="12"/>
      <c r="EES40" s="13"/>
      <c r="EET40" s="9"/>
      <c r="EEU40" s="9"/>
      <c r="EEV40" s="9"/>
      <c r="EEW40" s="9"/>
      <c r="EEX40" s="10"/>
      <c r="EEY40" s="11"/>
      <c r="EEZ40" s="12"/>
      <c r="EFA40" s="12"/>
      <c r="EFB40" s="12"/>
      <c r="EFC40" s="13"/>
      <c r="EFD40" s="9"/>
      <c r="EFE40" s="9"/>
      <c r="EFF40" s="9"/>
      <c r="EFG40" s="9"/>
      <c r="EFH40" s="10"/>
      <c r="EFI40" s="11"/>
      <c r="EFJ40" s="12"/>
      <c r="EFK40" s="12"/>
      <c r="EFL40" s="12"/>
      <c r="EFM40" s="13"/>
      <c r="EFN40" s="9"/>
      <c r="EFO40" s="9"/>
      <c r="EFP40" s="9"/>
      <c r="EFQ40" s="9"/>
      <c r="EFR40" s="10"/>
      <c r="EFS40" s="11"/>
      <c r="EFT40" s="12"/>
      <c r="EFU40" s="12"/>
      <c r="EFV40" s="12"/>
      <c r="EFW40" s="13"/>
      <c r="EFX40" s="9"/>
      <c r="EFY40" s="9"/>
      <c r="EFZ40" s="9"/>
      <c r="EGA40" s="9"/>
      <c r="EGB40" s="10"/>
      <c r="EGC40" s="11"/>
      <c r="EGD40" s="12"/>
      <c r="EGE40" s="12"/>
      <c r="EGF40" s="12"/>
      <c r="EGG40" s="13"/>
      <c r="EGH40" s="9"/>
      <c r="EGI40" s="9"/>
      <c r="EGJ40" s="9"/>
      <c r="EGK40" s="9"/>
      <c r="EGL40" s="10"/>
      <c r="EGM40" s="11"/>
      <c r="EGN40" s="12"/>
      <c r="EGO40" s="12"/>
      <c r="EGP40" s="12"/>
      <c r="EGQ40" s="13"/>
      <c r="EGR40" s="9"/>
      <c r="EGS40" s="9"/>
      <c r="EGT40" s="9"/>
      <c r="EGU40" s="9"/>
      <c r="EGV40" s="10"/>
      <c r="EGW40" s="11"/>
      <c r="EGX40" s="12"/>
      <c r="EGY40" s="12"/>
      <c r="EGZ40" s="12"/>
      <c r="EHA40" s="13"/>
      <c r="EHB40" s="9"/>
      <c r="EHC40" s="9"/>
      <c r="EHD40" s="9"/>
      <c r="EHE40" s="9"/>
      <c r="EHF40" s="10"/>
      <c r="EHG40" s="11"/>
      <c r="EHH40" s="12"/>
      <c r="EHI40" s="12"/>
      <c r="EHJ40" s="12"/>
      <c r="EHK40" s="13"/>
      <c r="EHL40" s="9"/>
      <c r="EHM40" s="9"/>
      <c r="EHN40" s="9"/>
      <c r="EHO40" s="9"/>
      <c r="EHP40" s="10"/>
      <c r="EHQ40" s="11"/>
      <c r="EHR40" s="12"/>
      <c r="EHS40" s="12"/>
      <c r="EHT40" s="12"/>
      <c r="EHU40" s="13"/>
      <c r="EHV40" s="9"/>
      <c r="EHW40" s="9"/>
      <c r="EHX40" s="9"/>
      <c r="EHY40" s="9"/>
      <c r="EHZ40" s="10"/>
      <c r="EIA40" s="11"/>
      <c r="EIB40" s="12"/>
      <c r="EIC40" s="12"/>
      <c r="EID40" s="12"/>
      <c r="EIE40" s="13"/>
      <c r="EIF40" s="9"/>
      <c r="EIG40" s="9"/>
      <c r="EIH40" s="9"/>
      <c r="EII40" s="9"/>
      <c r="EIJ40" s="10"/>
      <c r="EIK40" s="11"/>
      <c r="EIL40" s="12"/>
      <c r="EIM40" s="12"/>
      <c r="EIN40" s="12"/>
      <c r="EIO40" s="13"/>
      <c r="EIP40" s="9"/>
      <c r="EIQ40" s="9"/>
      <c r="EIR40" s="9"/>
      <c r="EIS40" s="9"/>
      <c r="EIT40" s="10"/>
      <c r="EIU40" s="11"/>
      <c r="EIV40" s="12"/>
      <c r="EIW40" s="12"/>
      <c r="EIX40" s="12"/>
      <c r="EIY40" s="13"/>
      <c r="EIZ40" s="9"/>
      <c r="EJA40" s="9"/>
      <c r="EJB40" s="9"/>
      <c r="EJC40" s="9"/>
      <c r="EJD40" s="10"/>
      <c r="EJE40" s="11"/>
      <c r="EJF40" s="12"/>
      <c r="EJG40" s="12"/>
      <c r="EJH40" s="12"/>
      <c r="EJI40" s="13"/>
      <c r="EJJ40" s="9"/>
      <c r="EJK40" s="9"/>
      <c r="EJL40" s="9"/>
      <c r="EJM40" s="9"/>
      <c r="EJN40" s="10"/>
      <c r="EJO40" s="11"/>
      <c r="EJP40" s="12"/>
      <c r="EJQ40" s="12"/>
      <c r="EJR40" s="12"/>
      <c r="EJS40" s="13"/>
      <c r="EJT40" s="9"/>
      <c r="EJU40" s="9"/>
      <c r="EJV40" s="9"/>
      <c r="EJW40" s="9"/>
      <c r="EJX40" s="10"/>
      <c r="EJY40" s="11"/>
      <c r="EJZ40" s="12"/>
      <c r="EKA40" s="12"/>
      <c r="EKB40" s="12"/>
      <c r="EKC40" s="13"/>
      <c r="EKD40" s="9"/>
      <c r="EKE40" s="9"/>
      <c r="EKF40" s="9"/>
      <c r="EKG40" s="9"/>
      <c r="EKH40" s="10"/>
      <c r="EKI40" s="11"/>
      <c r="EKJ40" s="12"/>
      <c r="EKK40" s="12"/>
      <c r="EKL40" s="12"/>
      <c r="EKM40" s="13"/>
      <c r="EKN40" s="9"/>
      <c r="EKO40" s="9"/>
      <c r="EKP40" s="9"/>
      <c r="EKQ40" s="9"/>
      <c r="EKR40" s="10"/>
      <c r="EKS40" s="11"/>
      <c r="EKT40" s="12"/>
      <c r="EKU40" s="12"/>
      <c r="EKV40" s="12"/>
      <c r="EKW40" s="13"/>
      <c r="EKX40" s="9"/>
      <c r="EKY40" s="9"/>
      <c r="EKZ40" s="9"/>
      <c r="ELA40" s="9"/>
      <c r="ELB40" s="10"/>
      <c r="ELC40" s="11"/>
      <c r="ELD40" s="12"/>
      <c r="ELE40" s="12"/>
      <c r="ELF40" s="12"/>
      <c r="ELG40" s="13"/>
      <c r="ELH40" s="9"/>
      <c r="ELI40" s="9"/>
      <c r="ELJ40" s="9"/>
      <c r="ELK40" s="9"/>
      <c r="ELL40" s="10"/>
      <c r="ELM40" s="11"/>
      <c r="ELN40" s="12"/>
      <c r="ELO40" s="12"/>
      <c r="ELP40" s="12"/>
      <c r="ELQ40" s="13"/>
      <c r="ELR40" s="9"/>
      <c r="ELS40" s="9"/>
      <c r="ELT40" s="9"/>
      <c r="ELU40" s="9"/>
      <c r="ELV40" s="10"/>
      <c r="ELW40" s="11"/>
      <c r="ELX40" s="12"/>
      <c r="ELY40" s="12"/>
      <c r="ELZ40" s="12"/>
      <c r="EMA40" s="13"/>
      <c r="EMB40" s="9"/>
      <c r="EMC40" s="9"/>
      <c r="EMD40" s="9"/>
      <c r="EME40" s="9"/>
      <c r="EMF40" s="10"/>
      <c r="EMG40" s="11"/>
      <c r="EMH40" s="12"/>
      <c r="EMI40" s="12"/>
      <c r="EMJ40" s="12"/>
      <c r="EMK40" s="13"/>
      <c r="EML40" s="9"/>
      <c r="EMM40" s="9"/>
      <c r="EMN40" s="9"/>
      <c r="EMO40" s="9"/>
      <c r="EMP40" s="10"/>
      <c r="EMQ40" s="11"/>
      <c r="EMR40" s="12"/>
      <c r="EMS40" s="12"/>
      <c r="EMT40" s="12"/>
      <c r="EMU40" s="13"/>
      <c r="EMV40" s="9"/>
      <c r="EMW40" s="9"/>
      <c r="EMX40" s="9"/>
      <c r="EMY40" s="9"/>
      <c r="EMZ40" s="10"/>
      <c r="ENA40" s="11"/>
      <c r="ENB40" s="12"/>
      <c r="ENC40" s="12"/>
      <c r="END40" s="12"/>
      <c r="ENE40" s="13"/>
      <c r="ENF40" s="9"/>
      <c r="ENG40" s="9"/>
      <c r="ENH40" s="9"/>
      <c r="ENI40" s="9"/>
      <c r="ENJ40" s="10"/>
      <c r="ENK40" s="11"/>
      <c r="ENL40" s="12"/>
      <c r="ENM40" s="12"/>
      <c r="ENN40" s="12"/>
      <c r="ENO40" s="13"/>
      <c r="ENP40" s="9"/>
      <c r="ENQ40" s="9"/>
      <c r="ENR40" s="9"/>
      <c r="ENS40" s="9"/>
      <c r="ENT40" s="10"/>
      <c r="ENU40" s="11"/>
      <c r="ENV40" s="12"/>
      <c r="ENW40" s="12"/>
      <c r="ENX40" s="12"/>
      <c r="ENY40" s="13"/>
      <c r="ENZ40" s="9"/>
      <c r="EOA40" s="9"/>
      <c r="EOB40" s="9"/>
      <c r="EOC40" s="9"/>
      <c r="EOD40" s="10"/>
      <c r="EOE40" s="11"/>
      <c r="EOF40" s="12"/>
      <c r="EOG40" s="12"/>
      <c r="EOH40" s="12"/>
      <c r="EOI40" s="13"/>
      <c r="EOJ40" s="9"/>
      <c r="EOK40" s="9"/>
      <c r="EOL40" s="9"/>
      <c r="EOM40" s="9"/>
      <c r="EON40" s="10"/>
      <c r="EOO40" s="11"/>
      <c r="EOP40" s="12"/>
      <c r="EOQ40" s="12"/>
      <c r="EOR40" s="12"/>
      <c r="EOS40" s="13"/>
      <c r="EOT40" s="9"/>
      <c r="EOU40" s="9"/>
      <c r="EOV40" s="9"/>
      <c r="EOW40" s="9"/>
      <c r="EOX40" s="10"/>
      <c r="EOY40" s="11"/>
      <c r="EOZ40" s="12"/>
      <c r="EPA40" s="12"/>
      <c r="EPB40" s="12"/>
      <c r="EPC40" s="13"/>
      <c r="EPD40" s="9"/>
      <c r="EPE40" s="9"/>
      <c r="EPF40" s="9"/>
      <c r="EPG40" s="9"/>
      <c r="EPH40" s="10"/>
      <c r="EPI40" s="11"/>
      <c r="EPJ40" s="12"/>
      <c r="EPK40" s="12"/>
      <c r="EPL40" s="12"/>
      <c r="EPM40" s="13"/>
      <c r="EPN40" s="9"/>
      <c r="EPO40" s="9"/>
      <c r="EPP40" s="9"/>
      <c r="EPQ40" s="9"/>
      <c r="EPR40" s="10"/>
      <c r="EPS40" s="11"/>
      <c r="EPT40" s="12"/>
      <c r="EPU40" s="12"/>
      <c r="EPV40" s="12"/>
      <c r="EPW40" s="13"/>
      <c r="EPX40" s="9"/>
      <c r="EPY40" s="9"/>
      <c r="EPZ40" s="9"/>
      <c r="EQA40" s="9"/>
      <c r="EQB40" s="10"/>
      <c r="EQC40" s="11"/>
      <c r="EQD40" s="12"/>
      <c r="EQE40" s="12"/>
      <c r="EQF40" s="12"/>
      <c r="EQG40" s="13"/>
      <c r="EQH40" s="9"/>
      <c r="EQI40" s="9"/>
      <c r="EQJ40" s="9"/>
      <c r="EQK40" s="9"/>
      <c r="EQL40" s="10"/>
      <c r="EQM40" s="11"/>
      <c r="EQN40" s="12"/>
      <c r="EQO40" s="12"/>
      <c r="EQP40" s="12"/>
      <c r="EQQ40" s="13"/>
      <c r="EQR40" s="9"/>
      <c r="EQS40" s="9"/>
      <c r="EQT40" s="9"/>
      <c r="EQU40" s="9"/>
      <c r="EQV40" s="10"/>
      <c r="EQW40" s="11"/>
      <c r="EQX40" s="12"/>
      <c r="EQY40" s="12"/>
      <c r="EQZ40" s="12"/>
      <c r="ERA40" s="13"/>
      <c r="ERB40" s="9"/>
      <c r="ERC40" s="9"/>
      <c r="ERD40" s="9"/>
      <c r="ERE40" s="9"/>
      <c r="ERF40" s="10"/>
      <c r="ERG40" s="11"/>
      <c r="ERH40" s="12"/>
      <c r="ERI40" s="12"/>
      <c r="ERJ40" s="12"/>
      <c r="ERK40" s="13"/>
      <c r="ERL40" s="9"/>
      <c r="ERM40" s="9"/>
      <c r="ERN40" s="9"/>
      <c r="ERO40" s="9"/>
      <c r="ERP40" s="10"/>
      <c r="ERQ40" s="11"/>
      <c r="ERR40" s="12"/>
      <c r="ERS40" s="12"/>
      <c r="ERT40" s="12"/>
      <c r="ERU40" s="13"/>
      <c r="ERV40" s="9"/>
      <c r="ERW40" s="9"/>
      <c r="ERX40" s="9"/>
      <c r="ERY40" s="9"/>
      <c r="ERZ40" s="10"/>
      <c r="ESA40" s="11"/>
      <c r="ESB40" s="12"/>
      <c r="ESC40" s="12"/>
      <c r="ESD40" s="12"/>
      <c r="ESE40" s="13"/>
      <c r="ESF40" s="9"/>
      <c r="ESG40" s="9"/>
      <c r="ESH40" s="9"/>
      <c r="ESI40" s="9"/>
      <c r="ESJ40" s="10"/>
      <c r="ESK40" s="11"/>
      <c r="ESL40" s="12"/>
      <c r="ESM40" s="12"/>
      <c r="ESN40" s="12"/>
      <c r="ESO40" s="13"/>
      <c r="ESP40" s="9"/>
      <c r="ESQ40" s="9"/>
      <c r="ESR40" s="9"/>
      <c r="ESS40" s="9"/>
      <c r="EST40" s="10"/>
      <c r="ESU40" s="11"/>
      <c r="ESV40" s="12"/>
      <c r="ESW40" s="12"/>
      <c r="ESX40" s="12"/>
      <c r="ESY40" s="13"/>
      <c r="ESZ40" s="9"/>
      <c r="ETA40" s="9"/>
      <c r="ETB40" s="9"/>
      <c r="ETC40" s="9"/>
      <c r="ETD40" s="10"/>
      <c r="ETE40" s="11"/>
      <c r="ETF40" s="12"/>
      <c r="ETG40" s="12"/>
      <c r="ETH40" s="12"/>
      <c r="ETI40" s="13"/>
      <c r="ETJ40" s="9"/>
      <c r="ETK40" s="9"/>
      <c r="ETL40" s="9"/>
      <c r="ETM40" s="9"/>
      <c r="ETN40" s="10"/>
      <c r="ETO40" s="11"/>
      <c r="ETP40" s="12"/>
      <c r="ETQ40" s="12"/>
      <c r="ETR40" s="12"/>
      <c r="ETS40" s="13"/>
      <c r="ETT40" s="9"/>
      <c r="ETU40" s="9"/>
      <c r="ETV40" s="9"/>
      <c r="ETW40" s="9"/>
      <c r="ETX40" s="10"/>
      <c r="ETY40" s="11"/>
      <c r="ETZ40" s="12"/>
      <c r="EUA40" s="12"/>
      <c r="EUB40" s="12"/>
      <c r="EUC40" s="13"/>
      <c r="EUD40" s="9"/>
      <c r="EUE40" s="9"/>
      <c r="EUF40" s="9"/>
      <c r="EUG40" s="9"/>
      <c r="EUH40" s="10"/>
      <c r="EUI40" s="11"/>
      <c r="EUJ40" s="12"/>
      <c r="EUK40" s="12"/>
      <c r="EUL40" s="12"/>
      <c r="EUM40" s="13"/>
      <c r="EUN40" s="9"/>
      <c r="EUO40" s="9"/>
      <c r="EUP40" s="9"/>
      <c r="EUQ40" s="9"/>
      <c r="EUR40" s="10"/>
      <c r="EUS40" s="11"/>
      <c r="EUT40" s="12"/>
      <c r="EUU40" s="12"/>
      <c r="EUV40" s="12"/>
      <c r="EUW40" s="13"/>
      <c r="EUX40" s="9"/>
      <c r="EUY40" s="9"/>
      <c r="EUZ40" s="9"/>
      <c r="EVA40" s="9"/>
      <c r="EVB40" s="10"/>
      <c r="EVC40" s="11"/>
      <c r="EVD40" s="12"/>
      <c r="EVE40" s="12"/>
      <c r="EVF40" s="12"/>
      <c r="EVG40" s="13"/>
      <c r="EVH40" s="9"/>
      <c r="EVI40" s="9"/>
      <c r="EVJ40" s="9"/>
      <c r="EVK40" s="9"/>
      <c r="EVL40" s="10"/>
      <c r="EVM40" s="11"/>
      <c r="EVN40" s="12"/>
      <c r="EVO40" s="12"/>
      <c r="EVP40" s="12"/>
      <c r="EVQ40" s="13"/>
      <c r="EVR40" s="9"/>
      <c r="EVS40" s="9"/>
      <c r="EVT40" s="9"/>
      <c r="EVU40" s="9"/>
      <c r="EVV40" s="10"/>
      <c r="EVW40" s="11"/>
      <c r="EVX40" s="12"/>
      <c r="EVY40" s="12"/>
      <c r="EVZ40" s="12"/>
      <c r="EWA40" s="13"/>
      <c r="EWB40" s="9"/>
      <c r="EWC40" s="9"/>
      <c r="EWD40" s="9"/>
      <c r="EWE40" s="9"/>
      <c r="EWF40" s="10"/>
      <c r="EWG40" s="11"/>
      <c r="EWH40" s="12"/>
      <c r="EWI40" s="12"/>
      <c r="EWJ40" s="12"/>
      <c r="EWK40" s="13"/>
      <c r="EWL40" s="9"/>
      <c r="EWM40" s="9"/>
      <c r="EWN40" s="9"/>
      <c r="EWO40" s="9"/>
      <c r="EWP40" s="10"/>
      <c r="EWQ40" s="11"/>
      <c r="EWR40" s="12"/>
      <c r="EWS40" s="12"/>
      <c r="EWT40" s="12"/>
      <c r="EWU40" s="13"/>
      <c r="EWV40" s="9"/>
      <c r="EWW40" s="9"/>
      <c r="EWX40" s="9"/>
      <c r="EWY40" s="9"/>
      <c r="EWZ40" s="10"/>
      <c r="EXA40" s="11"/>
      <c r="EXB40" s="12"/>
      <c r="EXC40" s="12"/>
      <c r="EXD40" s="12"/>
      <c r="EXE40" s="13"/>
      <c r="EXF40" s="9"/>
      <c r="EXG40" s="9"/>
      <c r="EXH40" s="9"/>
      <c r="EXI40" s="9"/>
      <c r="EXJ40" s="10"/>
      <c r="EXK40" s="11"/>
      <c r="EXL40" s="12"/>
      <c r="EXM40" s="12"/>
      <c r="EXN40" s="12"/>
      <c r="EXO40" s="13"/>
      <c r="EXP40" s="9"/>
      <c r="EXQ40" s="9"/>
      <c r="EXR40" s="9"/>
      <c r="EXS40" s="9"/>
      <c r="EXT40" s="10"/>
      <c r="EXU40" s="11"/>
      <c r="EXV40" s="12"/>
      <c r="EXW40" s="12"/>
      <c r="EXX40" s="12"/>
      <c r="EXY40" s="13"/>
      <c r="EXZ40" s="9"/>
      <c r="EYA40" s="9"/>
      <c r="EYB40" s="9"/>
      <c r="EYC40" s="9"/>
      <c r="EYD40" s="10"/>
      <c r="EYE40" s="11"/>
      <c r="EYF40" s="12"/>
      <c r="EYG40" s="12"/>
      <c r="EYH40" s="12"/>
      <c r="EYI40" s="13"/>
      <c r="EYJ40" s="9"/>
      <c r="EYK40" s="9"/>
      <c r="EYL40" s="9"/>
      <c r="EYM40" s="9"/>
      <c r="EYN40" s="10"/>
      <c r="EYO40" s="11"/>
      <c r="EYP40" s="12"/>
      <c r="EYQ40" s="12"/>
      <c r="EYR40" s="12"/>
      <c r="EYS40" s="13"/>
      <c r="EYT40" s="9"/>
      <c r="EYU40" s="9"/>
      <c r="EYV40" s="9"/>
      <c r="EYW40" s="9"/>
      <c r="EYX40" s="10"/>
      <c r="EYY40" s="11"/>
      <c r="EYZ40" s="12"/>
      <c r="EZA40" s="12"/>
      <c r="EZB40" s="12"/>
      <c r="EZC40" s="13"/>
      <c r="EZD40" s="9"/>
      <c r="EZE40" s="9"/>
      <c r="EZF40" s="9"/>
      <c r="EZG40" s="9"/>
      <c r="EZH40" s="10"/>
      <c r="EZI40" s="11"/>
      <c r="EZJ40" s="12"/>
      <c r="EZK40" s="12"/>
      <c r="EZL40" s="12"/>
      <c r="EZM40" s="13"/>
      <c r="EZN40" s="9"/>
      <c r="EZO40" s="9"/>
      <c r="EZP40" s="9"/>
      <c r="EZQ40" s="9"/>
      <c r="EZR40" s="10"/>
      <c r="EZS40" s="11"/>
      <c r="EZT40" s="12"/>
      <c r="EZU40" s="12"/>
      <c r="EZV40" s="12"/>
      <c r="EZW40" s="13"/>
      <c r="EZX40" s="9"/>
      <c r="EZY40" s="9"/>
      <c r="EZZ40" s="9"/>
      <c r="FAA40" s="9"/>
      <c r="FAB40" s="10"/>
      <c r="FAC40" s="11"/>
      <c r="FAD40" s="12"/>
      <c r="FAE40" s="12"/>
      <c r="FAF40" s="12"/>
      <c r="FAG40" s="13"/>
      <c r="FAH40" s="9"/>
      <c r="FAI40" s="9"/>
      <c r="FAJ40" s="9"/>
      <c r="FAK40" s="9"/>
      <c r="FAL40" s="10"/>
      <c r="FAM40" s="11"/>
      <c r="FAN40" s="12"/>
      <c r="FAO40" s="12"/>
      <c r="FAP40" s="12"/>
      <c r="FAQ40" s="13"/>
      <c r="FAR40" s="9"/>
      <c r="FAS40" s="9"/>
      <c r="FAT40" s="9"/>
      <c r="FAU40" s="9"/>
      <c r="FAV40" s="10"/>
      <c r="FAW40" s="11"/>
      <c r="FAX40" s="12"/>
      <c r="FAY40" s="12"/>
      <c r="FAZ40" s="12"/>
      <c r="FBA40" s="13"/>
      <c r="FBB40" s="9"/>
      <c r="FBC40" s="9"/>
      <c r="FBD40" s="9"/>
      <c r="FBE40" s="9"/>
      <c r="FBF40" s="10"/>
      <c r="FBG40" s="11"/>
      <c r="FBH40" s="12"/>
      <c r="FBI40" s="12"/>
      <c r="FBJ40" s="12"/>
      <c r="FBK40" s="13"/>
      <c r="FBL40" s="9"/>
      <c r="FBM40" s="9"/>
      <c r="FBN40" s="9"/>
      <c r="FBO40" s="9"/>
      <c r="FBP40" s="10"/>
      <c r="FBQ40" s="11"/>
      <c r="FBR40" s="12"/>
      <c r="FBS40" s="12"/>
      <c r="FBT40" s="12"/>
      <c r="FBU40" s="13"/>
      <c r="FBV40" s="9"/>
      <c r="FBW40" s="9"/>
      <c r="FBX40" s="9"/>
      <c r="FBY40" s="9"/>
      <c r="FBZ40" s="10"/>
      <c r="FCA40" s="11"/>
      <c r="FCB40" s="12"/>
      <c r="FCC40" s="12"/>
      <c r="FCD40" s="12"/>
      <c r="FCE40" s="13"/>
      <c r="FCF40" s="9"/>
      <c r="FCG40" s="9"/>
      <c r="FCH40" s="9"/>
      <c r="FCI40" s="9"/>
      <c r="FCJ40" s="10"/>
      <c r="FCK40" s="11"/>
      <c r="FCL40" s="12"/>
      <c r="FCM40" s="12"/>
      <c r="FCN40" s="12"/>
      <c r="FCO40" s="13"/>
      <c r="FCP40" s="9"/>
      <c r="FCQ40" s="9"/>
      <c r="FCR40" s="9"/>
      <c r="FCS40" s="9"/>
      <c r="FCT40" s="10"/>
      <c r="FCU40" s="11"/>
      <c r="FCV40" s="12"/>
      <c r="FCW40" s="12"/>
      <c r="FCX40" s="12"/>
      <c r="FCY40" s="13"/>
      <c r="FCZ40" s="9"/>
      <c r="FDA40" s="9"/>
      <c r="FDB40" s="9"/>
      <c r="FDC40" s="9"/>
      <c r="FDD40" s="10"/>
      <c r="FDE40" s="11"/>
      <c r="FDF40" s="12"/>
      <c r="FDG40" s="12"/>
      <c r="FDH40" s="12"/>
      <c r="FDI40" s="13"/>
      <c r="FDJ40" s="9"/>
      <c r="FDK40" s="9"/>
      <c r="FDL40" s="9"/>
      <c r="FDM40" s="9"/>
      <c r="FDN40" s="10"/>
      <c r="FDO40" s="11"/>
      <c r="FDP40" s="12"/>
      <c r="FDQ40" s="12"/>
      <c r="FDR40" s="12"/>
      <c r="FDS40" s="13"/>
      <c r="FDT40" s="9"/>
      <c r="FDU40" s="9"/>
      <c r="FDV40" s="9"/>
      <c r="FDW40" s="9"/>
      <c r="FDX40" s="10"/>
      <c r="FDY40" s="11"/>
      <c r="FDZ40" s="12"/>
      <c r="FEA40" s="12"/>
      <c r="FEB40" s="12"/>
      <c r="FEC40" s="13"/>
      <c r="FED40" s="9"/>
      <c r="FEE40" s="9"/>
      <c r="FEF40" s="9"/>
      <c r="FEG40" s="9"/>
      <c r="FEH40" s="10"/>
      <c r="FEI40" s="11"/>
      <c r="FEJ40" s="12"/>
      <c r="FEK40" s="12"/>
      <c r="FEL40" s="12"/>
      <c r="FEM40" s="13"/>
      <c r="FEN40" s="9"/>
      <c r="FEO40" s="9"/>
      <c r="FEP40" s="9"/>
      <c r="FEQ40" s="9"/>
      <c r="FER40" s="10"/>
      <c r="FES40" s="11"/>
      <c r="FET40" s="12"/>
      <c r="FEU40" s="12"/>
      <c r="FEV40" s="12"/>
      <c r="FEW40" s="13"/>
      <c r="FEX40" s="9"/>
      <c r="FEY40" s="9"/>
      <c r="FEZ40" s="9"/>
      <c r="FFA40" s="9"/>
      <c r="FFB40" s="10"/>
      <c r="FFC40" s="11"/>
      <c r="FFD40" s="12"/>
      <c r="FFE40" s="12"/>
      <c r="FFF40" s="12"/>
      <c r="FFG40" s="13"/>
      <c r="FFH40" s="9"/>
      <c r="FFI40" s="9"/>
      <c r="FFJ40" s="9"/>
      <c r="FFK40" s="9"/>
      <c r="FFL40" s="10"/>
      <c r="FFM40" s="11"/>
      <c r="FFN40" s="12"/>
      <c r="FFO40" s="12"/>
      <c r="FFP40" s="12"/>
      <c r="FFQ40" s="13"/>
      <c r="FFR40" s="9"/>
      <c r="FFS40" s="9"/>
      <c r="FFT40" s="9"/>
      <c r="FFU40" s="9"/>
      <c r="FFV40" s="10"/>
      <c r="FFW40" s="11"/>
      <c r="FFX40" s="12"/>
      <c r="FFY40" s="12"/>
      <c r="FFZ40" s="12"/>
      <c r="FGA40" s="13"/>
      <c r="FGB40" s="9"/>
      <c r="FGC40" s="9"/>
      <c r="FGD40" s="9"/>
      <c r="FGE40" s="9"/>
      <c r="FGF40" s="10"/>
      <c r="FGG40" s="11"/>
      <c r="FGH40" s="12"/>
      <c r="FGI40" s="12"/>
      <c r="FGJ40" s="12"/>
      <c r="FGK40" s="13"/>
      <c r="FGL40" s="9"/>
      <c r="FGM40" s="9"/>
      <c r="FGN40" s="9"/>
      <c r="FGO40" s="9"/>
      <c r="FGP40" s="10"/>
      <c r="FGQ40" s="11"/>
      <c r="FGR40" s="12"/>
      <c r="FGS40" s="12"/>
      <c r="FGT40" s="12"/>
      <c r="FGU40" s="13"/>
      <c r="FGV40" s="9"/>
      <c r="FGW40" s="9"/>
      <c r="FGX40" s="9"/>
      <c r="FGY40" s="9"/>
      <c r="FGZ40" s="10"/>
      <c r="FHA40" s="11"/>
      <c r="FHB40" s="12"/>
      <c r="FHC40" s="12"/>
      <c r="FHD40" s="12"/>
      <c r="FHE40" s="13"/>
      <c r="FHF40" s="9"/>
      <c r="FHG40" s="9"/>
      <c r="FHH40" s="9"/>
      <c r="FHI40" s="9"/>
      <c r="FHJ40" s="10"/>
      <c r="FHK40" s="11"/>
      <c r="FHL40" s="12"/>
      <c r="FHM40" s="12"/>
      <c r="FHN40" s="12"/>
      <c r="FHO40" s="13"/>
      <c r="FHP40" s="9"/>
      <c r="FHQ40" s="9"/>
      <c r="FHR40" s="9"/>
      <c r="FHS40" s="9"/>
      <c r="FHT40" s="10"/>
      <c r="FHU40" s="11"/>
      <c r="FHV40" s="12"/>
      <c r="FHW40" s="12"/>
      <c r="FHX40" s="12"/>
      <c r="FHY40" s="13"/>
      <c r="FHZ40" s="9"/>
      <c r="FIA40" s="9"/>
      <c r="FIB40" s="9"/>
      <c r="FIC40" s="9"/>
      <c r="FID40" s="10"/>
      <c r="FIE40" s="11"/>
      <c r="FIF40" s="12"/>
      <c r="FIG40" s="12"/>
      <c r="FIH40" s="12"/>
      <c r="FII40" s="13"/>
      <c r="FIJ40" s="9"/>
      <c r="FIK40" s="9"/>
      <c r="FIL40" s="9"/>
      <c r="FIM40" s="9"/>
      <c r="FIN40" s="10"/>
      <c r="FIO40" s="11"/>
      <c r="FIP40" s="12"/>
      <c r="FIQ40" s="12"/>
      <c r="FIR40" s="12"/>
      <c r="FIS40" s="13"/>
      <c r="FIT40" s="9"/>
      <c r="FIU40" s="9"/>
      <c r="FIV40" s="9"/>
      <c r="FIW40" s="9"/>
      <c r="FIX40" s="10"/>
      <c r="FIY40" s="11"/>
      <c r="FIZ40" s="12"/>
      <c r="FJA40" s="12"/>
      <c r="FJB40" s="12"/>
      <c r="FJC40" s="13"/>
      <c r="FJD40" s="9"/>
      <c r="FJE40" s="9"/>
      <c r="FJF40" s="9"/>
      <c r="FJG40" s="9"/>
      <c r="FJH40" s="10"/>
      <c r="FJI40" s="11"/>
      <c r="FJJ40" s="12"/>
      <c r="FJK40" s="12"/>
      <c r="FJL40" s="12"/>
      <c r="FJM40" s="13"/>
      <c r="FJN40" s="9"/>
      <c r="FJO40" s="9"/>
      <c r="FJP40" s="9"/>
      <c r="FJQ40" s="9"/>
      <c r="FJR40" s="10"/>
      <c r="FJS40" s="11"/>
      <c r="FJT40" s="12"/>
      <c r="FJU40" s="12"/>
      <c r="FJV40" s="12"/>
      <c r="FJW40" s="13"/>
      <c r="FJX40" s="9"/>
      <c r="FJY40" s="9"/>
      <c r="FJZ40" s="9"/>
      <c r="FKA40" s="9"/>
      <c r="FKB40" s="10"/>
      <c r="FKC40" s="11"/>
      <c r="FKD40" s="12"/>
      <c r="FKE40" s="12"/>
      <c r="FKF40" s="12"/>
      <c r="FKG40" s="13"/>
      <c r="FKH40" s="9"/>
      <c r="FKI40" s="9"/>
      <c r="FKJ40" s="9"/>
      <c r="FKK40" s="9"/>
      <c r="FKL40" s="10"/>
      <c r="FKM40" s="11"/>
      <c r="FKN40" s="12"/>
      <c r="FKO40" s="12"/>
      <c r="FKP40" s="12"/>
      <c r="FKQ40" s="13"/>
      <c r="FKR40" s="9"/>
      <c r="FKS40" s="9"/>
      <c r="FKT40" s="9"/>
      <c r="FKU40" s="9"/>
      <c r="FKV40" s="10"/>
      <c r="FKW40" s="11"/>
      <c r="FKX40" s="12"/>
      <c r="FKY40" s="12"/>
      <c r="FKZ40" s="12"/>
      <c r="FLA40" s="13"/>
      <c r="FLB40" s="9"/>
      <c r="FLC40" s="9"/>
      <c r="FLD40" s="9"/>
      <c r="FLE40" s="9"/>
      <c r="FLF40" s="10"/>
      <c r="FLG40" s="11"/>
      <c r="FLH40" s="12"/>
      <c r="FLI40" s="12"/>
      <c r="FLJ40" s="12"/>
      <c r="FLK40" s="13"/>
      <c r="FLL40" s="9"/>
      <c r="FLM40" s="9"/>
      <c r="FLN40" s="9"/>
      <c r="FLO40" s="9"/>
      <c r="FLP40" s="10"/>
      <c r="FLQ40" s="11"/>
      <c r="FLR40" s="12"/>
      <c r="FLS40" s="12"/>
      <c r="FLT40" s="12"/>
      <c r="FLU40" s="13"/>
      <c r="FLV40" s="9"/>
      <c r="FLW40" s="9"/>
      <c r="FLX40" s="9"/>
      <c r="FLY40" s="9"/>
      <c r="FLZ40" s="10"/>
      <c r="FMA40" s="11"/>
      <c r="FMB40" s="12"/>
      <c r="FMC40" s="12"/>
      <c r="FMD40" s="12"/>
      <c r="FME40" s="13"/>
      <c r="FMF40" s="9"/>
      <c r="FMG40" s="9"/>
      <c r="FMH40" s="9"/>
      <c r="FMI40" s="9"/>
      <c r="FMJ40" s="10"/>
      <c r="FMK40" s="11"/>
      <c r="FML40" s="12"/>
      <c r="FMM40" s="12"/>
      <c r="FMN40" s="12"/>
      <c r="FMO40" s="13"/>
      <c r="FMP40" s="9"/>
      <c r="FMQ40" s="9"/>
      <c r="FMR40" s="9"/>
      <c r="FMS40" s="9"/>
      <c r="FMT40" s="10"/>
      <c r="FMU40" s="11"/>
      <c r="FMV40" s="12"/>
      <c r="FMW40" s="12"/>
      <c r="FMX40" s="12"/>
      <c r="FMY40" s="13"/>
      <c r="FMZ40" s="9"/>
      <c r="FNA40" s="9"/>
      <c r="FNB40" s="9"/>
      <c r="FNC40" s="9"/>
      <c r="FND40" s="10"/>
      <c r="FNE40" s="11"/>
      <c r="FNF40" s="12"/>
      <c r="FNG40" s="12"/>
      <c r="FNH40" s="12"/>
      <c r="FNI40" s="13"/>
      <c r="FNJ40" s="9"/>
      <c r="FNK40" s="9"/>
      <c r="FNL40" s="9"/>
      <c r="FNM40" s="9"/>
      <c r="FNN40" s="10"/>
      <c r="FNO40" s="11"/>
      <c r="FNP40" s="12"/>
      <c r="FNQ40" s="12"/>
      <c r="FNR40" s="12"/>
      <c r="FNS40" s="13"/>
      <c r="FNT40" s="9"/>
      <c r="FNU40" s="9"/>
      <c r="FNV40" s="9"/>
      <c r="FNW40" s="9"/>
      <c r="FNX40" s="10"/>
      <c r="FNY40" s="11"/>
      <c r="FNZ40" s="12"/>
      <c r="FOA40" s="12"/>
      <c r="FOB40" s="12"/>
      <c r="FOC40" s="13"/>
      <c r="FOD40" s="9"/>
      <c r="FOE40" s="9"/>
      <c r="FOF40" s="9"/>
      <c r="FOG40" s="9"/>
      <c r="FOH40" s="10"/>
      <c r="FOI40" s="11"/>
      <c r="FOJ40" s="12"/>
      <c r="FOK40" s="12"/>
      <c r="FOL40" s="12"/>
      <c r="FOM40" s="13"/>
      <c r="FON40" s="9"/>
      <c r="FOO40" s="9"/>
      <c r="FOP40" s="9"/>
      <c r="FOQ40" s="9"/>
      <c r="FOR40" s="10"/>
      <c r="FOS40" s="11"/>
      <c r="FOT40" s="12"/>
      <c r="FOU40" s="12"/>
      <c r="FOV40" s="12"/>
      <c r="FOW40" s="13"/>
      <c r="FOX40" s="9"/>
      <c r="FOY40" s="9"/>
      <c r="FOZ40" s="9"/>
      <c r="FPA40" s="9"/>
      <c r="FPB40" s="10"/>
      <c r="FPC40" s="11"/>
      <c r="FPD40" s="12"/>
      <c r="FPE40" s="12"/>
      <c r="FPF40" s="12"/>
      <c r="FPG40" s="13"/>
      <c r="FPH40" s="9"/>
      <c r="FPI40" s="9"/>
      <c r="FPJ40" s="9"/>
      <c r="FPK40" s="9"/>
      <c r="FPL40" s="10"/>
      <c r="FPM40" s="11"/>
      <c r="FPN40" s="12"/>
      <c r="FPO40" s="12"/>
      <c r="FPP40" s="12"/>
      <c r="FPQ40" s="13"/>
      <c r="FPR40" s="9"/>
      <c r="FPS40" s="9"/>
      <c r="FPT40" s="9"/>
      <c r="FPU40" s="9"/>
      <c r="FPV40" s="10"/>
      <c r="FPW40" s="11"/>
      <c r="FPX40" s="12"/>
      <c r="FPY40" s="12"/>
      <c r="FPZ40" s="12"/>
      <c r="FQA40" s="13"/>
      <c r="FQB40" s="9"/>
      <c r="FQC40" s="9"/>
      <c r="FQD40" s="9"/>
      <c r="FQE40" s="9"/>
      <c r="FQF40" s="10"/>
      <c r="FQG40" s="11"/>
      <c r="FQH40" s="12"/>
      <c r="FQI40" s="12"/>
      <c r="FQJ40" s="12"/>
      <c r="FQK40" s="13"/>
      <c r="FQL40" s="9"/>
      <c r="FQM40" s="9"/>
      <c r="FQN40" s="9"/>
      <c r="FQO40" s="9"/>
      <c r="FQP40" s="10"/>
      <c r="FQQ40" s="11"/>
      <c r="FQR40" s="12"/>
      <c r="FQS40" s="12"/>
      <c r="FQT40" s="12"/>
      <c r="FQU40" s="13"/>
      <c r="FQV40" s="9"/>
      <c r="FQW40" s="9"/>
      <c r="FQX40" s="9"/>
      <c r="FQY40" s="9"/>
      <c r="FQZ40" s="10"/>
      <c r="FRA40" s="11"/>
      <c r="FRB40" s="12"/>
      <c r="FRC40" s="12"/>
      <c r="FRD40" s="12"/>
      <c r="FRE40" s="13"/>
      <c r="FRF40" s="9"/>
      <c r="FRG40" s="9"/>
      <c r="FRH40" s="9"/>
      <c r="FRI40" s="9"/>
      <c r="FRJ40" s="10"/>
      <c r="FRK40" s="11"/>
      <c r="FRL40" s="12"/>
      <c r="FRM40" s="12"/>
      <c r="FRN40" s="12"/>
      <c r="FRO40" s="13"/>
      <c r="FRP40" s="9"/>
      <c r="FRQ40" s="9"/>
      <c r="FRR40" s="9"/>
      <c r="FRS40" s="9"/>
      <c r="FRT40" s="10"/>
      <c r="FRU40" s="11"/>
      <c r="FRV40" s="12"/>
      <c r="FRW40" s="12"/>
      <c r="FRX40" s="12"/>
      <c r="FRY40" s="13"/>
      <c r="FRZ40" s="9"/>
      <c r="FSA40" s="9"/>
      <c r="FSB40" s="9"/>
      <c r="FSC40" s="9"/>
      <c r="FSD40" s="10"/>
      <c r="FSE40" s="11"/>
      <c r="FSF40" s="12"/>
      <c r="FSG40" s="12"/>
      <c r="FSH40" s="12"/>
      <c r="FSI40" s="13"/>
      <c r="FSJ40" s="9"/>
      <c r="FSK40" s="9"/>
      <c r="FSL40" s="9"/>
      <c r="FSM40" s="9"/>
      <c r="FSN40" s="10"/>
      <c r="FSO40" s="11"/>
      <c r="FSP40" s="12"/>
      <c r="FSQ40" s="12"/>
      <c r="FSR40" s="12"/>
      <c r="FSS40" s="13"/>
      <c r="FST40" s="9"/>
      <c r="FSU40" s="9"/>
      <c r="FSV40" s="9"/>
      <c r="FSW40" s="9"/>
      <c r="FSX40" s="10"/>
      <c r="FSY40" s="11"/>
      <c r="FSZ40" s="12"/>
      <c r="FTA40" s="12"/>
      <c r="FTB40" s="12"/>
      <c r="FTC40" s="13"/>
      <c r="FTD40" s="9"/>
      <c r="FTE40" s="9"/>
      <c r="FTF40" s="9"/>
      <c r="FTG40" s="9"/>
      <c r="FTH40" s="10"/>
      <c r="FTI40" s="11"/>
      <c r="FTJ40" s="12"/>
      <c r="FTK40" s="12"/>
      <c r="FTL40" s="12"/>
      <c r="FTM40" s="13"/>
      <c r="FTN40" s="9"/>
      <c r="FTO40" s="9"/>
      <c r="FTP40" s="9"/>
      <c r="FTQ40" s="9"/>
      <c r="FTR40" s="10"/>
      <c r="FTS40" s="11"/>
      <c r="FTT40" s="12"/>
      <c r="FTU40" s="12"/>
      <c r="FTV40" s="12"/>
      <c r="FTW40" s="13"/>
      <c r="FTX40" s="9"/>
      <c r="FTY40" s="9"/>
      <c r="FTZ40" s="9"/>
      <c r="FUA40" s="9"/>
      <c r="FUB40" s="10"/>
      <c r="FUC40" s="11"/>
      <c r="FUD40" s="12"/>
      <c r="FUE40" s="12"/>
      <c r="FUF40" s="12"/>
      <c r="FUG40" s="13"/>
      <c r="FUH40" s="9"/>
      <c r="FUI40" s="9"/>
      <c r="FUJ40" s="9"/>
      <c r="FUK40" s="9"/>
      <c r="FUL40" s="10"/>
      <c r="FUM40" s="11"/>
      <c r="FUN40" s="12"/>
      <c r="FUO40" s="12"/>
      <c r="FUP40" s="12"/>
      <c r="FUQ40" s="13"/>
      <c r="FUR40" s="9"/>
      <c r="FUS40" s="9"/>
      <c r="FUT40" s="9"/>
      <c r="FUU40" s="9"/>
      <c r="FUV40" s="10"/>
      <c r="FUW40" s="11"/>
      <c r="FUX40" s="12"/>
      <c r="FUY40" s="12"/>
      <c r="FUZ40" s="12"/>
      <c r="FVA40" s="13"/>
      <c r="FVB40" s="9"/>
      <c r="FVC40" s="9"/>
      <c r="FVD40" s="9"/>
      <c r="FVE40" s="9"/>
      <c r="FVF40" s="10"/>
      <c r="FVG40" s="11"/>
      <c r="FVH40" s="12"/>
      <c r="FVI40" s="12"/>
      <c r="FVJ40" s="12"/>
      <c r="FVK40" s="13"/>
      <c r="FVL40" s="9"/>
      <c r="FVM40" s="9"/>
      <c r="FVN40" s="9"/>
      <c r="FVO40" s="9"/>
      <c r="FVP40" s="10"/>
      <c r="FVQ40" s="11"/>
      <c r="FVR40" s="12"/>
      <c r="FVS40" s="12"/>
      <c r="FVT40" s="12"/>
      <c r="FVU40" s="13"/>
      <c r="FVV40" s="9"/>
      <c r="FVW40" s="9"/>
      <c r="FVX40" s="9"/>
      <c r="FVY40" s="9"/>
      <c r="FVZ40" s="10"/>
      <c r="FWA40" s="11"/>
      <c r="FWB40" s="12"/>
      <c r="FWC40" s="12"/>
      <c r="FWD40" s="12"/>
      <c r="FWE40" s="13"/>
      <c r="FWF40" s="9"/>
      <c r="FWG40" s="9"/>
      <c r="FWH40" s="9"/>
      <c r="FWI40" s="9"/>
      <c r="FWJ40" s="10"/>
      <c r="FWK40" s="11"/>
      <c r="FWL40" s="12"/>
      <c r="FWM40" s="12"/>
      <c r="FWN40" s="12"/>
      <c r="FWO40" s="13"/>
      <c r="FWP40" s="9"/>
      <c r="FWQ40" s="9"/>
      <c r="FWR40" s="9"/>
      <c r="FWS40" s="9"/>
      <c r="FWT40" s="10"/>
      <c r="FWU40" s="11"/>
      <c r="FWV40" s="12"/>
      <c r="FWW40" s="12"/>
      <c r="FWX40" s="12"/>
      <c r="FWY40" s="13"/>
      <c r="FWZ40" s="9"/>
      <c r="FXA40" s="9"/>
      <c r="FXB40" s="9"/>
      <c r="FXC40" s="9"/>
      <c r="FXD40" s="10"/>
      <c r="FXE40" s="11"/>
      <c r="FXF40" s="12"/>
      <c r="FXG40" s="12"/>
      <c r="FXH40" s="12"/>
      <c r="FXI40" s="13"/>
      <c r="FXJ40" s="9"/>
      <c r="FXK40" s="9"/>
      <c r="FXL40" s="9"/>
      <c r="FXM40" s="9"/>
      <c r="FXN40" s="10"/>
      <c r="FXO40" s="11"/>
      <c r="FXP40" s="12"/>
      <c r="FXQ40" s="12"/>
      <c r="FXR40" s="12"/>
      <c r="FXS40" s="13"/>
      <c r="FXT40" s="9"/>
      <c r="FXU40" s="9"/>
      <c r="FXV40" s="9"/>
      <c r="FXW40" s="9"/>
      <c r="FXX40" s="10"/>
      <c r="FXY40" s="11"/>
      <c r="FXZ40" s="12"/>
      <c r="FYA40" s="12"/>
      <c r="FYB40" s="12"/>
      <c r="FYC40" s="13"/>
      <c r="FYD40" s="9"/>
      <c r="FYE40" s="9"/>
      <c r="FYF40" s="9"/>
      <c r="FYG40" s="9"/>
      <c r="FYH40" s="10"/>
      <c r="FYI40" s="11"/>
      <c r="FYJ40" s="12"/>
      <c r="FYK40" s="12"/>
      <c r="FYL40" s="12"/>
      <c r="FYM40" s="13"/>
      <c r="FYN40" s="9"/>
      <c r="FYO40" s="9"/>
      <c r="FYP40" s="9"/>
      <c r="FYQ40" s="9"/>
      <c r="FYR40" s="10"/>
      <c r="FYS40" s="11"/>
      <c r="FYT40" s="12"/>
      <c r="FYU40" s="12"/>
      <c r="FYV40" s="12"/>
      <c r="FYW40" s="13"/>
      <c r="FYX40" s="9"/>
      <c r="FYY40" s="9"/>
      <c r="FYZ40" s="9"/>
      <c r="FZA40" s="9"/>
      <c r="FZB40" s="10"/>
      <c r="FZC40" s="11"/>
      <c r="FZD40" s="12"/>
      <c r="FZE40" s="12"/>
      <c r="FZF40" s="12"/>
      <c r="FZG40" s="13"/>
      <c r="FZH40" s="9"/>
      <c r="FZI40" s="9"/>
      <c r="FZJ40" s="9"/>
      <c r="FZK40" s="9"/>
      <c r="FZL40" s="10"/>
      <c r="FZM40" s="11"/>
      <c r="FZN40" s="12"/>
      <c r="FZO40" s="12"/>
      <c r="FZP40" s="12"/>
      <c r="FZQ40" s="13"/>
      <c r="FZR40" s="9"/>
      <c r="FZS40" s="9"/>
      <c r="FZT40" s="9"/>
      <c r="FZU40" s="9"/>
      <c r="FZV40" s="10"/>
      <c r="FZW40" s="11"/>
      <c r="FZX40" s="12"/>
      <c r="FZY40" s="12"/>
      <c r="FZZ40" s="12"/>
      <c r="GAA40" s="13"/>
      <c r="GAB40" s="9"/>
      <c r="GAC40" s="9"/>
      <c r="GAD40" s="9"/>
      <c r="GAE40" s="9"/>
      <c r="GAF40" s="10"/>
      <c r="GAG40" s="11"/>
      <c r="GAH40" s="12"/>
      <c r="GAI40" s="12"/>
      <c r="GAJ40" s="12"/>
      <c r="GAK40" s="13"/>
      <c r="GAL40" s="9"/>
      <c r="GAM40" s="9"/>
      <c r="GAN40" s="9"/>
      <c r="GAO40" s="9"/>
      <c r="GAP40" s="10"/>
      <c r="GAQ40" s="11"/>
      <c r="GAR40" s="12"/>
      <c r="GAS40" s="12"/>
      <c r="GAT40" s="12"/>
      <c r="GAU40" s="13"/>
      <c r="GAV40" s="9"/>
      <c r="GAW40" s="9"/>
      <c r="GAX40" s="9"/>
      <c r="GAY40" s="9"/>
      <c r="GAZ40" s="10"/>
      <c r="GBA40" s="11"/>
      <c r="GBB40" s="12"/>
      <c r="GBC40" s="12"/>
      <c r="GBD40" s="12"/>
      <c r="GBE40" s="13"/>
      <c r="GBF40" s="9"/>
      <c r="GBG40" s="9"/>
      <c r="GBH40" s="9"/>
      <c r="GBI40" s="9"/>
      <c r="GBJ40" s="10"/>
      <c r="GBK40" s="11"/>
      <c r="GBL40" s="12"/>
      <c r="GBM40" s="12"/>
      <c r="GBN40" s="12"/>
      <c r="GBO40" s="13"/>
      <c r="GBP40" s="9"/>
      <c r="GBQ40" s="9"/>
      <c r="GBR40" s="9"/>
      <c r="GBS40" s="9"/>
      <c r="GBT40" s="10"/>
      <c r="GBU40" s="11"/>
      <c r="GBV40" s="12"/>
      <c r="GBW40" s="12"/>
      <c r="GBX40" s="12"/>
      <c r="GBY40" s="13"/>
      <c r="GBZ40" s="9"/>
      <c r="GCA40" s="9"/>
      <c r="GCB40" s="9"/>
      <c r="GCC40" s="9"/>
      <c r="GCD40" s="10"/>
      <c r="GCE40" s="11"/>
      <c r="GCF40" s="12"/>
      <c r="GCG40" s="12"/>
      <c r="GCH40" s="12"/>
      <c r="GCI40" s="13"/>
      <c r="GCJ40" s="9"/>
      <c r="GCK40" s="9"/>
      <c r="GCL40" s="9"/>
      <c r="GCM40" s="9"/>
      <c r="GCN40" s="10"/>
      <c r="GCO40" s="11"/>
      <c r="GCP40" s="12"/>
      <c r="GCQ40" s="12"/>
      <c r="GCR40" s="12"/>
      <c r="GCS40" s="13"/>
      <c r="GCT40" s="9"/>
      <c r="GCU40" s="9"/>
      <c r="GCV40" s="9"/>
      <c r="GCW40" s="9"/>
      <c r="GCX40" s="10"/>
      <c r="GCY40" s="11"/>
      <c r="GCZ40" s="12"/>
      <c r="GDA40" s="12"/>
      <c r="GDB40" s="12"/>
      <c r="GDC40" s="13"/>
      <c r="GDD40" s="9"/>
      <c r="GDE40" s="9"/>
      <c r="GDF40" s="9"/>
      <c r="GDG40" s="9"/>
      <c r="GDH40" s="10"/>
      <c r="GDI40" s="11"/>
      <c r="GDJ40" s="12"/>
      <c r="GDK40" s="12"/>
      <c r="GDL40" s="12"/>
      <c r="GDM40" s="13"/>
      <c r="GDN40" s="9"/>
      <c r="GDO40" s="9"/>
      <c r="GDP40" s="9"/>
      <c r="GDQ40" s="9"/>
      <c r="GDR40" s="10"/>
      <c r="GDS40" s="11"/>
      <c r="GDT40" s="12"/>
      <c r="GDU40" s="12"/>
      <c r="GDV40" s="12"/>
      <c r="GDW40" s="13"/>
      <c r="GDX40" s="9"/>
      <c r="GDY40" s="9"/>
      <c r="GDZ40" s="9"/>
      <c r="GEA40" s="9"/>
      <c r="GEB40" s="10"/>
      <c r="GEC40" s="11"/>
      <c r="GED40" s="12"/>
      <c r="GEE40" s="12"/>
      <c r="GEF40" s="12"/>
      <c r="GEG40" s="13"/>
      <c r="GEH40" s="9"/>
      <c r="GEI40" s="9"/>
      <c r="GEJ40" s="9"/>
      <c r="GEK40" s="9"/>
      <c r="GEL40" s="10"/>
      <c r="GEM40" s="11"/>
      <c r="GEN40" s="12"/>
      <c r="GEO40" s="12"/>
      <c r="GEP40" s="12"/>
      <c r="GEQ40" s="13"/>
      <c r="GER40" s="9"/>
      <c r="GES40" s="9"/>
      <c r="GET40" s="9"/>
      <c r="GEU40" s="9"/>
      <c r="GEV40" s="10"/>
      <c r="GEW40" s="11"/>
      <c r="GEX40" s="12"/>
      <c r="GEY40" s="12"/>
      <c r="GEZ40" s="12"/>
      <c r="GFA40" s="13"/>
      <c r="GFB40" s="9"/>
      <c r="GFC40" s="9"/>
      <c r="GFD40" s="9"/>
      <c r="GFE40" s="9"/>
      <c r="GFF40" s="10"/>
      <c r="GFG40" s="11"/>
      <c r="GFH40" s="12"/>
      <c r="GFI40" s="12"/>
      <c r="GFJ40" s="12"/>
      <c r="GFK40" s="13"/>
      <c r="GFL40" s="9"/>
      <c r="GFM40" s="9"/>
      <c r="GFN40" s="9"/>
      <c r="GFO40" s="9"/>
      <c r="GFP40" s="10"/>
      <c r="GFQ40" s="11"/>
      <c r="GFR40" s="12"/>
      <c r="GFS40" s="12"/>
      <c r="GFT40" s="12"/>
      <c r="GFU40" s="13"/>
      <c r="GFV40" s="9"/>
      <c r="GFW40" s="9"/>
      <c r="GFX40" s="9"/>
      <c r="GFY40" s="9"/>
      <c r="GFZ40" s="10"/>
      <c r="GGA40" s="11"/>
      <c r="GGB40" s="12"/>
      <c r="GGC40" s="12"/>
      <c r="GGD40" s="12"/>
      <c r="GGE40" s="13"/>
      <c r="GGF40" s="9"/>
      <c r="GGG40" s="9"/>
      <c r="GGH40" s="9"/>
      <c r="GGI40" s="9"/>
      <c r="GGJ40" s="10"/>
      <c r="GGK40" s="11"/>
      <c r="GGL40" s="12"/>
      <c r="GGM40" s="12"/>
      <c r="GGN40" s="12"/>
      <c r="GGO40" s="13"/>
      <c r="GGP40" s="9"/>
      <c r="GGQ40" s="9"/>
      <c r="GGR40" s="9"/>
      <c r="GGS40" s="9"/>
      <c r="GGT40" s="10"/>
      <c r="GGU40" s="11"/>
      <c r="GGV40" s="12"/>
      <c r="GGW40" s="12"/>
      <c r="GGX40" s="12"/>
      <c r="GGY40" s="13"/>
      <c r="GGZ40" s="9"/>
      <c r="GHA40" s="9"/>
      <c r="GHB40" s="9"/>
      <c r="GHC40" s="9"/>
      <c r="GHD40" s="10"/>
      <c r="GHE40" s="11"/>
      <c r="GHF40" s="12"/>
      <c r="GHG40" s="12"/>
      <c r="GHH40" s="12"/>
      <c r="GHI40" s="13"/>
      <c r="GHJ40" s="9"/>
      <c r="GHK40" s="9"/>
      <c r="GHL40" s="9"/>
      <c r="GHM40" s="9"/>
      <c r="GHN40" s="10"/>
      <c r="GHO40" s="11"/>
      <c r="GHP40" s="12"/>
      <c r="GHQ40" s="12"/>
      <c r="GHR40" s="12"/>
      <c r="GHS40" s="13"/>
      <c r="GHT40" s="9"/>
      <c r="GHU40" s="9"/>
      <c r="GHV40" s="9"/>
      <c r="GHW40" s="9"/>
      <c r="GHX40" s="10"/>
      <c r="GHY40" s="11"/>
      <c r="GHZ40" s="12"/>
      <c r="GIA40" s="12"/>
      <c r="GIB40" s="12"/>
      <c r="GIC40" s="13"/>
      <c r="GID40" s="9"/>
      <c r="GIE40" s="9"/>
      <c r="GIF40" s="9"/>
      <c r="GIG40" s="9"/>
      <c r="GIH40" s="10"/>
      <c r="GII40" s="11"/>
      <c r="GIJ40" s="12"/>
      <c r="GIK40" s="12"/>
      <c r="GIL40" s="12"/>
      <c r="GIM40" s="13"/>
      <c r="GIN40" s="9"/>
      <c r="GIO40" s="9"/>
      <c r="GIP40" s="9"/>
      <c r="GIQ40" s="9"/>
      <c r="GIR40" s="10"/>
      <c r="GIS40" s="11"/>
      <c r="GIT40" s="12"/>
      <c r="GIU40" s="12"/>
      <c r="GIV40" s="12"/>
      <c r="GIW40" s="13"/>
      <c r="GIX40" s="9"/>
      <c r="GIY40" s="9"/>
      <c r="GIZ40" s="9"/>
      <c r="GJA40" s="9"/>
      <c r="GJB40" s="10"/>
      <c r="GJC40" s="11"/>
      <c r="GJD40" s="12"/>
      <c r="GJE40" s="12"/>
      <c r="GJF40" s="12"/>
      <c r="GJG40" s="13"/>
      <c r="GJH40" s="9"/>
      <c r="GJI40" s="9"/>
      <c r="GJJ40" s="9"/>
      <c r="GJK40" s="9"/>
      <c r="GJL40" s="10"/>
      <c r="GJM40" s="11"/>
      <c r="GJN40" s="12"/>
      <c r="GJO40" s="12"/>
      <c r="GJP40" s="12"/>
      <c r="GJQ40" s="13"/>
      <c r="GJR40" s="9"/>
      <c r="GJS40" s="9"/>
      <c r="GJT40" s="9"/>
      <c r="GJU40" s="9"/>
      <c r="GJV40" s="10"/>
      <c r="GJW40" s="11"/>
      <c r="GJX40" s="12"/>
      <c r="GJY40" s="12"/>
      <c r="GJZ40" s="12"/>
      <c r="GKA40" s="13"/>
      <c r="GKB40" s="9"/>
      <c r="GKC40" s="9"/>
      <c r="GKD40" s="9"/>
      <c r="GKE40" s="9"/>
      <c r="GKF40" s="10"/>
      <c r="GKG40" s="11"/>
      <c r="GKH40" s="12"/>
      <c r="GKI40" s="12"/>
      <c r="GKJ40" s="12"/>
      <c r="GKK40" s="13"/>
      <c r="GKL40" s="9"/>
      <c r="GKM40" s="9"/>
      <c r="GKN40" s="9"/>
      <c r="GKO40" s="9"/>
      <c r="GKP40" s="10"/>
      <c r="GKQ40" s="11"/>
      <c r="GKR40" s="12"/>
      <c r="GKS40" s="12"/>
      <c r="GKT40" s="12"/>
      <c r="GKU40" s="13"/>
      <c r="GKV40" s="9"/>
      <c r="GKW40" s="9"/>
      <c r="GKX40" s="9"/>
      <c r="GKY40" s="9"/>
      <c r="GKZ40" s="10"/>
      <c r="GLA40" s="11"/>
      <c r="GLB40" s="12"/>
      <c r="GLC40" s="12"/>
      <c r="GLD40" s="12"/>
      <c r="GLE40" s="13"/>
      <c r="GLF40" s="9"/>
      <c r="GLG40" s="9"/>
      <c r="GLH40" s="9"/>
      <c r="GLI40" s="9"/>
      <c r="GLJ40" s="10"/>
      <c r="GLK40" s="11"/>
      <c r="GLL40" s="12"/>
      <c r="GLM40" s="12"/>
      <c r="GLN40" s="12"/>
      <c r="GLO40" s="13"/>
      <c r="GLP40" s="9"/>
      <c r="GLQ40" s="9"/>
      <c r="GLR40" s="9"/>
      <c r="GLS40" s="9"/>
      <c r="GLT40" s="10"/>
      <c r="GLU40" s="11"/>
      <c r="GLV40" s="12"/>
      <c r="GLW40" s="12"/>
      <c r="GLX40" s="12"/>
      <c r="GLY40" s="13"/>
      <c r="GLZ40" s="9"/>
      <c r="GMA40" s="9"/>
      <c r="GMB40" s="9"/>
      <c r="GMC40" s="9"/>
      <c r="GMD40" s="10"/>
      <c r="GME40" s="11"/>
      <c r="GMF40" s="12"/>
      <c r="GMG40" s="12"/>
      <c r="GMH40" s="12"/>
      <c r="GMI40" s="13"/>
      <c r="GMJ40" s="9"/>
      <c r="GMK40" s="9"/>
      <c r="GML40" s="9"/>
      <c r="GMM40" s="9"/>
      <c r="GMN40" s="10"/>
      <c r="GMO40" s="11"/>
      <c r="GMP40" s="12"/>
      <c r="GMQ40" s="12"/>
      <c r="GMR40" s="12"/>
      <c r="GMS40" s="13"/>
      <c r="GMT40" s="9"/>
      <c r="GMU40" s="9"/>
      <c r="GMV40" s="9"/>
      <c r="GMW40" s="9"/>
      <c r="GMX40" s="10"/>
      <c r="GMY40" s="11"/>
      <c r="GMZ40" s="12"/>
      <c r="GNA40" s="12"/>
      <c r="GNB40" s="12"/>
      <c r="GNC40" s="13"/>
      <c r="GND40" s="9"/>
      <c r="GNE40" s="9"/>
      <c r="GNF40" s="9"/>
      <c r="GNG40" s="9"/>
      <c r="GNH40" s="10"/>
      <c r="GNI40" s="11"/>
      <c r="GNJ40" s="12"/>
      <c r="GNK40" s="12"/>
      <c r="GNL40" s="12"/>
      <c r="GNM40" s="13"/>
      <c r="GNN40" s="9"/>
      <c r="GNO40" s="9"/>
      <c r="GNP40" s="9"/>
      <c r="GNQ40" s="9"/>
      <c r="GNR40" s="10"/>
      <c r="GNS40" s="11"/>
      <c r="GNT40" s="12"/>
      <c r="GNU40" s="12"/>
      <c r="GNV40" s="12"/>
      <c r="GNW40" s="13"/>
      <c r="GNX40" s="9"/>
      <c r="GNY40" s="9"/>
      <c r="GNZ40" s="9"/>
      <c r="GOA40" s="9"/>
      <c r="GOB40" s="10"/>
      <c r="GOC40" s="11"/>
      <c r="GOD40" s="12"/>
      <c r="GOE40" s="12"/>
      <c r="GOF40" s="12"/>
      <c r="GOG40" s="13"/>
      <c r="GOH40" s="9"/>
      <c r="GOI40" s="9"/>
      <c r="GOJ40" s="9"/>
      <c r="GOK40" s="9"/>
      <c r="GOL40" s="10"/>
      <c r="GOM40" s="11"/>
      <c r="GON40" s="12"/>
      <c r="GOO40" s="12"/>
      <c r="GOP40" s="12"/>
      <c r="GOQ40" s="13"/>
      <c r="GOR40" s="9"/>
      <c r="GOS40" s="9"/>
      <c r="GOT40" s="9"/>
      <c r="GOU40" s="9"/>
      <c r="GOV40" s="10"/>
      <c r="GOW40" s="11"/>
      <c r="GOX40" s="12"/>
      <c r="GOY40" s="12"/>
      <c r="GOZ40" s="12"/>
      <c r="GPA40" s="13"/>
      <c r="GPB40" s="9"/>
      <c r="GPC40" s="9"/>
      <c r="GPD40" s="9"/>
      <c r="GPE40" s="9"/>
      <c r="GPF40" s="10"/>
      <c r="GPG40" s="11"/>
      <c r="GPH40" s="12"/>
      <c r="GPI40" s="12"/>
      <c r="GPJ40" s="12"/>
      <c r="GPK40" s="13"/>
      <c r="GPL40" s="9"/>
      <c r="GPM40" s="9"/>
      <c r="GPN40" s="9"/>
      <c r="GPO40" s="9"/>
      <c r="GPP40" s="10"/>
      <c r="GPQ40" s="11"/>
      <c r="GPR40" s="12"/>
      <c r="GPS40" s="12"/>
      <c r="GPT40" s="12"/>
      <c r="GPU40" s="13"/>
      <c r="GPV40" s="9"/>
      <c r="GPW40" s="9"/>
      <c r="GPX40" s="9"/>
      <c r="GPY40" s="9"/>
      <c r="GPZ40" s="10"/>
      <c r="GQA40" s="11"/>
      <c r="GQB40" s="12"/>
      <c r="GQC40" s="12"/>
      <c r="GQD40" s="12"/>
      <c r="GQE40" s="13"/>
      <c r="GQF40" s="9"/>
      <c r="GQG40" s="9"/>
      <c r="GQH40" s="9"/>
      <c r="GQI40" s="9"/>
      <c r="GQJ40" s="10"/>
      <c r="GQK40" s="11"/>
      <c r="GQL40" s="12"/>
      <c r="GQM40" s="12"/>
      <c r="GQN40" s="12"/>
      <c r="GQO40" s="13"/>
      <c r="GQP40" s="9"/>
      <c r="GQQ40" s="9"/>
      <c r="GQR40" s="9"/>
      <c r="GQS40" s="9"/>
      <c r="GQT40" s="10"/>
      <c r="GQU40" s="11"/>
      <c r="GQV40" s="12"/>
      <c r="GQW40" s="12"/>
      <c r="GQX40" s="12"/>
      <c r="GQY40" s="13"/>
      <c r="GQZ40" s="9"/>
      <c r="GRA40" s="9"/>
      <c r="GRB40" s="9"/>
      <c r="GRC40" s="9"/>
      <c r="GRD40" s="10"/>
      <c r="GRE40" s="11"/>
      <c r="GRF40" s="12"/>
      <c r="GRG40" s="12"/>
      <c r="GRH40" s="12"/>
      <c r="GRI40" s="13"/>
      <c r="GRJ40" s="9"/>
      <c r="GRK40" s="9"/>
      <c r="GRL40" s="9"/>
      <c r="GRM40" s="9"/>
      <c r="GRN40" s="10"/>
      <c r="GRO40" s="11"/>
      <c r="GRP40" s="12"/>
      <c r="GRQ40" s="12"/>
      <c r="GRR40" s="12"/>
      <c r="GRS40" s="13"/>
      <c r="GRT40" s="9"/>
      <c r="GRU40" s="9"/>
      <c r="GRV40" s="9"/>
      <c r="GRW40" s="9"/>
      <c r="GRX40" s="10"/>
      <c r="GRY40" s="11"/>
      <c r="GRZ40" s="12"/>
      <c r="GSA40" s="12"/>
      <c r="GSB40" s="12"/>
      <c r="GSC40" s="13"/>
      <c r="GSD40" s="9"/>
      <c r="GSE40" s="9"/>
      <c r="GSF40" s="9"/>
      <c r="GSG40" s="9"/>
      <c r="GSH40" s="10"/>
      <c r="GSI40" s="11"/>
      <c r="GSJ40" s="12"/>
      <c r="GSK40" s="12"/>
      <c r="GSL40" s="12"/>
      <c r="GSM40" s="13"/>
      <c r="GSN40" s="9"/>
      <c r="GSO40" s="9"/>
      <c r="GSP40" s="9"/>
      <c r="GSQ40" s="9"/>
      <c r="GSR40" s="10"/>
      <c r="GSS40" s="11"/>
      <c r="GST40" s="12"/>
      <c r="GSU40" s="12"/>
      <c r="GSV40" s="12"/>
      <c r="GSW40" s="13"/>
      <c r="GSX40" s="9"/>
      <c r="GSY40" s="9"/>
      <c r="GSZ40" s="9"/>
      <c r="GTA40" s="9"/>
      <c r="GTB40" s="10"/>
      <c r="GTC40" s="11"/>
      <c r="GTD40" s="12"/>
      <c r="GTE40" s="12"/>
      <c r="GTF40" s="12"/>
      <c r="GTG40" s="13"/>
      <c r="GTH40" s="9"/>
      <c r="GTI40" s="9"/>
      <c r="GTJ40" s="9"/>
      <c r="GTK40" s="9"/>
      <c r="GTL40" s="10"/>
      <c r="GTM40" s="11"/>
      <c r="GTN40" s="12"/>
      <c r="GTO40" s="12"/>
      <c r="GTP40" s="12"/>
      <c r="GTQ40" s="13"/>
      <c r="GTR40" s="9"/>
      <c r="GTS40" s="9"/>
      <c r="GTT40" s="9"/>
      <c r="GTU40" s="9"/>
      <c r="GTV40" s="10"/>
      <c r="GTW40" s="11"/>
      <c r="GTX40" s="12"/>
      <c r="GTY40" s="12"/>
      <c r="GTZ40" s="12"/>
      <c r="GUA40" s="13"/>
      <c r="GUB40" s="9"/>
      <c r="GUC40" s="9"/>
      <c r="GUD40" s="9"/>
      <c r="GUE40" s="9"/>
      <c r="GUF40" s="10"/>
      <c r="GUG40" s="11"/>
      <c r="GUH40" s="12"/>
      <c r="GUI40" s="12"/>
      <c r="GUJ40" s="12"/>
      <c r="GUK40" s="13"/>
      <c r="GUL40" s="9"/>
      <c r="GUM40" s="9"/>
      <c r="GUN40" s="9"/>
      <c r="GUO40" s="9"/>
      <c r="GUP40" s="10"/>
      <c r="GUQ40" s="11"/>
      <c r="GUR40" s="12"/>
      <c r="GUS40" s="12"/>
      <c r="GUT40" s="12"/>
      <c r="GUU40" s="13"/>
      <c r="GUV40" s="9"/>
      <c r="GUW40" s="9"/>
      <c r="GUX40" s="9"/>
      <c r="GUY40" s="9"/>
      <c r="GUZ40" s="10"/>
      <c r="GVA40" s="11"/>
      <c r="GVB40" s="12"/>
      <c r="GVC40" s="12"/>
      <c r="GVD40" s="12"/>
      <c r="GVE40" s="13"/>
      <c r="GVF40" s="9"/>
      <c r="GVG40" s="9"/>
      <c r="GVH40" s="9"/>
      <c r="GVI40" s="9"/>
      <c r="GVJ40" s="10"/>
      <c r="GVK40" s="11"/>
      <c r="GVL40" s="12"/>
      <c r="GVM40" s="12"/>
      <c r="GVN40" s="12"/>
      <c r="GVO40" s="13"/>
      <c r="GVP40" s="9"/>
      <c r="GVQ40" s="9"/>
      <c r="GVR40" s="9"/>
      <c r="GVS40" s="9"/>
      <c r="GVT40" s="10"/>
      <c r="GVU40" s="11"/>
      <c r="GVV40" s="12"/>
      <c r="GVW40" s="12"/>
      <c r="GVX40" s="12"/>
      <c r="GVY40" s="13"/>
      <c r="GVZ40" s="9"/>
      <c r="GWA40" s="9"/>
      <c r="GWB40" s="9"/>
      <c r="GWC40" s="9"/>
      <c r="GWD40" s="10"/>
      <c r="GWE40" s="11"/>
      <c r="GWF40" s="12"/>
      <c r="GWG40" s="12"/>
      <c r="GWH40" s="12"/>
      <c r="GWI40" s="13"/>
      <c r="GWJ40" s="9"/>
      <c r="GWK40" s="9"/>
      <c r="GWL40" s="9"/>
      <c r="GWM40" s="9"/>
      <c r="GWN40" s="10"/>
      <c r="GWO40" s="11"/>
      <c r="GWP40" s="12"/>
      <c r="GWQ40" s="12"/>
      <c r="GWR40" s="12"/>
      <c r="GWS40" s="13"/>
      <c r="GWT40" s="9"/>
      <c r="GWU40" s="9"/>
      <c r="GWV40" s="9"/>
      <c r="GWW40" s="9"/>
      <c r="GWX40" s="10"/>
      <c r="GWY40" s="11"/>
      <c r="GWZ40" s="12"/>
      <c r="GXA40" s="12"/>
      <c r="GXB40" s="12"/>
      <c r="GXC40" s="13"/>
      <c r="GXD40" s="9"/>
      <c r="GXE40" s="9"/>
      <c r="GXF40" s="9"/>
      <c r="GXG40" s="9"/>
      <c r="GXH40" s="10"/>
      <c r="GXI40" s="11"/>
      <c r="GXJ40" s="12"/>
      <c r="GXK40" s="12"/>
      <c r="GXL40" s="12"/>
      <c r="GXM40" s="13"/>
      <c r="GXN40" s="9"/>
      <c r="GXO40" s="9"/>
      <c r="GXP40" s="9"/>
      <c r="GXQ40" s="9"/>
      <c r="GXR40" s="10"/>
      <c r="GXS40" s="11"/>
      <c r="GXT40" s="12"/>
      <c r="GXU40" s="12"/>
      <c r="GXV40" s="12"/>
      <c r="GXW40" s="13"/>
      <c r="GXX40" s="9"/>
      <c r="GXY40" s="9"/>
      <c r="GXZ40" s="9"/>
      <c r="GYA40" s="9"/>
      <c r="GYB40" s="10"/>
      <c r="GYC40" s="11"/>
      <c r="GYD40" s="12"/>
      <c r="GYE40" s="12"/>
      <c r="GYF40" s="12"/>
      <c r="GYG40" s="13"/>
      <c r="GYH40" s="9"/>
      <c r="GYI40" s="9"/>
      <c r="GYJ40" s="9"/>
      <c r="GYK40" s="9"/>
      <c r="GYL40" s="10"/>
      <c r="GYM40" s="11"/>
      <c r="GYN40" s="12"/>
      <c r="GYO40" s="12"/>
      <c r="GYP40" s="12"/>
      <c r="GYQ40" s="13"/>
      <c r="GYR40" s="9"/>
      <c r="GYS40" s="9"/>
      <c r="GYT40" s="9"/>
      <c r="GYU40" s="9"/>
      <c r="GYV40" s="10"/>
      <c r="GYW40" s="11"/>
      <c r="GYX40" s="12"/>
      <c r="GYY40" s="12"/>
      <c r="GYZ40" s="12"/>
      <c r="GZA40" s="13"/>
      <c r="GZB40" s="9"/>
      <c r="GZC40" s="9"/>
      <c r="GZD40" s="9"/>
      <c r="GZE40" s="9"/>
      <c r="GZF40" s="10"/>
      <c r="GZG40" s="11"/>
      <c r="GZH40" s="12"/>
      <c r="GZI40" s="12"/>
      <c r="GZJ40" s="12"/>
      <c r="GZK40" s="13"/>
      <c r="GZL40" s="9"/>
      <c r="GZM40" s="9"/>
      <c r="GZN40" s="9"/>
      <c r="GZO40" s="9"/>
      <c r="GZP40" s="10"/>
      <c r="GZQ40" s="11"/>
      <c r="GZR40" s="12"/>
      <c r="GZS40" s="12"/>
      <c r="GZT40" s="12"/>
      <c r="GZU40" s="13"/>
      <c r="GZV40" s="9"/>
      <c r="GZW40" s="9"/>
      <c r="GZX40" s="9"/>
      <c r="GZY40" s="9"/>
      <c r="GZZ40" s="10"/>
      <c r="HAA40" s="11"/>
      <c r="HAB40" s="12"/>
      <c r="HAC40" s="12"/>
      <c r="HAD40" s="12"/>
      <c r="HAE40" s="13"/>
      <c r="HAF40" s="9"/>
      <c r="HAG40" s="9"/>
      <c r="HAH40" s="9"/>
      <c r="HAI40" s="9"/>
      <c r="HAJ40" s="10"/>
      <c r="HAK40" s="11"/>
      <c r="HAL40" s="12"/>
      <c r="HAM40" s="12"/>
      <c r="HAN40" s="12"/>
      <c r="HAO40" s="13"/>
      <c r="HAP40" s="9"/>
      <c r="HAQ40" s="9"/>
      <c r="HAR40" s="9"/>
      <c r="HAS40" s="9"/>
      <c r="HAT40" s="10"/>
      <c r="HAU40" s="11"/>
      <c r="HAV40" s="12"/>
      <c r="HAW40" s="12"/>
      <c r="HAX40" s="12"/>
      <c r="HAY40" s="13"/>
      <c r="HAZ40" s="9"/>
      <c r="HBA40" s="9"/>
      <c r="HBB40" s="9"/>
      <c r="HBC40" s="9"/>
      <c r="HBD40" s="10"/>
      <c r="HBE40" s="11"/>
      <c r="HBF40" s="12"/>
      <c r="HBG40" s="12"/>
      <c r="HBH40" s="12"/>
      <c r="HBI40" s="13"/>
      <c r="HBJ40" s="9"/>
      <c r="HBK40" s="9"/>
      <c r="HBL40" s="9"/>
      <c r="HBM40" s="9"/>
      <c r="HBN40" s="10"/>
      <c r="HBO40" s="11"/>
      <c r="HBP40" s="12"/>
      <c r="HBQ40" s="12"/>
      <c r="HBR40" s="12"/>
      <c r="HBS40" s="13"/>
      <c r="HBT40" s="9"/>
      <c r="HBU40" s="9"/>
      <c r="HBV40" s="9"/>
      <c r="HBW40" s="9"/>
      <c r="HBX40" s="10"/>
      <c r="HBY40" s="11"/>
      <c r="HBZ40" s="12"/>
      <c r="HCA40" s="12"/>
      <c r="HCB40" s="12"/>
      <c r="HCC40" s="13"/>
      <c r="HCD40" s="9"/>
      <c r="HCE40" s="9"/>
      <c r="HCF40" s="9"/>
      <c r="HCG40" s="9"/>
      <c r="HCH40" s="10"/>
      <c r="HCI40" s="11"/>
      <c r="HCJ40" s="12"/>
      <c r="HCK40" s="12"/>
      <c r="HCL40" s="12"/>
      <c r="HCM40" s="13"/>
      <c r="HCN40" s="9"/>
      <c r="HCO40" s="9"/>
      <c r="HCP40" s="9"/>
      <c r="HCQ40" s="9"/>
      <c r="HCR40" s="10"/>
      <c r="HCS40" s="11"/>
      <c r="HCT40" s="12"/>
      <c r="HCU40" s="12"/>
      <c r="HCV40" s="12"/>
      <c r="HCW40" s="13"/>
      <c r="HCX40" s="9"/>
      <c r="HCY40" s="9"/>
      <c r="HCZ40" s="9"/>
      <c r="HDA40" s="9"/>
      <c r="HDB40" s="10"/>
      <c r="HDC40" s="11"/>
      <c r="HDD40" s="12"/>
      <c r="HDE40" s="12"/>
      <c r="HDF40" s="12"/>
      <c r="HDG40" s="13"/>
      <c r="HDH40" s="9"/>
      <c r="HDI40" s="9"/>
      <c r="HDJ40" s="9"/>
      <c r="HDK40" s="9"/>
      <c r="HDL40" s="10"/>
      <c r="HDM40" s="11"/>
      <c r="HDN40" s="12"/>
      <c r="HDO40" s="12"/>
      <c r="HDP40" s="12"/>
      <c r="HDQ40" s="13"/>
      <c r="HDR40" s="9"/>
      <c r="HDS40" s="9"/>
      <c r="HDT40" s="9"/>
      <c r="HDU40" s="9"/>
      <c r="HDV40" s="10"/>
      <c r="HDW40" s="11"/>
      <c r="HDX40" s="12"/>
      <c r="HDY40" s="12"/>
      <c r="HDZ40" s="12"/>
      <c r="HEA40" s="13"/>
      <c r="HEB40" s="9"/>
      <c r="HEC40" s="9"/>
      <c r="HED40" s="9"/>
      <c r="HEE40" s="9"/>
      <c r="HEF40" s="10"/>
      <c r="HEG40" s="11"/>
      <c r="HEH40" s="12"/>
      <c r="HEI40" s="12"/>
      <c r="HEJ40" s="12"/>
      <c r="HEK40" s="13"/>
      <c r="HEL40" s="9"/>
      <c r="HEM40" s="9"/>
      <c r="HEN40" s="9"/>
      <c r="HEO40" s="9"/>
      <c r="HEP40" s="10"/>
      <c r="HEQ40" s="11"/>
      <c r="HER40" s="12"/>
      <c r="HES40" s="12"/>
      <c r="HET40" s="12"/>
      <c r="HEU40" s="13"/>
      <c r="HEV40" s="9"/>
      <c r="HEW40" s="9"/>
      <c r="HEX40" s="9"/>
      <c r="HEY40" s="9"/>
      <c r="HEZ40" s="10"/>
      <c r="HFA40" s="11"/>
      <c r="HFB40" s="12"/>
      <c r="HFC40" s="12"/>
      <c r="HFD40" s="12"/>
      <c r="HFE40" s="13"/>
      <c r="HFF40" s="9"/>
      <c r="HFG40" s="9"/>
      <c r="HFH40" s="9"/>
      <c r="HFI40" s="9"/>
      <c r="HFJ40" s="10"/>
      <c r="HFK40" s="11"/>
      <c r="HFL40" s="12"/>
      <c r="HFM40" s="12"/>
      <c r="HFN40" s="12"/>
      <c r="HFO40" s="13"/>
      <c r="HFP40" s="9"/>
      <c r="HFQ40" s="9"/>
      <c r="HFR40" s="9"/>
      <c r="HFS40" s="9"/>
      <c r="HFT40" s="10"/>
      <c r="HFU40" s="11"/>
      <c r="HFV40" s="12"/>
      <c r="HFW40" s="12"/>
      <c r="HFX40" s="12"/>
      <c r="HFY40" s="13"/>
      <c r="HFZ40" s="9"/>
      <c r="HGA40" s="9"/>
      <c r="HGB40" s="9"/>
      <c r="HGC40" s="9"/>
      <c r="HGD40" s="10"/>
      <c r="HGE40" s="11"/>
      <c r="HGF40" s="12"/>
      <c r="HGG40" s="12"/>
      <c r="HGH40" s="12"/>
      <c r="HGI40" s="13"/>
      <c r="HGJ40" s="9"/>
      <c r="HGK40" s="9"/>
      <c r="HGL40" s="9"/>
      <c r="HGM40" s="9"/>
      <c r="HGN40" s="10"/>
      <c r="HGO40" s="11"/>
      <c r="HGP40" s="12"/>
      <c r="HGQ40" s="12"/>
      <c r="HGR40" s="12"/>
      <c r="HGS40" s="13"/>
      <c r="HGT40" s="9"/>
      <c r="HGU40" s="9"/>
      <c r="HGV40" s="9"/>
      <c r="HGW40" s="9"/>
      <c r="HGX40" s="10"/>
      <c r="HGY40" s="11"/>
      <c r="HGZ40" s="12"/>
      <c r="HHA40" s="12"/>
      <c r="HHB40" s="12"/>
      <c r="HHC40" s="13"/>
      <c r="HHD40" s="9"/>
      <c r="HHE40" s="9"/>
      <c r="HHF40" s="9"/>
      <c r="HHG40" s="9"/>
      <c r="HHH40" s="10"/>
      <c r="HHI40" s="11"/>
      <c r="HHJ40" s="12"/>
      <c r="HHK40" s="12"/>
      <c r="HHL40" s="12"/>
      <c r="HHM40" s="13"/>
      <c r="HHN40" s="9"/>
      <c r="HHO40" s="9"/>
      <c r="HHP40" s="9"/>
      <c r="HHQ40" s="9"/>
      <c r="HHR40" s="10"/>
      <c r="HHS40" s="11"/>
      <c r="HHT40" s="12"/>
      <c r="HHU40" s="12"/>
      <c r="HHV40" s="12"/>
      <c r="HHW40" s="13"/>
      <c r="HHX40" s="9"/>
      <c r="HHY40" s="9"/>
      <c r="HHZ40" s="9"/>
      <c r="HIA40" s="9"/>
      <c r="HIB40" s="10"/>
      <c r="HIC40" s="11"/>
      <c r="HID40" s="12"/>
      <c r="HIE40" s="12"/>
      <c r="HIF40" s="12"/>
      <c r="HIG40" s="13"/>
      <c r="HIH40" s="9"/>
      <c r="HII40" s="9"/>
      <c r="HIJ40" s="9"/>
      <c r="HIK40" s="9"/>
      <c r="HIL40" s="10"/>
      <c r="HIM40" s="11"/>
      <c r="HIN40" s="12"/>
      <c r="HIO40" s="12"/>
      <c r="HIP40" s="12"/>
      <c r="HIQ40" s="13"/>
      <c r="HIR40" s="9"/>
      <c r="HIS40" s="9"/>
      <c r="HIT40" s="9"/>
      <c r="HIU40" s="9"/>
      <c r="HIV40" s="10"/>
      <c r="HIW40" s="11"/>
      <c r="HIX40" s="12"/>
      <c r="HIY40" s="12"/>
      <c r="HIZ40" s="12"/>
      <c r="HJA40" s="13"/>
      <c r="HJB40" s="9"/>
      <c r="HJC40" s="9"/>
      <c r="HJD40" s="9"/>
      <c r="HJE40" s="9"/>
      <c r="HJF40" s="10"/>
      <c r="HJG40" s="11"/>
      <c r="HJH40" s="12"/>
      <c r="HJI40" s="12"/>
      <c r="HJJ40" s="12"/>
      <c r="HJK40" s="13"/>
      <c r="HJL40" s="9"/>
      <c r="HJM40" s="9"/>
      <c r="HJN40" s="9"/>
      <c r="HJO40" s="9"/>
      <c r="HJP40" s="10"/>
      <c r="HJQ40" s="11"/>
      <c r="HJR40" s="12"/>
      <c r="HJS40" s="12"/>
      <c r="HJT40" s="12"/>
      <c r="HJU40" s="13"/>
      <c r="HJV40" s="9"/>
      <c r="HJW40" s="9"/>
      <c r="HJX40" s="9"/>
      <c r="HJY40" s="9"/>
      <c r="HJZ40" s="10"/>
      <c r="HKA40" s="11"/>
      <c r="HKB40" s="12"/>
      <c r="HKC40" s="12"/>
      <c r="HKD40" s="12"/>
      <c r="HKE40" s="13"/>
      <c r="HKF40" s="9"/>
      <c r="HKG40" s="9"/>
      <c r="HKH40" s="9"/>
      <c r="HKI40" s="9"/>
      <c r="HKJ40" s="10"/>
      <c r="HKK40" s="11"/>
      <c r="HKL40" s="12"/>
      <c r="HKM40" s="12"/>
      <c r="HKN40" s="12"/>
      <c r="HKO40" s="13"/>
      <c r="HKP40" s="9"/>
      <c r="HKQ40" s="9"/>
      <c r="HKR40" s="9"/>
      <c r="HKS40" s="9"/>
      <c r="HKT40" s="10"/>
      <c r="HKU40" s="11"/>
      <c r="HKV40" s="12"/>
      <c r="HKW40" s="12"/>
      <c r="HKX40" s="12"/>
      <c r="HKY40" s="13"/>
      <c r="HKZ40" s="9"/>
      <c r="HLA40" s="9"/>
      <c r="HLB40" s="9"/>
      <c r="HLC40" s="9"/>
      <c r="HLD40" s="10"/>
      <c r="HLE40" s="11"/>
      <c r="HLF40" s="12"/>
      <c r="HLG40" s="12"/>
      <c r="HLH40" s="12"/>
      <c r="HLI40" s="13"/>
      <c r="HLJ40" s="9"/>
      <c r="HLK40" s="9"/>
      <c r="HLL40" s="9"/>
      <c r="HLM40" s="9"/>
      <c r="HLN40" s="10"/>
      <c r="HLO40" s="11"/>
      <c r="HLP40" s="12"/>
      <c r="HLQ40" s="12"/>
      <c r="HLR40" s="12"/>
      <c r="HLS40" s="13"/>
      <c r="HLT40" s="9"/>
      <c r="HLU40" s="9"/>
      <c r="HLV40" s="9"/>
      <c r="HLW40" s="9"/>
      <c r="HLX40" s="10"/>
      <c r="HLY40" s="11"/>
      <c r="HLZ40" s="12"/>
      <c r="HMA40" s="12"/>
      <c r="HMB40" s="12"/>
      <c r="HMC40" s="13"/>
      <c r="HMD40" s="9"/>
      <c r="HME40" s="9"/>
      <c r="HMF40" s="9"/>
      <c r="HMG40" s="9"/>
      <c r="HMH40" s="10"/>
      <c r="HMI40" s="11"/>
      <c r="HMJ40" s="12"/>
      <c r="HMK40" s="12"/>
      <c r="HML40" s="12"/>
      <c r="HMM40" s="13"/>
      <c r="HMN40" s="9"/>
      <c r="HMO40" s="9"/>
      <c r="HMP40" s="9"/>
      <c r="HMQ40" s="9"/>
      <c r="HMR40" s="10"/>
      <c r="HMS40" s="11"/>
      <c r="HMT40" s="12"/>
      <c r="HMU40" s="12"/>
      <c r="HMV40" s="12"/>
      <c r="HMW40" s="13"/>
      <c r="HMX40" s="9"/>
      <c r="HMY40" s="9"/>
      <c r="HMZ40" s="9"/>
      <c r="HNA40" s="9"/>
      <c r="HNB40" s="10"/>
      <c r="HNC40" s="11"/>
      <c r="HND40" s="12"/>
      <c r="HNE40" s="12"/>
      <c r="HNF40" s="12"/>
      <c r="HNG40" s="13"/>
      <c r="HNH40" s="9"/>
      <c r="HNI40" s="9"/>
      <c r="HNJ40" s="9"/>
      <c r="HNK40" s="9"/>
      <c r="HNL40" s="10"/>
      <c r="HNM40" s="11"/>
      <c r="HNN40" s="12"/>
      <c r="HNO40" s="12"/>
      <c r="HNP40" s="12"/>
      <c r="HNQ40" s="13"/>
      <c r="HNR40" s="9"/>
      <c r="HNS40" s="9"/>
      <c r="HNT40" s="9"/>
      <c r="HNU40" s="9"/>
      <c r="HNV40" s="10"/>
      <c r="HNW40" s="11"/>
      <c r="HNX40" s="12"/>
      <c r="HNY40" s="12"/>
      <c r="HNZ40" s="12"/>
      <c r="HOA40" s="13"/>
      <c r="HOB40" s="9"/>
      <c r="HOC40" s="9"/>
      <c r="HOD40" s="9"/>
      <c r="HOE40" s="9"/>
      <c r="HOF40" s="10"/>
      <c r="HOG40" s="11"/>
      <c r="HOH40" s="12"/>
      <c r="HOI40" s="12"/>
      <c r="HOJ40" s="12"/>
      <c r="HOK40" s="13"/>
      <c r="HOL40" s="9"/>
      <c r="HOM40" s="9"/>
      <c r="HON40" s="9"/>
      <c r="HOO40" s="9"/>
      <c r="HOP40" s="10"/>
      <c r="HOQ40" s="11"/>
      <c r="HOR40" s="12"/>
      <c r="HOS40" s="12"/>
      <c r="HOT40" s="12"/>
      <c r="HOU40" s="13"/>
      <c r="HOV40" s="9"/>
      <c r="HOW40" s="9"/>
      <c r="HOX40" s="9"/>
      <c r="HOY40" s="9"/>
      <c r="HOZ40" s="10"/>
      <c r="HPA40" s="11"/>
      <c r="HPB40" s="12"/>
      <c r="HPC40" s="12"/>
      <c r="HPD40" s="12"/>
      <c r="HPE40" s="13"/>
      <c r="HPF40" s="9"/>
      <c r="HPG40" s="9"/>
      <c r="HPH40" s="9"/>
      <c r="HPI40" s="9"/>
      <c r="HPJ40" s="10"/>
      <c r="HPK40" s="11"/>
      <c r="HPL40" s="12"/>
      <c r="HPM40" s="12"/>
      <c r="HPN40" s="12"/>
      <c r="HPO40" s="13"/>
      <c r="HPP40" s="9"/>
      <c r="HPQ40" s="9"/>
      <c r="HPR40" s="9"/>
      <c r="HPS40" s="9"/>
      <c r="HPT40" s="10"/>
      <c r="HPU40" s="11"/>
      <c r="HPV40" s="12"/>
      <c r="HPW40" s="12"/>
      <c r="HPX40" s="12"/>
      <c r="HPY40" s="13"/>
      <c r="HPZ40" s="9"/>
      <c r="HQA40" s="9"/>
      <c r="HQB40" s="9"/>
      <c r="HQC40" s="9"/>
      <c r="HQD40" s="10"/>
      <c r="HQE40" s="11"/>
      <c r="HQF40" s="12"/>
      <c r="HQG40" s="12"/>
      <c r="HQH40" s="12"/>
      <c r="HQI40" s="13"/>
      <c r="HQJ40" s="9"/>
      <c r="HQK40" s="9"/>
      <c r="HQL40" s="9"/>
      <c r="HQM40" s="9"/>
      <c r="HQN40" s="10"/>
      <c r="HQO40" s="11"/>
      <c r="HQP40" s="12"/>
      <c r="HQQ40" s="12"/>
      <c r="HQR40" s="12"/>
      <c r="HQS40" s="13"/>
      <c r="HQT40" s="9"/>
      <c r="HQU40" s="9"/>
      <c r="HQV40" s="9"/>
      <c r="HQW40" s="9"/>
      <c r="HQX40" s="10"/>
      <c r="HQY40" s="11"/>
      <c r="HQZ40" s="12"/>
      <c r="HRA40" s="12"/>
      <c r="HRB40" s="12"/>
      <c r="HRC40" s="13"/>
      <c r="HRD40" s="9"/>
      <c r="HRE40" s="9"/>
      <c r="HRF40" s="9"/>
      <c r="HRG40" s="9"/>
      <c r="HRH40" s="10"/>
      <c r="HRI40" s="11"/>
      <c r="HRJ40" s="12"/>
      <c r="HRK40" s="12"/>
      <c r="HRL40" s="12"/>
      <c r="HRM40" s="13"/>
      <c r="HRN40" s="9"/>
      <c r="HRO40" s="9"/>
      <c r="HRP40" s="9"/>
      <c r="HRQ40" s="9"/>
      <c r="HRR40" s="10"/>
      <c r="HRS40" s="11"/>
      <c r="HRT40" s="12"/>
      <c r="HRU40" s="12"/>
      <c r="HRV40" s="12"/>
      <c r="HRW40" s="13"/>
      <c r="HRX40" s="9"/>
      <c r="HRY40" s="9"/>
      <c r="HRZ40" s="9"/>
      <c r="HSA40" s="9"/>
      <c r="HSB40" s="10"/>
      <c r="HSC40" s="11"/>
      <c r="HSD40" s="12"/>
      <c r="HSE40" s="12"/>
      <c r="HSF40" s="12"/>
      <c r="HSG40" s="13"/>
      <c r="HSH40" s="9"/>
      <c r="HSI40" s="9"/>
      <c r="HSJ40" s="9"/>
      <c r="HSK40" s="9"/>
      <c r="HSL40" s="10"/>
      <c r="HSM40" s="11"/>
      <c r="HSN40" s="12"/>
      <c r="HSO40" s="12"/>
      <c r="HSP40" s="12"/>
      <c r="HSQ40" s="13"/>
      <c r="HSR40" s="9"/>
      <c r="HSS40" s="9"/>
      <c r="HST40" s="9"/>
      <c r="HSU40" s="9"/>
      <c r="HSV40" s="10"/>
      <c r="HSW40" s="11"/>
      <c r="HSX40" s="12"/>
      <c r="HSY40" s="12"/>
      <c r="HSZ40" s="12"/>
      <c r="HTA40" s="13"/>
      <c r="HTB40" s="9"/>
      <c r="HTC40" s="9"/>
      <c r="HTD40" s="9"/>
      <c r="HTE40" s="9"/>
      <c r="HTF40" s="10"/>
      <c r="HTG40" s="11"/>
      <c r="HTH40" s="12"/>
      <c r="HTI40" s="12"/>
      <c r="HTJ40" s="12"/>
      <c r="HTK40" s="13"/>
      <c r="HTL40" s="9"/>
      <c r="HTM40" s="9"/>
      <c r="HTN40" s="9"/>
      <c r="HTO40" s="9"/>
      <c r="HTP40" s="10"/>
      <c r="HTQ40" s="11"/>
      <c r="HTR40" s="12"/>
      <c r="HTS40" s="12"/>
      <c r="HTT40" s="12"/>
      <c r="HTU40" s="13"/>
      <c r="HTV40" s="9"/>
      <c r="HTW40" s="9"/>
      <c r="HTX40" s="9"/>
      <c r="HTY40" s="9"/>
      <c r="HTZ40" s="10"/>
      <c r="HUA40" s="11"/>
      <c r="HUB40" s="12"/>
      <c r="HUC40" s="12"/>
      <c r="HUD40" s="12"/>
      <c r="HUE40" s="13"/>
      <c r="HUF40" s="9"/>
      <c r="HUG40" s="9"/>
      <c r="HUH40" s="9"/>
      <c r="HUI40" s="9"/>
      <c r="HUJ40" s="10"/>
      <c r="HUK40" s="11"/>
      <c r="HUL40" s="12"/>
      <c r="HUM40" s="12"/>
      <c r="HUN40" s="12"/>
      <c r="HUO40" s="13"/>
      <c r="HUP40" s="9"/>
      <c r="HUQ40" s="9"/>
      <c r="HUR40" s="9"/>
      <c r="HUS40" s="9"/>
      <c r="HUT40" s="10"/>
      <c r="HUU40" s="11"/>
      <c r="HUV40" s="12"/>
      <c r="HUW40" s="12"/>
      <c r="HUX40" s="12"/>
      <c r="HUY40" s="13"/>
      <c r="HUZ40" s="9"/>
      <c r="HVA40" s="9"/>
      <c r="HVB40" s="9"/>
      <c r="HVC40" s="9"/>
      <c r="HVD40" s="10"/>
      <c r="HVE40" s="11"/>
      <c r="HVF40" s="12"/>
      <c r="HVG40" s="12"/>
      <c r="HVH40" s="12"/>
      <c r="HVI40" s="13"/>
      <c r="HVJ40" s="9"/>
      <c r="HVK40" s="9"/>
      <c r="HVL40" s="9"/>
      <c r="HVM40" s="9"/>
      <c r="HVN40" s="10"/>
      <c r="HVO40" s="11"/>
      <c r="HVP40" s="12"/>
      <c r="HVQ40" s="12"/>
      <c r="HVR40" s="12"/>
      <c r="HVS40" s="13"/>
      <c r="HVT40" s="9"/>
      <c r="HVU40" s="9"/>
      <c r="HVV40" s="9"/>
      <c r="HVW40" s="9"/>
      <c r="HVX40" s="10"/>
      <c r="HVY40" s="11"/>
      <c r="HVZ40" s="12"/>
      <c r="HWA40" s="12"/>
      <c r="HWB40" s="12"/>
      <c r="HWC40" s="13"/>
      <c r="HWD40" s="9"/>
      <c r="HWE40" s="9"/>
      <c r="HWF40" s="9"/>
      <c r="HWG40" s="9"/>
      <c r="HWH40" s="10"/>
      <c r="HWI40" s="11"/>
      <c r="HWJ40" s="12"/>
      <c r="HWK40" s="12"/>
      <c r="HWL40" s="12"/>
      <c r="HWM40" s="13"/>
      <c r="HWN40" s="9"/>
      <c r="HWO40" s="9"/>
      <c r="HWP40" s="9"/>
      <c r="HWQ40" s="9"/>
      <c r="HWR40" s="10"/>
      <c r="HWS40" s="11"/>
      <c r="HWT40" s="12"/>
      <c r="HWU40" s="12"/>
      <c r="HWV40" s="12"/>
      <c r="HWW40" s="13"/>
      <c r="HWX40" s="9"/>
      <c r="HWY40" s="9"/>
      <c r="HWZ40" s="9"/>
      <c r="HXA40" s="9"/>
      <c r="HXB40" s="10"/>
      <c r="HXC40" s="11"/>
      <c r="HXD40" s="12"/>
      <c r="HXE40" s="12"/>
      <c r="HXF40" s="12"/>
      <c r="HXG40" s="13"/>
      <c r="HXH40" s="9"/>
      <c r="HXI40" s="9"/>
      <c r="HXJ40" s="9"/>
      <c r="HXK40" s="9"/>
      <c r="HXL40" s="10"/>
      <c r="HXM40" s="11"/>
      <c r="HXN40" s="12"/>
      <c r="HXO40" s="12"/>
      <c r="HXP40" s="12"/>
      <c r="HXQ40" s="13"/>
      <c r="HXR40" s="9"/>
      <c r="HXS40" s="9"/>
      <c r="HXT40" s="9"/>
      <c r="HXU40" s="9"/>
      <c r="HXV40" s="10"/>
      <c r="HXW40" s="11"/>
      <c r="HXX40" s="12"/>
      <c r="HXY40" s="12"/>
      <c r="HXZ40" s="12"/>
      <c r="HYA40" s="13"/>
      <c r="HYB40" s="9"/>
      <c r="HYC40" s="9"/>
      <c r="HYD40" s="9"/>
      <c r="HYE40" s="9"/>
      <c r="HYF40" s="10"/>
      <c r="HYG40" s="11"/>
      <c r="HYH40" s="12"/>
      <c r="HYI40" s="12"/>
      <c r="HYJ40" s="12"/>
      <c r="HYK40" s="13"/>
      <c r="HYL40" s="9"/>
      <c r="HYM40" s="9"/>
      <c r="HYN40" s="9"/>
      <c r="HYO40" s="9"/>
      <c r="HYP40" s="10"/>
      <c r="HYQ40" s="11"/>
      <c r="HYR40" s="12"/>
      <c r="HYS40" s="12"/>
      <c r="HYT40" s="12"/>
      <c r="HYU40" s="13"/>
      <c r="HYV40" s="9"/>
      <c r="HYW40" s="9"/>
      <c r="HYX40" s="9"/>
      <c r="HYY40" s="9"/>
      <c r="HYZ40" s="10"/>
      <c r="HZA40" s="11"/>
      <c r="HZB40" s="12"/>
      <c r="HZC40" s="12"/>
      <c r="HZD40" s="12"/>
      <c r="HZE40" s="13"/>
      <c r="HZF40" s="9"/>
      <c r="HZG40" s="9"/>
      <c r="HZH40" s="9"/>
      <c r="HZI40" s="9"/>
      <c r="HZJ40" s="10"/>
      <c r="HZK40" s="11"/>
      <c r="HZL40" s="12"/>
      <c r="HZM40" s="12"/>
      <c r="HZN40" s="12"/>
      <c r="HZO40" s="13"/>
      <c r="HZP40" s="9"/>
      <c r="HZQ40" s="9"/>
      <c r="HZR40" s="9"/>
      <c r="HZS40" s="9"/>
      <c r="HZT40" s="10"/>
      <c r="HZU40" s="11"/>
      <c r="HZV40" s="12"/>
      <c r="HZW40" s="12"/>
      <c r="HZX40" s="12"/>
      <c r="HZY40" s="13"/>
      <c r="HZZ40" s="9"/>
      <c r="IAA40" s="9"/>
      <c r="IAB40" s="9"/>
      <c r="IAC40" s="9"/>
      <c r="IAD40" s="10"/>
      <c r="IAE40" s="11"/>
      <c r="IAF40" s="12"/>
      <c r="IAG40" s="12"/>
      <c r="IAH40" s="12"/>
      <c r="IAI40" s="13"/>
      <c r="IAJ40" s="9"/>
      <c r="IAK40" s="9"/>
      <c r="IAL40" s="9"/>
      <c r="IAM40" s="9"/>
      <c r="IAN40" s="10"/>
      <c r="IAO40" s="11"/>
      <c r="IAP40" s="12"/>
      <c r="IAQ40" s="12"/>
      <c r="IAR40" s="12"/>
      <c r="IAS40" s="13"/>
      <c r="IAT40" s="9"/>
      <c r="IAU40" s="9"/>
      <c r="IAV40" s="9"/>
      <c r="IAW40" s="9"/>
      <c r="IAX40" s="10"/>
      <c r="IAY40" s="11"/>
      <c r="IAZ40" s="12"/>
      <c r="IBA40" s="12"/>
      <c r="IBB40" s="12"/>
      <c r="IBC40" s="13"/>
      <c r="IBD40" s="9"/>
      <c r="IBE40" s="9"/>
      <c r="IBF40" s="9"/>
      <c r="IBG40" s="9"/>
      <c r="IBH40" s="10"/>
      <c r="IBI40" s="11"/>
      <c r="IBJ40" s="12"/>
      <c r="IBK40" s="12"/>
      <c r="IBL40" s="12"/>
      <c r="IBM40" s="13"/>
      <c r="IBN40" s="9"/>
      <c r="IBO40" s="9"/>
      <c r="IBP40" s="9"/>
      <c r="IBQ40" s="9"/>
      <c r="IBR40" s="10"/>
      <c r="IBS40" s="11"/>
      <c r="IBT40" s="12"/>
      <c r="IBU40" s="12"/>
      <c r="IBV40" s="12"/>
      <c r="IBW40" s="13"/>
      <c r="IBX40" s="9"/>
      <c r="IBY40" s="9"/>
      <c r="IBZ40" s="9"/>
      <c r="ICA40" s="9"/>
      <c r="ICB40" s="10"/>
      <c r="ICC40" s="11"/>
      <c r="ICD40" s="12"/>
      <c r="ICE40" s="12"/>
      <c r="ICF40" s="12"/>
      <c r="ICG40" s="13"/>
      <c r="ICH40" s="9"/>
      <c r="ICI40" s="9"/>
      <c r="ICJ40" s="9"/>
      <c r="ICK40" s="9"/>
      <c r="ICL40" s="10"/>
      <c r="ICM40" s="11"/>
      <c r="ICN40" s="12"/>
      <c r="ICO40" s="12"/>
      <c r="ICP40" s="12"/>
      <c r="ICQ40" s="13"/>
      <c r="ICR40" s="9"/>
      <c r="ICS40" s="9"/>
      <c r="ICT40" s="9"/>
      <c r="ICU40" s="9"/>
      <c r="ICV40" s="10"/>
      <c r="ICW40" s="11"/>
      <c r="ICX40" s="12"/>
      <c r="ICY40" s="12"/>
      <c r="ICZ40" s="12"/>
      <c r="IDA40" s="13"/>
      <c r="IDB40" s="9"/>
      <c r="IDC40" s="9"/>
      <c r="IDD40" s="9"/>
      <c r="IDE40" s="9"/>
      <c r="IDF40" s="10"/>
      <c r="IDG40" s="11"/>
      <c r="IDH40" s="12"/>
      <c r="IDI40" s="12"/>
      <c r="IDJ40" s="12"/>
      <c r="IDK40" s="13"/>
      <c r="IDL40" s="9"/>
      <c r="IDM40" s="9"/>
      <c r="IDN40" s="9"/>
      <c r="IDO40" s="9"/>
      <c r="IDP40" s="10"/>
      <c r="IDQ40" s="11"/>
      <c r="IDR40" s="12"/>
      <c r="IDS40" s="12"/>
      <c r="IDT40" s="12"/>
      <c r="IDU40" s="13"/>
      <c r="IDV40" s="9"/>
      <c r="IDW40" s="9"/>
      <c r="IDX40" s="9"/>
      <c r="IDY40" s="9"/>
      <c r="IDZ40" s="10"/>
      <c r="IEA40" s="11"/>
      <c r="IEB40" s="12"/>
      <c r="IEC40" s="12"/>
      <c r="IED40" s="12"/>
      <c r="IEE40" s="13"/>
      <c r="IEF40" s="9"/>
      <c r="IEG40" s="9"/>
      <c r="IEH40" s="9"/>
      <c r="IEI40" s="9"/>
      <c r="IEJ40" s="10"/>
      <c r="IEK40" s="11"/>
      <c r="IEL40" s="12"/>
      <c r="IEM40" s="12"/>
      <c r="IEN40" s="12"/>
      <c r="IEO40" s="13"/>
      <c r="IEP40" s="9"/>
      <c r="IEQ40" s="9"/>
      <c r="IER40" s="9"/>
      <c r="IES40" s="9"/>
      <c r="IET40" s="10"/>
      <c r="IEU40" s="11"/>
      <c r="IEV40" s="12"/>
      <c r="IEW40" s="12"/>
      <c r="IEX40" s="12"/>
      <c r="IEY40" s="13"/>
      <c r="IEZ40" s="9"/>
      <c r="IFA40" s="9"/>
      <c r="IFB40" s="9"/>
      <c r="IFC40" s="9"/>
      <c r="IFD40" s="10"/>
      <c r="IFE40" s="11"/>
      <c r="IFF40" s="12"/>
      <c r="IFG40" s="12"/>
      <c r="IFH40" s="12"/>
      <c r="IFI40" s="13"/>
      <c r="IFJ40" s="9"/>
      <c r="IFK40" s="9"/>
      <c r="IFL40" s="9"/>
      <c r="IFM40" s="9"/>
      <c r="IFN40" s="10"/>
      <c r="IFO40" s="11"/>
      <c r="IFP40" s="12"/>
      <c r="IFQ40" s="12"/>
      <c r="IFR40" s="12"/>
      <c r="IFS40" s="13"/>
      <c r="IFT40" s="9"/>
      <c r="IFU40" s="9"/>
      <c r="IFV40" s="9"/>
      <c r="IFW40" s="9"/>
      <c r="IFX40" s="10"/>
      <c r="IFY40" s="11"/>
      <c r="IFZ40" s="12"/>
      <c r="IGA40" s="12"/>
      <c r="IGB40" s="12"/>
      <c r="IGC40" s="13"/>
      <c r="IGD40" s="9"/>
      <c r="IGE40" s="9"/>
      <c r="IGF40" s="9"/>
      <c r="IGG40" s="9"/>
      <c r="IGH40" s="10"/>
      <c r="IGI40" s="11"/>
      <c r="IGJ40" s="12"/>
      <c r="IGK40" s="12"/>
      <c r="IGL40" s="12"/>
      <c r="IGM40" s="13"/>
      <c r="IGN40" s="9"/>
      <c r="IGO40" s="9"/>
      <c r="IGP40" s="9"/>
      <c r="IGQ40" s="9"/>
      <c r="IGR40" s="10"/>
      <c r="IGS40" s="11"/>
      <c r="IGT40" s="12"/>
      <c r="IGU40" s="12"/>
      <c r="IGV40" s="12"/>
      <c r="IGW40" s="13"/>
      <c r="IGX40" s="9"/>
      <c r="IGY40" s="9"/>
      <c r="IGZ40" s="9"/>
      <c r="IHA40" s="9"/>
      <c r="IHB40" s="10"/>
      <c r="IHC40" s="11"/>
      <c r="IHD40" s="12"/>
      <c r="IHE40" s="12"/>
      <c r="IHF40" s="12"/>
      <c r="IHG40" s="13"/>
      <c r="IHH40" s="9"/>
      <c r="IHI40" s="9"/>
      <c r="IHJ40" s="9"/>
      <c r="IHK40" s="9"/>
      <c r="IHL40" s="10"/>
      <c r="IHM40" s="11"/>
      <c r="IHN40" s="12"/>
      <c r="IHO40" s="12"/>
      <c r="IHP40" s="12"/>
      <c r="IHQ40" s="13"/>
      <c r="IHR40" s="9"/>
      <c r="IHS40" s="9"/>
      <c r="IHT40" s="9"/>
      <c r="IHU40" s="9"/>
      <c r="IHV40" s="10"/>
      <c r="IHW40" s="11"/>
      <c r="IHX40" s="12"/>
      <c r="IHY40" s="12"/>
      <c r="IHZ40" s="12"/>
      <c r="IIA40" s="13"/>
      <c r="IIB40" s="9"/>
      <c r="IIC40" s="9"/>
      <c r="IID40" s="9"/>
      <c r="IIE40" s="9"/>
      <c r="IIF40" s="10"/>
      <c r="IIG40" s="11"/>
      <c r="IIH40" s="12"/>
      <c r="III40" s="12"/>
      <c r="IIJ40" s="12"/>
      <c r="IIK40" s="13"/>
      <c r="IIL40" s="9"/>
      <c r="IIM40" s="9"/>
      <c r="IIN40" s="9"/>
      <c r="IIO40" s="9"/>
      <c r="IIP40" s="10"/>
      <c r="IIQ40" s="11"/>
      <c r="IIR40" s="12"/>
      <c r="IIS40" s="12"/>
      <c r="IIT40" s="12"/>
      <c r="IIU40" s="13"/>
      <c r="IIV40" s="9"/>
      <c r="IIW40" s="9"/>
      <c r="IIX40" s="9"/>
      <c r="IIY40" s="9"/>
      <c r="IIZ40" s="10"/>
      <c r="IJA40" s="11"/>
      <c r="IJB40" s="12"/>
      <c r="IJC40" s="12"/>
      <c r="IJD40" s="12"/>
      <c r="IJE40" s="13"/>
      <c r="IJF40" s="9"/>
      <c r="IJG40" s="9"/>
      <c r="IJH40" s="9"/>
      <c r="IJI40" s="9"/>
      <c r="IJJ40" s="10"/>
      <c r="IJK40" s="11"/>
      <c r="IJL40" s="12"/>
      <c r="IJM40" s="12"/>
      <c r="IJN40" s="12"/>
      <c r="IJO40" s="13"/>
      <c r="IJP40" s="9"/>
      <c r="IJQ40" s="9"/>
      <c r="IJR40" s="9"/>
      <c r="IJS40" s="9"/>
      <c r="IJT40" s="10"/>
      <c r="IJU40" s="11"/>
      <c r="IJV40" s="12"/>
      <c r="IJW40" s="12"/>
      <c r="IJX40" s="12"/>
      <c r="IJY40" s="13"/>
      <c r="IJZ40" s="9"/>
      <c r="IKA40" s="9"/>
      <c r="IKB40" s="9"/>
      <c r="IKC40" s="9"/>
      <c r="IKD40" s="10"/>
      <c r="IKE40" s="11"/>
      <c r="IKF40" s="12"/>
      <c r="IKG40" s="12"/>
      <c r="IKH40" s="12"/>
      <c r="IKI40" s="13"/>
      <c r="IKJ40" s="9"/>
      <c r="IKK40" s="9"/>
      <c r="IKL40" s="9"/>
      <c r="IKM40" s="9"/>
      <c r="IKN40" s="10"/>
      <c r="IKO40" s="11"/>
      <c r="IKP40" s="12"/>
      <c r="IKQ40" s="12"/>
      <c r="IKR40" s="12"/>
      <c r="IKS40" s="13"/>
      <c r="IKT40" s="9"/>
      <c r="IKU40" s="9"/>
      <c r="IKV40" s="9"/>
      <c r="IKW40" s="9"/>
      <c r="IKX40" s="10"/>
      <c r="IKY40" s="11"/>
      <c r="IKZ40" s="12"/>
      <c r="ILA40" s="12"/>
      <c r="ILB40" s="12"/>
      <c r="ILC40" s="13"/>
      <c r="ILD40" s="9"/>
      <c r="ILE40" s="9"/>
      <c r="ILF40" s="9"/>
      <c r="ILG40" s="9"/>
      <c r="ILH40" s="10"/>
      <c r="ILI40" s="11"/>
      <c r="ILJ40" s="12"/>
      <c r="ILK40" s="12"/>
      <c r="ILL40" s="12"/>
      <c r="ILM40" s="13"/>
      <c r="ILN40" s="9"/>
      <c r="ILO40" s="9"/>
      <c r="ILP40" s="9"/>
      <c r="ILQ40" s="9"/>
      <c r="ILR40" s="10"/>
      <c r="ILS40" s="11"/>
      <c r="ILT40" s="12"/>
      <c r="ILU40" s="12"/>
      <c r="ILV40" s="12"/>
      <c r="ILW40" s="13"/>
      <c r="ILX40" s="9"/>
      <c r="ILY40" s="9"/>
      <c r="ILZ40" s="9"/>
      <c r="IMA40" s="9"/>
      <c r="IMB40" s="10"/>
      <c r="IMC40" s="11"/>
      <c r="IMD40" s="12"/>
      <c r="IME40" s="12"/>
      <c r="IMF40" s="12"/>
      <c r="IMG40" s="13"/>
      <c r="IMH40" s="9"/>
      <c r="IMI40" s="9"/>
      <c r="IMJ40" s="9"/>
      <c r="IMK40" s="9"/>
      <c r="IML40" s="10"/>
      <c r="IMM40" s="11"/>
      <c r="IMN40" s="12"/>
      <c r="IMO40" s="12"/>
      <c r="IMP40" s="12"/>
      <c r="IMQ40" s="13"/>
      <c r="IMR40" s="9"/>
      <c r="IMS40" s="9"/>
      <c r="IMT40" s="9"/>
      <c r="IMU40" s="9"/>
      <c r="IMV40" s="10"/>
      <c r="IMW40" s="11"/>
      <c r="IMX40" s="12"/>
      <c r="IMY40" s="12"/>
      <c r="IMZ40" s="12"/>
      <c r="INA40" s="13"/>
      <c r="INB40" s="9"/>
      <c r="INC40" s="9"/>
      <c r="IND40" s="9"/>
      <c r="INE40" s="9"/>
      <c r="INF40" s="10"/>
      <c r="ING40" s="11"/>
      <c r="INH40" s="12"/>
      <c r="INI40" s="12"/>
      <c r="INJ40" s="12"/>
      <c r="INK40" s="13"/>
      <c r="INL40" s="9"/>
      <c r="INM40" s="9"/>
      <c r="INN40" s="9"/>
      <c r="INO40" s="9"/>
      <c r="INP40" s="10"/>
      <c r="INQ40" s="11"/>
      <c r="INR40" s="12"/>
      <c r="INS40" s="12"/>
      <c r="INT40" s="12"/>
      <c r="INU40" s="13"/>
      <c r="INV40" s="9"/>
      <c r="INW40" s="9"/>
      <c r="INX40" s="9"/>
      <c r="INY40" s="9"/>
      <c r="INZ40" s="10"/>
      <c r="IOA40" s="11"/>
      <c r="IOB40" s="12"/>
      <c r="IOC40" s="12"/>
      <c r="IOD40" s="12"/>
      <c r="IOE40" s="13"/>
      <c r="IOF40" s="9"/>
      <c r="IOG40" s="9"/>
      <c r="IOH40" s="9"/>
      <c r="IOI40" s="9"/>
      <c r="IOJ40" s="10"/>
      <c r="IOK40" s="11"/>
      <c r="IOL40" s="12"/>
      <c r="IOM40" s="12"/>
      <c r="ION40" s="12"/>
      <c r="IOO40" s="13"/>
      <c r="IOP40" s="9"/>
      <c r="IOQ40" s="9"/>
      <c r="IOR40" s="9"/>
      <c r="IOS40" s="9"/>
      <c r="IOT40" s="10"/>
      <c r="IOU40" s="11"/>
      <c r="IOV40" s="12"/>
      <c r="IOW40" s="12"/>
      <c r="IOX40" s="12"/>
      <c r="IOY40" s="13"/>
      <c r="IOZ40" s="9"/>
      <c r="IPA40" s="9"/>
      <c r="IPB40" s="9"/>
      <c r="IPC40" s="9"/>
      <c r="IPD40" s="10"/>
      <c r="IPE40" s="11"/>
      <c r="IPF40" s="12"/>
      <c r="IPG40" s="12"/>
      <c r="IPH40" s="12"/>
      <c r="IPI40" s="13"/>
      <c r="IPJ40" s="9"/>
      <c r="IPK40" s="9"/>
      <c r="IPL40" s="9"/>
      <c r="IPM40" s="9"/>
      <c r="IPN40" s="10"/>
      <c r="IPO40" s="11"/>
      <c r="IPP40" s="12"/>
      <c r="IPQ40" s="12"/>
      <c r="IPR40" s="12"/>
      <c r="IPS40" s="13"/>
      <c r="IPT40" s="9"/>
      <c r="IPU40" s="9"/>
      <c r="IPV40" s="9"/>
      <c r="IPW40" s="9"/>
      <c r="IPX40" s="10"/>
      <c r="IPY40" s="11"/>
      <c r="IPZ40" s="12"/>
      <c r="IQA40" s="12"/>
      <c r="IQB40" s="12"/>
      <c r="IQC40" s="13"/>
      <c r="IQD40" s="9"/>
      <c r="IQE40" s="9"/>
      <c r="IQF40" s="9"/>
      <c r="IQG40" s="9"/>
      <c r="IQH40" s="10"/>
      <c r="IQI40" s="11"/>
      <c r="IQJ40" s="12"/>
      <c r="IQK40" s="12"/>
      <c r="IQL40" s="12"/>
      <c r="IQM40" s="13"/>
      <c r="IQN40" s="9"/>
      <c r="IQO40" s="9"/>
      <c r="IQP40" s="9"/>
      <c r="IQQ40" s="9"/>
      <c r="IQR40" s="10"/>
      <c r="IQS40" s="11"/>
      <c r="IQT40" s="12"/>
      <c r="IQU40" s="12"/>
      <c r="IQV40" s="12"/>
      <c r="IQW40" s="13"/>
      <c r="IQX40" s="9"/>
      <c r="IQY40" s="9"/>
      <c r="IQZ40" s="9"/>
      <c r="IRA40" s="9"/>
      <c r="IRB40" s="10"/>
      <c r="IRC40" s="11"/>
      <c r="IRD40" s="12"/>
      <c r="IRE40" s="12"/>
      <c r="IRF40" s="12"/>
      <c r="IRG40" s="13"/>
      <c r="IRH40" s="9"/>
      <c r="IRI40" s="9"/>
      <c r="IRJ40" s="9"/>
      <c r="IRK40" s="9"/>
      <c r="IRL40" s="10"/>
      <c r="IRM40" s="11"/>
      <c r="IRN40" s="12"/>
      <c r="IRO40" s="12"/>
      <c r="IRP40" s="12"/>
      <c r="IRQ40" s="13"/>
      <c r="IRR40" s="9"/>
      <c r="IRS40" s="9"/>
      <c r="IRT40" s="9"/>
      <c r="IRU40" s="9"/>
      <c r="IRV40" s="10"/>
      <c r="IRW40" s="11"/>
      <c r="IRX40" s="12"/>
      <c r="IRY40" s="12"/>
      <c r="IRZ40" s="12"/>
      <c r="ISA40" s="13"/>
      <c r="ISB40" s="9"/>
      <c r="ISC40" s="9"/>
      <c r="ISD40" s="9"/>
      <c r="ISE40" s="9"/>
      <c r="ISF40" s="10"/>
      <c r="ISG40" s="11"/>
      <c r="ISH40" s="12"/>
      <c r="ISI40" s="12"/>
      <c r="ISJ40" s="12"/>
      <c r="ISK40" s="13"/>
      <c r="ISL40" s="9"/>
      <c r="ISM40" s="9"/>
      <c r="ISN40" s="9"/>
      <c r="ISO40" s="9"/>
      <c r="ISP40" s="10"/>
      <c r="ISQ40" s="11"/>
      <c r="ISR40" s="12"/>
      <c r="ISS40" s="12"/>
      <c r="IST40" s="12"/>
      <c r="ISU40" s="13"/>
      <c r="ISV40" s="9"/>
      <c r="ISW40" s="9"/>
      <c r="ISX40" s="9"/>
      <c r="ISY40" s="9"/>
      <c r="ISZ40" s="10"/>
      <c r="ITA40" s="11"/>
      <c r="ITB40" s="12"/>
      <c r="ITC40" s="12"/>
      <c r="ITD40" s="12"/>
      <c r="ITE40" s="13"/>
      <c r="ITF40" s="9"/>
      <c r="ITG40" s="9"/>
      <c r="ITH40" s="9"/>
      <c r="ITI40" s="9"/>
      <c r="ITJ40" s="10"/>
      <c r="ITK40" s="11"/>
      <c r="ITL40" s="12"/>
      <c r="ITM40" s="12"/>
      <c r="ITN40" s="12"/>
      <c r="ITO40" s="13"/>
      <c r="ITP40" s="9"/>
      <c r="ITQ40" s="9"/>
      <c r="ITR40" s="9"/>
      <c r="ITS40" s="9"/>
      <c r="ITT40" s="10"/>
      <c r="ITU40" s="11"/>
      <c r="ITV40" s="12"/>
      <c r="ITW40" s="12"/>
      <c r="ITX40" s="12"/>
      <c r="ITY40" s="13"/>
      <c r="ITZ40" s="9"/>
      <c r="IUA40" s="9"/>
      <c r="IUB40" s="9"/>
      <c r="IUC40" s="9"/>
      <c r="IUD40" s="10"/>
      <c r="IUE40" s="11"/>
      <c r="IUF40" s="12"/>
      <c r="IUG40" s="12"/>
      <c r="IUH40" s="12"/>
      <c r="IUI40" s="13"/>
      <c r="IUJ40" s="9"/>
      <c r="IUK40" s="9"/>
      <c r="IUL40" s="9"/>
      <c r="IUM40" s="9"/>
      <c r="IUN40" s="10"/>
      <c r="IUO40" s="11"/>
      <c r="IUP40" s="12"/>
      <c r="IUQ40" s="12"/>
      <c r="IUR40" s="12"/>
      <c r="IUS40" s="13"/>
      <c r="IUT40" s="9"/>
      <c r="IUU40" s="9"/>
      <c r="IUV40" s="9"/>
      <c r="IUW40" s="9"/>
      <c r="IUX40" s="10"/>
      <c r="IUY40" s="11"/>
      <c r="IUZ40" s="12"/>
      <c r="IVA40" s="12"/>
      <c r="IVB40" s="12"/>
      <c r="IVC40" s="13"/>
      <c r="IVD40" s="9"/>
      <c r="IVE40" s="9"/>
      <c r="IVF40" s="9"/>
      <c r="IVG40" s="9"/>
      <c r="IVH40" s="10"/>
      <c r="IVI40" s="11"/>
      <c r="IVJ40" s="12"/>
      <c r="IVK40" s="12"/>
      <c r="IVL40" s="12"/>
      <c r="IVM40" s="13"/>
      <c r="IVN40" s="9"/>
      <c r="IVO40" s="9"/>
      <c r="IVP40" s="9"/>
      <c r="IVQ40" s="9"/>
      <c r="IVR40" s="10"/>
      <c r="IVS40" s="11"/>
      <c r="IVT40" s="12"/>
      <c r="IVU40" s="12"/>
      <c r="IVV40" s="12"/>
      <c r="IVW40" s="13"/>
      <c r="IVX40" s="9"/>
      <c r="IVY40" s="9"/>
      <c r="IVZ40" s="9"/>
      <c r="IWA40" s="9"/>
      <c r="IWB40" s="10"/>
      <c r="IWC40" s="11"/>
      <c r="IWD40" s="12"/>
      <c r="IWE40" s="12"/>
      <c r="IWF40" s="12"/>
      <c r="IWG40" s="13"/>
      <c r="IWH40" s="9"/>
      <c r="IWI40" s="9"/>
      <c r="IWJ40" s="9"/>
      <c r="IWK40" s="9"/>
      <c r="IWL40" s="10"/>
      <c r="IWM40" s="11"/>
      <c r="IWN40" s="12"/>
      <c r="IWO40" s="12"/>
      <c r="IWP40" s="12"/>
      <c r="IWQ40" s="13"/>
      <c r="IWR40" s="9"/>
      <c r="IWS40" s="9"/>
      <c r="IWT40" s="9"/>
      <c r="IWU40" s="9"/>
      <c r="IWV40" s="10"/>
      <c r="IWW40" s="11"/>
      <c r="IWX40" s="12"/>
      <c r="IWY40" s="12"/>
      <c r="IWZ40" s="12"/>
      <c r="IXA40" s="13"/>
      <c r="IXB40" s="9"/>
      <c r="IXC40" s="9"/>
      <c r="IXD40" s="9"/>
      <c r="IXE40" s="9"/>
      <c r="IXF40" s="10"/>
      <c r="IXG40" s="11"/>
      <c r="IXH40" s="12"/>
      <c r="IXI40" s="12"/>
      <c r="IXJ40" s="12"/>
      <c r="IXK40" s="13"/>
      <c r="IXL40" s="9"/>
      <c r="IXM40" s="9"/>
      <c r="IXN40" s="9"/>
      <c r="IXO40" s="9"/>
      <c r="IXP40" s="10"/>
      <c r="IXQ40" s="11"/>
      <c r="IXR40" s="12"/>
      <c r="IXS40" s="12"/>
      <c r="IXT40" s="12"/>
      <c r="IXU40" s="13"/>
      <c r="IXV40" s="9"/>
      <c r="IXW40" s="9"/>
      <c r="IXX40" s="9"/>
      <c r="IXY40" s="9"/>
      <c r="IXZ40" s="10"/>
      <c r="IYA40" s="11"/>
      <c r="IYB40" s="12"/>
      <c r="IYC40" s="12"/>
      <c r="IYD40" s="12"/>
      <c r="IYE40" s="13"/>
      <c r="IYF40" s="9"/>
      <c r="IYG40" s="9"/>
      <c r="IYH40" s="9"/>
      <c r="IYI40" s="9"/>
      <c r="IYJ40" s="10"/>
      <c r="IYK40" s="11"/>
      <c r="IYL40" s="12"/>
      <c r="IYM40" s="12"/>
      <c r="IYN40" s="12"/>
      <c r="IYO40" s="13"/>
      <c r="IYP40" s="9"/>
      <c r="IYQ40" s="9"/>
      <c r="IYR40" s="9"/>
      <c r="IYS40" s="9"/>
      <c r="IYT40" s="10"/>
      <c r="IYU40" s="11"/>
      <c r="IYV40" s="12"/>
      <c r="IYW40" s="12"/>
      <c r="IYX40" s="12"/>
      <c r="IYY40" s="13"/>
      <c r="IYZ40" s="9"/>
      <c r="IZA40" s="9"/>
      <c r="IZB40" s="9"/>
      <c r="IZC40" s="9"/>
      <c r="IZD40" s="10"/>
      <c r="IZE40" s="11"/>
      <c r="IZF40" s="12"/>
      <c r="IZG40" s="12"/>
      <c r="IZH40" s="12"/>
      <c r="IZI40" s="13"/>
      <c r="IZJ40" s="9"/>
      <c r="IZK40" s="9"/>
      <c r="IZL40" s="9"/>
      <c r="IZM40" s="9"/>
      <c r="IZN40" s="10"/>
      <c r="IZO40" s="11"/>
      <c r="IZP40" s="12"/>
      <c r="IZQ40" s="12"/>
      <c r="IZR40" s="12"/>
      <c r="IZS40" s="13"/>
      <c r="IZT40" s="9"/>
      <c r="IZU40" s="9"/>
      <c r="IZV40" s="9"/>
      <c r="IZW40" s="9"/>
      <c r="IZX40" s="10"/>
      <c r="IZY40" s="11"/>
      <c r="IZZ40" s="12"/>
      <c r="JAA40" s="12"/>
      <c r="JAB40" s="12"/>
      <c r="JAC40" s="13"/>
      <c r="JAD40" s="9"/>
      <c r="JAE40" s="9"/>
      <c r="JAF40" s="9"/>
      <c r="JAG40" s="9"/>
      <c r="JAH40" s="10"/>
      <c r="JAI40" s="11"/>
      <c r="JAJ40" s="12"/>
      <c r="JAK40" s="12"/>
      <c r="JAL40" s="12"/>
      <c r="JAM40" s="13"/>
      <c r="JAN40" s="9"/>
      <c r="JAO40" s="9"/>
      <c r="JAP40" s="9"/>
      <c r="JAQ40" s="9"/>
      <c r="JAR40" s="10"/>
      <c r="JAS40" s="11"/>
      <c r="JAT40" s="12"/>
      <c r="JAU40" s="12"/>
      <c r="JAV40" s="12"/>
      <c r="JAW40" s="13"/>
      <c r="JAX40" s="9"/>
      <c r="JAY40" s="9"/>
      <c r="JAZ40" s="9"/>
      <c r="JBA40" s="9"/>
      <c r="JBB40" s="10"/>
      <c r="JBC40" s="11"/>
      <c r="JBD40" s="12"/>
      <c r="JBE40" s="12"/>
      <c r="JBF40" s="12"/>
      <c r="JBG40" s="13"/>
      <c r="JBH40" s="9"/>
      <c r="JBI40" s="9"/>
      <c r="JBJ40" s="9"/>
      <c r="JBK40" s="9"/>
      <c r="JBL40" s="10"/>
      <c r="JBM40" s="11"/>
      <c r="JBN40" s="12"/>
      <c r="JBO40" s="12"/>
      <c r="JBP40" s="12"/>
      <c r="JBQ40" s="13"/>
      <c r="JBR40" s="9"/>
      <c r="JBS40" s="9"/>
      <c r="JBT40" s="9"/>
      <c r="JBU40" s="9"/>
      <c r="JBV40" s="10"/>
      <c r="JBW40" s="11"/>
      <c r="JBX40" s="12"/>
      <c r="JBY40" s="12"/>
      <c r="JBZ40" s="12"/>
      <c r="JCA40" s="13"/>
      <c r="JCB40" s="9"/>
      <c r="JCC40" s="9"/>
      <c r="JCD40" s="9"/>
      <c r="JCE40" s="9"/>
      <c r="JCF40" s="10"/>
      <c r="JCG40" s="11"/>
      <c r="JCH40" s="12"/>
      <c r="JCI40" s="12"/>
      <c r="JCJ40" s="12"/>
      <c r="JCK40" s="13"/>
      <c r="JCL40" s="9"/>
      <c r="JCM40" s="9"/>
      <c r="JCN40" s="9"/>
      <c r="JCO40" s="9"/>
      <c r="JCP40" s="10"/>
      <c r="JCQ40" s="11"/>
      <c r="JCR40" s="12"/>
      <c r="JCS40" s="12"/>
      <c r="JCT40" s="12"/>
      <c r="JCU40" s="13"/>
      <c r="JCV40" s="9"/>
      <c r="JCW40" s="9"/>
      <c r="JCX40" s="9"/>
      <c r="JCY40" s="9"/>
      <c r="JCZ40" s="10"/>
      <c r="JDA40" s="11"/>
      <c r="JDB40" s="12"/>
      <c r="JDC40" s="12"/>
      <c r="JDD40" s="12"/>
      <c r="JDE40" s="13"/>
      <c r="JDF40" s="9"/>
      <c r="JDG40" s="9"/>
      <c r="JDH40" s="9"/>
      <c r="JDI40" s="9"/>
      <c r="JDJ40" s="10"/>
      <c r="JDK40" s="11"/>
      <c r="JDL40" s="12"/>
      <c r="JDM40" s="12"/>
      <c r="JDN40" s="12"/>
      <c r="JDO40" s="13"/>
      <c r="JDP40" s="9"/>
      <c r="JDQ40" s="9"/>
      <c r="JDR40" s="9"/>
      <c r="JDS40" s="9"/>
      <c r="JDT40" s="10"/>
      <c r="JDU40" s="11"/>
      <c r="JDV40" s="12"/>
      <c r="JDW40" s="12"/>
      <c r="JDX40" s="12"/>
      <c r="JDY40" s="13"/>
      <c r="JDZ40" s="9"/>
      <c r="JEA40" s="9"/>
      <c r="JEB40" s="9"/>
      <c r="JEC40" s="9"/>
      <c r="JED40" s="10"/>
      <c r="JEE40" s="11"/>
      <c r="JEF40" s="12"/>
      <c r="JEG40" s="12"/>
      <c r="JEH40" s="12"/>
      <c r="JEI40" s="13"/>
      <c r="JEJ40" s="9"/>
      <c r="JEK40" s="9"/>
      <c r="JEL40" s="9"/>
      <c r="JEM40" s="9"/>
      <c r="JEN40" s="10"/>
      <c r="JEO40" s="11"/>
      <c r="JEP40" s="12"/>
      <c r="JEQ40" s="12"/>
      <c r="JER40" s="12"/>
      <c r="JES40" s="13"/>
      <c r="JET40" s="9"/>
      <c r="JEU40" s="9"/>
      <c r="JEV40" s="9"/>
      <c r="JEW40" s="9"/>
      <c r="JEX40" s="10"/>
      <c r="JEY40" s="11"/>
      <c r="JEZ40" s="12"/>
      <c r="JFA40" s="12"/>
      <c r="JFB40" s="12"/>
      <c r="JFC40" s="13"/>
      <c r="JFD40" s="9"/>
      <c r="JFE40" s="9"/>
      <c r="JFF40" s="9"/>
      <c r="JFG40" s="9"/>
      <c r="JFH40" s="10"/>
      <c r="JFI40" s="11"/>
      <c r="JFJ40" s="12"/>
      <c r="JFK40" s="12"/>
      <c r="JFL40" s="12"/>
      <c r="JFM40" s="13"/>
      <c r="JFN40" s="9"/>
      <c r="JFO40" s="9"/>
      <c r="JFP40" s="9"/>
      <c r="JFQ40" s="9"/>
      <c r="JFR40" s="10"/>
      <c r="JFS40" s="11"/>
      <c r="JFT40" s="12"/>
      <c r="JFU40" s="12"/>
      <c r="JFV40" s="12"/>
      <c r="JFW40" s="13"/>
      <c r="JFX40" s="9"/>
      <c r="JFY40" s="9"/>
      <c r="JFZ40" s="9"/>
      <c r="JGA40" s="9"/>
      <c r="JGB40" s="10"/>
      <c r="JGC40" s="11"/>
      <c r="JGD40" s="12"/>
      <c r="JGE40" s="12"/>
      <c r="JGF40" s="12"/>
      <c r="JGG40" s="13"/>
      <c r="JGH40" s="9"/>
      <c r="JGI40" s="9"/>
      <c r="JGJ40" s="9"/>
      <c r="JGK40" s="9"/>
      <c r="JGL40" s="10"/>
      <c r="JGM40" s="11"/>
      <c r="JGN40" s="12"/>
      <c r="JGO40" s="12"/>
      <c r="JGP40" s="12"/>
      <c r="JGQ40" s="13"/>
      <c r="JGR40" s="9"/>
      <c r="JGS40" s="9"/>
      <c r="JGT40" s="9"/>
      <c r="JGU40" s="9"/>
      <c r="JGV40" s="10"/>
      <c r="JGW40" s="11"/>
      <c r="JGX40" s="12"/>
      <c r="JGY40" s="12"/>
      <c r="JGZ40" s="12"/>
      <c r="JHA40" s="13"/>
      <c r="JHB40" s="9"/>
      <c r="JHC40" s="9"/>
      <c r="JHD40" s="9"/>
      <c r="JHE40" s="9"/>
      <c r="JHF40" s="10"/>
      <c r="JHG40" s="11"/>
      <c r="JHH40" s="12"/>
      <c r="JHI40" s="12"/>
      <c r="JHJ40" s="12"/>
      <c r="JHK40" s="13"/>
      <c r="JHL40" s="9"/>
      <c r="JHM40" s="9"/>
      <c r="JHN40" s="9"/>
      <c r="JHO40" s="9"/>
      <c r="JHP40" s="10"/>
      <c r="JHQ40" s="11"/>
      <c r="JHR40" s="12"/>
      <c r="JHS40" s="12"/>
      <c r="JHT40" s="12"/>
      <c r="JHU40" s="13"/>
      <c r="JHV40" s="9"/>
      <c r="JHW40" s="9"/>
      <c r="JHX40" s="9"/>
      <c r="JHY40" s="9"/>
      <c r="JHZ40" s="10"/>
      <c r="JIA40" s="11"/>
      <c r="JIB40" s="12"/>
      <c r="JIC40" s="12"/>
      <c r="JID40" s="12"/>
      <c r="JIE40" s="13"/>
      <c r="JIF40" s="9"/>
      <c r="JIG40" s="9"/>
      <c r="JIH40" s="9"/>
      <c r="JII40" s="9"/>
      <c r="JIJ40" s="10"/>
      <c r="JIK40" s="11"/>
      <c r="JIL40" s="12"/>
      <c r="JIM40" s="12"/>
      <c r="JIN40" s="12"/>
      <c r="JIO40" s="13"/>
      <c r="JIP40" s="9"/>
      <c r="JIQ40" s="9"/>
      <c r="JIR40" s="9"/>
      <c r="JIS40" s="9"/>
      <c r="JIT40" s="10"/>
      <c r="JIU40" s="11"/>
      <c r="JIV40" s="12"/>
      <c r="JIW40" s="12"/>
      <c r="JIX40" s="12"/>
      <c r="JIY40" s="13"/>
      <c r="JIZ40" s="9"/>
      <c r="JJA40" s="9"/>
      <c r="JJB40" s="9"/>
      <c r="JJC40" s="9"/>
      <c r="JJD40" s="10"/>
      <c r="JJE40" s="11"/>
      <c r="JJF40" s="12"/>
      <c r="JJG40" s="12"/>
      <c r="JJH40" s="12"/>
      <c r="JJI40" s="13"/>
      <c r="JJJ40" s="9"/>
      <c r="JJK40" s="9"/>
      <c r="JJL40" s="9"/>
      <c r="JJM40" s="9"/>
      <c r="JJN40" s="10"/>
      <c r="JJO40" s="11"/>
      <c r="JJP40" s="12"/>
      <c r="JJQ40" s="12"/>
      <c r="JJR40" s="12"/>
      <c r="JJS40" s="13"/>
      <c r="JJT40" s="9"/>
      <c r="JJU40" s="9"/>
      <c r="JJV40" s="9"/>
      <c r="JJW40" s="9"/>
      <c r="JJX40" s="10"/>
      <c r="JJY40" s="11"/>
      <c r="JJZ40" s="12"/>
      <c r="JKA40" s="12"/>
      <c r="JKB40" s="12"/>
      <c r="JKC40" s="13"/>
      <c r="JKD40" s="9"/>
      <c r="JKE40" s="9"/>
      <c r="JKF40" s="9"/>
      <c r="JKG40" s="9"/>
      <c r="JKH40" s="10"/>
      <c r="JKI40" s="11"/>
      <c r="JKJ40" s="12"/>
      <c r="JKK40" s="12"/>
      <c r="JKL40" s="12"/>
      <c r="JKM40" s="13"/>
      <c r="JKN40" s="9"/>
      <c r="JKO40" s="9"/>
      <c r="JKP40" s="9"/>
      <c r="JKQ40" s="9"/>
      <c r="JKR40" s="10"/>
      <c r="JKS40" s="11"/>
      <c r="JKT40" s="12"/>
      <c r="JKU40" s="12"/>
      <c r="JKV40" s="12"/>
      <c r="JKW40" s="13"/>
      <c r="JKX40" s="9"/>
      <c r="JKY40" s="9"/>
      <c r="JKZ40" s="9"/>
      <c r="JLA40" s="9"/>
      <c r="JLB40" s="10"/>
      <c r="JLC40" s="11"/>
      <c r="JLD40" s="12"/>
      <c r="JLE40" s="12"/>
      <c r="JLF40" s="12"/>
      <c r="JLG40" s="13"/>
      <c r="JLH40" s="9"/>
      <c r="JLI40" s="9"/>
      <c r="JLJ40" s="9"/>
      <c r="JLK40" s="9"/>
      <c r="JLL40" s="10"/>
      <c r="JLM40" s="11"/>
      <c r="JLN40" s="12"/>
      <c r="JLO40" s="12"/>
      <c r="JLP40" s="12"/>
      <c r="JLQ40" s="13"/>
      <c r="JLR40" s="9"/>
      <c r="JLS40" s="9"/>
      <c r="JLT40" s="9"/>
      <c r="JLU40" s="9"/>
      <c r="JLV40" s="10"/>
      <c r="JLW40" s="11"/>
      <c r="JLX40" s="12"/>
      <c r="JLY40" s="12"/>
      <c r="JLZ40" s="12"/>
      <c r="JMA40" s="13"/>
      <c r="JMB40" s="9"/>
      <c r="JMC40" s="9"/>
      <c r="JMD40" s="9"/>
      <c r="JME40" s="9"/>
      <c r="JMF40" s="10"/>
      <c r="JMG40" s="11"/>
      <c r="JMH40" s="12"/>
      <c r="JMI40" s="12"/>
      <c r="JMJ40" s="12"/>
      <c r="JMK40" s="13"/>
      <c r="JML40" s="9"/>
      <c r="JMM40" s="9"/>
      <c r="JMN40" s="9"/>
      <c r="JMO40" s="9"/>
      <c r="JMP40" s="10"/>
      <c r="JMQ40" s="11"/>
      <c r="JMR40" s="12"/>
      <c r="JMS40" s="12"/>
      <c r="JMT40" s="12"/>
      <c r="JMU40" s="13"/>
      <c r="JMV40" s="9"/>
      <c r="JMW40" s="9"/>
      <c r="JMX40" s="9"/>
      <c r="JMY40" s="9"/>
      <c r="JMZ40" s="10"/>
      <c r="JNA40" s="11"/>
      <c r="JNB40" s="12"/>
      <c r="JNC40" s="12"/>
      <c r="JND40" s="12"/>
      <c r="JNE40" s="13"/>
      <c r="JNF40" s="9"/>
      <c r="JNG40" s="9"/>
      <c r="JNH40" s="9"/>
      <c r="JNI40" s="9"/>
      <c r="JNJ40" s="10"/>
      <c r="JNK40" s="11"/>
      <c r="JNL40" s="12"/>
      <c r="JNM40" s="12"/>
      <c r="JNN40" s="12"/>
      <c r="JNO40" s="13"/>
      <c r="JNP40" s="9"/>
      <c r="JNQ40" s="9"/>
      <c r="JNR40" s="9"/>
      <c r="JNS40" s="9"/>
      <c r="JNT40" s="10"/>
      <c r="JNU40" s="11"/>
      <c r="JNV40" s="12"/>
      <c r="JNW40" s="12"/>
      <c r="JNX40" s="12"/>
      <c r="JNY40" s="13"/>
      <c r="JNZ40" s="9"/>
      <c r="JOA40" s="9"/>
      <c r="JOB40" s="9"/>
      <c r="JOC40" s="9"/>
      <c r="JOD40" s="10"/>
      <c r="JOE40" s="11"/>
      <c r="JOF40" s="12"/>
      <c r="JOG40" s="12"/>
      <c r="JOH40" s="12"/>
      <c r="JOI40" s="13"/>
      <c r="JOJ40" s="9"/>
      <c r="JOK40" s="9"/>
      <c r="JOL40" s="9"/>
      <c r="JOM40" s="9"/>
      <c r="JON40" s="10"/>
      <c r="JOO40" s="11"/>
      <c r="JOP40" s="12"/>
      <c r="JOQ40" s="12"/>
      <c r="JOR40" s="12"/>
      <c r="JOS40" s="13"/>
      <c r="JOT40" s="9"/>
      <c r="JOU40" s="9"/>
      <c r="JOV40" s="9"/>
      <c r="JOW40" s="9"/>
      <c r="JOX40" s="10"/>
      <c r="JOY40" s="11"/>
      <c r="JOZ40" s="12"/>
      <c r="JPA40" s="12"/>
      <c r="JPB40" s="12"/>
      <c r="JPC40" s="13"/>
      <c r="JPD40" s="9"/>
      <c r="JPE40" s="9"/>
      <c r="JPF40" s="9"/>
      <c r="JPG40" s="9"/>
      <c r="JPH40" s="10"/>
      <c r="JPI40" s="11"/>
      <c r="JPJ40" s="12"/>
      <c r="JPK40" s="12"/>
      <c r="JPL40" s="12"/>
      <c r="JPM40" s="13"/>
      <c r="JPN40" s="9"/>
      <c r="JPO40" s="9"/>
      <c r="JPP40" s="9"/>
      <c r="JPQ40" s="9"/>
      <c r="JPR40" s="10"/>
      <c r="JPS40" s="11"/>
      <c r="JPT40" s="12"/>
      <c r="JPU40" s="12"/>
      <c r="JPV40" s="12"/>
      <c r="JPW40" s="13"/>
      <c r="JPX40" s="9"/>
      <c r="JPY40" s="9"/>
      <c r="JPZ40" s="9"/>
      <c r="JQA40" s="9"/>
      <c r="JQB40" s="10"/>
      <c r="JQC40" s="11"/>
      <c r="JQD40" s="12"/>
      <c r="JQE40" s="12"/>
      <c r="JQF40" s="12"/>
      <c r="JQG40" s="13"/>
      <c r="JQH40" s="9"/>
      <c r="JQI40" s="9"/>
      <c r="JQJ40" s="9"/>
      <c r="JQK40" s="9"/>
      <c r="JQL40" s="10"/>
      <c r="JQM40" s="11"/>
      <c r="JQN40" s="12"/>
      <c r="JQO40" s="12"/>
      <c r="JQP40" s="12"/>
      <c r="JQQ40" s="13"/>
      <c r="JQR40" s="9"/>
      <c r="JQS40" s="9"/>
      <c r="JQT40" s="9"/>
      <c r="JQU40" s="9"/>
      <c r="JQV40" s="10"/>
      <c r="JQW40" s="11"/>
      <c r="JQX40" s="12"/>
      <c r="JQY40" s="12"/>
      <c r="JQZ40" s="12"/>
      <c r="JRA40" s="13"/>
      <c r="JRB40" s="9"/>
      <c r="JRC40" s="9"/>
      <c r="JRD40" s="9"/>
      <c r="JRE40" s="9"/>
      <c r="JRF40" s="10"/>
      <c r="JRG40" s="11"/>
      <c r="JRH40" s="12"/>
      <c r="JRI40" s="12"/>
      <c r="JRJ40" s="12"/>
      <c r="JRK40" s="13"/>
      <c r="JRL40" s="9"/>
      <c r="JRM40" s="9"/>
      <c r="JRN40" s="9"/>
      <c r="JRO40" s="9"/>
      <c r="JRP40" s="10"/>
      <c r="JRQ40" s="11"/>
      <c r="JRR40" s="12"/>
      <c r="JRS40" s="12"/>
      <c r="JRT40" s="12"/>
      <c r="JRU40" s="13"/>
      <c r="JRV40" s="9"/>
      <c r="JRW40" s="9"/>
      <c r="JRX40" s="9"/>
      <c r="JRY40" s="9"/>
      <c r="JRZ40" s="10"/>
      <c r="JSA40" s="11"/>
      <c r="JSB40" s="12"/>
      <c r="JSC40" s="12"/>
      <c r="JSD40" s="12"/>
      <c r="JSE40" s="13"/>
      <c r="JSF40" s="9"/>
      <c r="JSG40" s="9"/>
      <c r="JSH40" s="9"/>
      <c r="JSI40" s="9"/>
      <c r="JSJ40" s="10"/>
      <c r="JSK40" s="11"/>
      <c r="JSL40" s="12"/>
      <c r="JSM40" s="12"/>
      <c r="JSN40" s="12"/>
      <c r="JSO40" s="13"/>
      <c r="JSP40" s="9"/>
      <c r="JSQ40" s="9"/>
      <c r="JSR40" s="9"/>
      <c r="JSS40" s="9"/>
      <c r="JST40" s="10"/>
      <c r="JSU40" s="11"/>
      <c r="JSV40" s="12"/>
      <c r="JSW40" s="12"/>
      <c r="JSX40" s="12"/>
      <c r="JSY40" s="13"/>
      <c r="JSZ40" s="9"/>
      <c r="JTA40" s="9"/>
      <c r="JTB40" s="9"/>
      <c r="JTC40" s="9"/>
      <c r="JTD40" s="10"/>
      <c r="JTE40" s="11"/>
      <c r="JTF40" s="12"/>
      <c r="JTG40" s="12"/>
      <c r="JTH40" s="12"/>
      <c r="JTI40" s="13"/>
      <c r="JTJ40" s="9"/>
      <c r="JTK40" s="9"/>
      <c r="JTL40" s="9"/>
      <c r="JTM40" s="9"/>
      <c r="JTN40" s="10"/>
      <c r="JTO40" s="11"/>
      <c r="JTP40" s="12"/>
      <c r="JTQ40" s="12"/>
      <c r="JTR40" s="12"/>
      <c r="JTS40" s="13"/>
      <c r="JTT40" s="9"/>
      <c r="JTU40" s="9"/>
      <c r="JTV40" s="9"/>
      <c r="JTW40" s="9"/>
      <c r="JTX40" s="10"/>
      <c r="JTY40" s="11"/>
      <c r="JTZ40" s="12"/>
      <c r="JUA40" s="12"/>
      <c r="JUB40" s="12"/>
      <c r="JUC40" s="13"/>
      <c r="JUD40" s="9"/>
      <c r="JUE40" s="9"/>
      <c r="JUF40" s="9"/>
      <c r="JUG40" s="9"/>
      <c r="JUH40" s="10"/>
      <c r="JUI40" s="11"/>
      <c r="JUJ40" s="12"/>
      <c r="JUK40" s="12"/>
      <c r="JUL40" s="12"/>
      <c r="JUM40" s="13"/>
      <c r="JUN40" s="9"/>
      <c r="JUO40" s="9"/>
      <c r="JUP40" s="9"/>
      <c r="JUQ40" s="9"/>
      <c r="JUR40" s="10"/>
      <c r="JUS40" s="11"/>
      <c r="JUT40" s="12"/>
      <c r="JUU40" s="12"/>
      <c r="JUV40" s="12"/>
      <c r="JUW40" s="13"/>
      <c r="JUX40" s="9"/>
      <c r="JUY40" s="9"/>
      <c r="JUZ40" s="9"/>
      <c r="JVA40" s="9"/>
      <c r="JVB40" s="10"/>
      <c r="JVC40" s="11"/>
      <c r="JVD40" s="12"/>
      <c r="JVE40" s="12"/>
      <c r="JVF40" s="12"/>
      <c r="JVG40" s="13"/>
      <c r="JVH40" s="9"/>
      <c r="JVI40" s="9"/>
      <c r="JVJ40" s="9"/>
      <c r="JVK40" s="9"/>
      <c r="JVL40" s="10"/>
      <c r="JVM40" s="11"/>
      <c r="JVN40" s="12"/>
      <c r="JVO40" s="12"/>
      <c r="JVP40" s="12"/>
      <c r="JVQ40" s="13"/>
      <c r="JVR40" s="9"/>
      <c r="JVS40" s="9"/>
      <c r="JVT40" s="9"/>
      <c r="JVU40" s="9"/>
      <c r="JVV40" s="10"/>
      <c r="JVW40" s="11"/>
      <c r="JVX40" s="12"/>
      <c r="JVY40" s="12"/>
      <c r="JVZ40" s="12"/>
      <c r="JWA40" s="13"/>
      <c r="JWB40" s="9"/>
      <c r="JWC40" s="9"/>
      <c r="JWD40" s="9"/>
      <c r="JWE40" s="9"/>
      <c r="JWF40" s="10"/>
      <c r="JWG40" s="11"/>
      <c r="JWH40" s="12"/>
      <c r="JWI40" s="12"/>
      <c r="JWJ40" s="12"/>
      <c r="JWK40" s="13"/>
      <c r="JWL40" s="9"/>
      <c r="JWM40" s="9"/>
      <c r="JWN40" s="9"/>
      <c r="JWO40" s="9"/>
      <c r="JWP40" s="10"/>
      <c r="JWQ40" s="11"/>
      <c r="JWR40" s="12"/>
      <c r="JWS40" s="12"/>
      <c r="JWT40" s="12"/>
      <c r="JWU40" s="13"/>
      <c r="JWV40" s="9"/>
      <c r="JWW40" s="9"/>
      <c r="JWX40" s="9"/>
      <c r="JWY40" s="9"/>
      <c r="JWZ40" s="10"/>
      <c r="JXA40" s="11"/>
      <c r="JXB40" s="12"/>
      <c r="JXC40" s="12"/>
      <c r="JXD40" s="12"/>
      <c r="JXE40" s="13"/>
      <c r="JXF40" s="9"/>
      <c r="JXG40" s="9"/>
      <c r="JXH40" s="9"/>
      <c r="JXI40" s="9"/>
      <c r="JXJ40" s="10"/>
      <c r="JXK40" s="11"/>
      <c r="JXL40" s="12"/>
      <c r="JXM40" s="12"/>
      <c r="JXN40" s="12"/>
      <c r="JXO40" s="13"/>
      <c r="JXP40" s="9"/>
      <c r="JXQ40" s="9"/>
      <c r="JXR40" s="9"/>
      <c r="JXS40" s="9"/>
      <c r="JXT40" s="10"/>
      <c r="JXU40" s="11"/>
      <c r="JXV40" s="12"/>
      <c r="JXW40" s="12"/>
      <c r="JXX40" s="12"/>
      <c r="JXY40" s="13"/>
      <c r="JXZ40" s="9"/>
      <c r="JYA40" s="9"/>
      <c r="JYB40" s="9"/>
      <c r="JYC40" s="9"/>
      <c r="JYD40" s="10"/>
      <c r="JYE40" s="11"/>
      <c r="JYF40" s="12"/>
      <c r="JYG40" s="12"/>
      <c r="JYH40" s="12"/>
      <c r="JYI40" s="13"/>
      <c r="JYJ40" s="9"/>
      <c r="JYK40" s="9"/>
      <c r="JYL40" s="9"/>
      <c r="JYM40" s="9"/>
      <c r="JYN40" s="10"/>
      <c r="JYO40" s="11"/>
      <c r="JYP40" s="12"/>
      <c r="JYQ40" s="12"/>
      <c r="JYR40" s="12"/>
      <c r="JYS40" s="13"/>
      <c r="JYT40" s="9"/>
      <c r="JYU40" s="9"/>
      <c r="JYV40" s="9"/>
      <c r="JYW40" s="9"/>
      <c r="JYX40" s="10"/>
      <c r="JYY40" s="11"/>
      <c r="JYZ40" s="12"/>
      <c r="JZA40" s="12"/>
      <c r="JZB40" s="12"/>
      <c r="JZC40" s="13"/>
      <c r="JZD40" s="9"/>
      <c r="JZE40" s="9"/>
      <c r="JZF40" s="9"/>
      <c r="JZG40" s="9"/>
      <c r="JZH40" s="10"/>
      <c r="JZI40" s="11"/>
      <c r="JZJ40" s="12"/>
      <c r="JZK40" s="12"/>
      <c r="JZL40" s="12"/>
      <c r="JZM40" s="13"/>
      <c r="JZN40" s="9"/>
      <c r="JZO40" s="9"/>
      <c r="JZP40" s="9"/>
      <c r="JZQ40" s="9"/>
      <c r="JZR40" s="10"/>
      <c r="JZS40" s="11"/>
      <c r="JZT40" s="12"/>
      <c r="JZU40" s="12"/>
      <c r="JZV40" s="12"/>
      <c r="JZW40" s="13"/>
      <c r="JZX40" s="9"/>
      <c r="JZY40" s="9"/>
      <c r="JZZ40" s="9"/>
      <c r="KAA40" s="9"/>
      <c r="KAB40" s="10"/>
      <c r="KAC40" s="11"/>
      <c r="KAD40" s="12"/>
      <c r="KAE40" s="12"/>
      <c r="KAF40" s="12"/>
      <c r="KAG40" s="13"/>
      <c r="KAH40" s="9"/>
      <c r="KAI40" s="9"/>
      <c r="KAJ40" s="9"/>
      <c r="KAK40" s="9"/>
      <c r="KAL40" s="10"/>
      <c r="KAM40" s="11"/>
      <c r="KAN40" s="12"/>
      <c r="KAO40" s="12"/>
      <c r="KAP40" s="12"/>
      <c r="KAQ40" s="13"/>
      <c r="KAR40" s="9"/>
      <c r="KAS40" s="9"/>
      <c r="KAT40" s="9"/>
      <c r="KAU40" s="9"/>
      <c r="KAV40" s="10"/>
      <c r="KAW40" s="11"/>
      <c r="KAX40" s="12"/>
      <c r="KAY40" s="12"/>
      <c r="KAZ40" s="12"/>
      <c r="KBA40" s="13"/>
      <c r="KBB40" s="9"/>
      <c r="KBC40" s="9"/>
      <c r="KBD40" s="9"/>
      <c r="KBE40" s="9"/>
      <c r="KBF40" s="10"/>
      <c r="KBG40" s="11"/>
      <c r="KBH40" s="12"/>
      <c r="KBI40" s="12"/>
      <c r="KBJ40" s="12"/>
      <c r="KBK40" s="13"/>
      <c r="KBL40" s="9"/>
      <c r="KBM40" s="9"/>
      <c r="KBN40" s="9"/>
      <c r="KBO40" s="9"/>
      <c r="KBP40" s="10"/>
      <c r="KBQ40" s="11"/>
      <c r="KBR40" s="12"/>
      <c r="KBS40" s="12"/>
      <c r="KBT40" s="12"/>
      <c r="KBU40" s="13"/>
      <c r="KBV40" s="9"/>
      <c r="KBW40" s="9"/>
      <c r="KBX40" s="9"/>
      <c r="KBY40" s="9"/>
      <c r="KBZ40" s="10"/>
      <c r="KCA40" s="11"/>
      <c r="KCB40" s="12"/>
      <c r="KCC40" s="12"/>
      <c r="KCD40" s="12"/>
      <c r="KCE40" s="13"/>
      <c r="KCF40" s="9"/>
      <c r="KCG40" s="9"/>
      <c r="KCH40" s="9"/>
      <c r="KCI40" s="9"/>
      <c r="KCJ40" s="10"/>
      <c r="KCK40" s="11"/>
      <c r="KCL40" s="12"/>
      <c r="KCM40" s="12"/>
      <c r="KCN40" s="12"/>
      <c r="KCO40" s="13"/>
      <c r="KCP40" s="9"/>
      <c r="KCQ40" s="9"/>
      <c r="KCR40" s="9"/>
      <c r="KCS40" s="9"/>
      <c r="KCT40" s="10"/>
      <c r="KCU40" s="11"/>
      <c r="KCV40" s="12"/>
      <c r="KCW40" s="12"/>
      <c r="KCX40" s="12"/>
      <c r="KCY40" s="13"/>
      <c r="KCZ40" s="9"/>
      <c r="KDA40" s="9"/>
      <c r="KDB40" s="9"/>
      <c r="KDC40" s="9"/>
      <c r="KDD40" s="10"/>
      <c r="KDE40" s="11"/>
      <c r="KDF40" s="12"/>
      <c r="KDG40" s="12"/>
      <c r="KDH40" s="12"/>
      <c r="KDI40" s="13"/>
      <c r="KDJ40" s="9"/>
      <c r="KDK40" s="9"/>
      <c r="KDL40" s="9"/>
      <c r="KDM40" s="9"/>
      <c r="KDN40" s="10"/>
      <c r="KDO40" s="11"/>
      <c r="KDP40" s="12"/>
      <c r="KDQ40" s="12"/>
      <c r="KDR40" s="12"/>
      <c r="KDS40" s="13"/>
      <c r="KDT40" s="9"/>
      <c r="KDU40" s="9"/>
      <c r="KDV40" s="9"/>
      <c r="KDW40" s="9"/>
      <c r="KDX40" s="10"/>
      <c r="KDY40" s="11"/>
      <c r="KDZ40" s="12"/>
      <c r="KEA40" s="12"/>
      <c r="KEB40" s="12"/>
      <c r="KEC40" s="13"/>
      <c r="KED40" s="9"/>
      <c r="KEE40" s="9"/>
      <c r="KEF40" s="9"/>
      <c r="KEG40" s="9"/>
      <c r="KEH40" s="10"/>
      <c r="KEI40" s="11"/>
      <c r="KEJ40" s="12"/>
      <c r="KEK40" s="12"/>
      <c r="KEL40" s="12"/>
      <c r="KEM40" s="13"/>
      <c r="KEN40" s="9"/>
      <c r="KEO40" s="9"/>
      <c r="KEP40" s="9"/>
      <c r="KEQ40" s="9"/>
      <c r="KER40" s="10"/>
      <c r="KES40" s="11"/>
      <c r="KET40" s="12"/>
      <c r="KEU40" s="12"/>
      <c r="KEV40" s="12"/>
      <c r="KEW40" s="13"/>
      <c r="KEX40" s="9"/>
      <c r="KEY40" s="9"/>
      <c r="KEZ40" s="9"/>
      <c r="KFA40" s="9"/>
      <c r="KFB40" s="10"/>
      <c r="KFC40" s="11"/>
      <c r="KFD40" s="12"/>
      <c r="KFE40" s="12"/>
      <c r="KFF40" s="12"/>
      <c r="KFG40" s="13"/>
      <c r="KFH40" s="9"/>
      <c r="KFI40" s="9"/>
      <c r="KFJ40" s="9"/>
      <c r="KFK40" s="9"/>
      <c r="KFL40" s="10"/>
      <c r="KFM40" s="11"/>
      <c r="KFN40" s="12"/>
      <c r="KFO40" s="12"/>
      <c r="KFP40" s="12"/>
      <c r="KFQ40" s="13"/>
      <c r="KFR40" s="9"/>
      <c r="KFS40" s="9"/>
      <c r="KFT40" s="9"/>
      <c r="KFU40" s="9"/>
      <c r="KFV40" s="10"/>
      <c r="KFW40" s="11"/>
      <c r="KFX40" s="12"/>
      <c r="KFY40" s="12"/>
      <c r="KFZ40" s="12"/>
      <c r="KGA40" s="13"/>
      <c r="KGB40" s="9"/>
      <c r="KGC40" s="9"/>
      <c r="KGD40" s="9"/>
      <c r="KGE40" s="9"/>
      <c r="KGF40" s="10"/>
      <c r="KGG40" s="11"/>
      <c r="KGH40" s="12"/>
      <c r="KGI40" s="12"/>
      <c r="KGJ40" s="12"/>
      <c r="KGK40" s="13"/>
      <c r="KGL40" s="9"/>
      <c r="KGM40" s="9"/>
      <c r="KGN40" s="9"/>
      <c r="KGO40" s="9"/>
      <c r="KGP40" s="10"/>
      <c r="KGQ40" s="11"/>
      <c r="KGR40" s="12"/>
      <c r="KGS40" s="12"/>
      <c r="KGT40" s="12"/>
      <c r="KGU40" s="13"/>
      <c r="KGV40" s="9"/>
      <c r="KGW40" s="9"/>
      <c r="KGX40" s="9"/>
      <c r="KGY40" s="9"/>
      <c r="KGZ40" s="10"/>
      <c r="KHA40" s="11"/>
      <c r="KHB40" s="12"/>
      <c r="KHC40" s="12"/>
      <c r="KHD40" s="12"/>
      <c r="KHE40" s="13"/>
      <c r="KHF40" s="9"/>
      <c r="KHG40" s="9"/>
      <c r="KHH40" s="9"/>
      <c r="KHI40" s="9"/>
      <c r="KHJ40" s="10"/>
      <c r="KHK40" s="11"/>
      <c r="KHL40" s="12"/>
      <c r="KHM40" s="12"/>
      <c r="KHN40" s="12"/>
      <c r="KHO40" s="13"/>
      <c r="KHP40" s="9"/>
      <c r="KHQ40" s="9"/>
      <c r="KHR40" s="9"/>
      <c r="KHS40" s="9"/>
      <c r="KHT40" s="10"/>
      <c r="KHU40" s="11"/>
      <c r="KHV40" s="12"/>
      <c r="KHW40" s="12"/>
      <c r="KHX40" s="12"/>
      <c r="KHY40" s="13"/>
      <c r="KHZ40" s="9"/>
      <c r="KIA40" s="9"/>
      <c r="KIB40" s="9"/>
      <c r="KIC40" s="9"/>
      <c r="KID40" s="10"/>
      <c r="KIE40" s="11"/>
      <c r="KIF40" s="12"/>
      <c r="KIG40" s="12"/>
      <c r="KIH40" s="12"/>
      <c r="KII40" s="13"/>
      <c r="KIJ40" s="9"/>
      <c r="KIK40" s="9"/>
      <c r="KIL40" s="9"/>
      <c r="KIM40" s="9"/>
      <c r="KIN40" s="10"/>
      <c r="KIO40" s="11"/>
      <c r="KIP40" s="12"/>
      <c r="KIQ40" s="12"/>
      <c r="KIR40" s="12"/>
      <c r="KIS40" s="13"/>
      <c r="KIT40" s="9"/>
      <c r="KIU40" s="9"/>
      <c r="KIV40" s="9"/>
      <c r="KIW40" s="9"/>
      <c r="KIX40" s="10"/>
      <c r="KIY40" s="11"/>
      <c r="KIZ40" s="12"/>
      <c r="KJA40" s="12"/>
      <c r="KJB40" s="12"/>
      <c r="KJC40" s="13"/>
      <c r="KJD40" s="9"/>
      <c r="KJE40" s="9"/>
      <c r="KJF40" s="9"/>
      <c r="KJG40" s="9"/>
      <c r="KJH40" s="10"/>
      <c r="KJI40" s="11"/>
      <c r="KJJ40" s="12"/>
      <c r="KJK40" s="12"/>
      <c r="KJL40" s="12"/>
      <c r="KJM40" s="13"/>
      <c r="KJN40" s="9"/>
      <c r="KJO40" s="9"/>
      <c r="KJP40" s="9"/>
      <c r="KJQ40" s="9"/>
      <c r="KJR40" s="10"/>
      <c r="KJS40" s="11"/>
      <c r="KJT40" s="12"/>
      <c r="KJU40" s="12"/>
      <c r="KJV40" s="12"/>
      <c r="KJW40" s="13"/>
      <c r="KJX40" s="9"/>
      <c r="KJY40" s="9"/>
      <c r="KJZ40" s="9"/>
      <c r="KKA40" s="9"/>
      <c r="KKB40" s="10"/>
      <c r="KKC40" s="11"/>
      <c r="KKD40" s="12"/>
      <c r="KKE40" s="12"/>
      <c r="KKF40" s="12"/>
      <c r="KKG40" s="13"/>
      <c r="KKH40" s="9"/>
      <c r="KKI40" s="9"/>
      <c r="KKJ40" s="9"/>
      <c r="KKK40" s="9"/>
      <c r="KKL40" s="10"/>
      <c r="KKM40" s="11"/>
      <c r="KKN40" s="12"/>
      <c r="KKO40" s="12"/>
      <c r="KKP40" s="12"/>
      <c r="KKQ40" s="13"/>
      <c r="KKR40" s="9"/>
      <c r="KKS40" s="9"/>
      <c r="KKT40" s="9"/>
      <c r="KKU40" s="9"/>
      <c r="KKV40" s="10"/>
      <c r="KKW40" s="11"/>
      <c r="KKX40" s="12"/>
      <c r="KKY40" s="12"/>
      <c r="KKZ40" s="12"/>
      <c r="KLA40" s="13"/>
      <c r="KLB40" s="9"/>
      <c r="KLC40" s="9"/>
      <c r="KLD40" s="9"/>
      <c r="KLE40" s="9"/>
      <c r="KLF40" s="10"/>
      <c r="KLG40" s="11"/>
      <c r="KLH40" s="12"/>
      <c r="KLI40" s="12"/>
      <c r="KLJ40" s="12"/>
      <c r="KLK40" s="13"/>
      <c r="KLL40" s="9"/>
      <c r="KLM40" s="9"/>
      <c r="KLN40" s="9"/>
      <c r="KLO40" s="9"/>
      <c r="KLP40" s="10"/>
      <c r="KLQ40" s="11"/>
      <c r="KLR40" s="12"/>
      <c r="KLS40" s="12"/>
      <c r="KLT40" s="12"/>
      <c r="KLU40" s="13"/>
      <c r="KLV40" s="9"/>
      <c r="KLW40" s="9"/>
      <c r="KLX40" s="9"/>
      <c r="KLY40" s="9"/>
      <c r="KLZ40" s="10"/>
      <c r="KMA40" s="11"/>
      <c r="KMB40" s="12"/>
      <c r="KMC40" s="12"/>
      <c r="KMD40" s="12"/>
      <c r="KME40" s="13"/>
      <c r="KMF40" s="9"/>
      <c r="KMG40" s="9"/>
      <c r="KMH40" s="9"/>
      <c r="KMI40" s="9"/>
      <c r="KMJ40" s="10"/>
      <c r="KMK40" s="11"/>
      <c r="KML40" s="12"/>
      <c r="KMM40" s="12"/>
      <c r="KMN40" s="12"/>
      <c r="KMO40" s="13"/>
      <c r="KMP40" s="9"/>
      <c r="KMQ40" s="9"/>
      <c r="KMR40" s="9"/>
      <c r="KMS40" s="9"/>
      <c r="KMT40" s="10"/>
      <c r="KMU40" s="11"/>
      <c r="KMV40" s="12"/>
      <c r="KMW40" s="12"/>
      <c r="KMX40" s="12"/>
      <c r="KMY40" s="13"/>
      <c r="KMZ40" s="9"/>
      <c r="KNA40" s="9"/>
      <c r="KNB40" s="9"/>
      <c r="KNC40" s="9"/>
      <c r="KND40" s="10"/>
      <c r="KNE40" s="11"/>
      <c r="KNF40" s="12"/>
      <c r="KNG40" s="12"/>
      <c r="KNH40" s="12"/>
      <c r="KNI40" s="13"/>
      <c r="KNJ40" s="9"/>
      <c r="KNK40" s="9"/>
      <c r="KNL40" s="9"/>
      <c r="KNM40" s="9"/>
      <c r="KNN40" s="10"/>
      <c r="KNO40" s="11"/>
      <c r="KNP40" s="12"/>
      <c r="KNQ40" s="12"/>
      <c r="KNR40" s="12"/>
      <c r="KNS40" s="13"/>
      <c r="KNT40" s="9"/>
      <c r="KNU40" s="9"/>
      <c r="KNV40" s="9"/>
      <c r="KNW40" s="9"/>
      <c r="KNX40" s="10"/>
      <c r="KNY40" s="11"/>
      <c r="KNZ40" s="12"/>
      <c r="KOA40" s="12"/>
      <c r="KOB40" s="12"/>
      <c r="KOC40" s="13"/>
      <c r="KOD40" s="9"/>
      <c r="KOE40" s="9"/>
      <c r="KOF40" s="9"/>
      <c r="KOG40" s="9"/>
      <c r="KOH40" s="10"/>
      <c r="KOI40" s="11"/>
      <c r="KOJ40" s="12"/>
      <c r="KOK40" s="12"/>
      <c r="KOL40" s="12"/>
      <c r="KOM40" s="13"/>
      <c r="KON40" s="9"/>
      <c r="KOO40" s="9"/>
      <c r="KOP40" s="9"/>
      <c r="KOQ40" s="9"/>
      <c r="KOR40" s="10"/>
      <c r="KOS40" s="11"/>
      <c r="KOT40" s="12"/>
      <c r="KOU40" s="12"/>
      <c r="KOV40" s="12"/>
      <c r="KOW40" s="13"/>
      <c r="KOX40" s="9"/>
      <c r="KOY40" s="9"/>
      <c r="KOZ40" s="9"/>
      <c r="KPA40" s="9"/>
      <c r="KPB40" s="10"/>
      <c r="KPC40" s="11"/>
      <c r="KPD40" s="12"/>
      <c r="KPE40" s="12"/>
      <c r="KPF40" s="12"/>
      <c r="KPG40" s="13"/>
      <c r="KPH40" s="9"/>
      <c r="KPI40" s="9"/>
      <c r="KPJ40" s="9"/>
      <c r="KPK40" s="9"/>
      <c r="KPL40" s="10"/>
      <c r="KPM40" s="11"/>
      <c r="KPN40" s="12"/>
      <c r="KPO40" s="12"/>
      <c r="KPP40" s="12"/>
      <c r="KPQ40" s="13"/>
      <c r="KPR40" s="9"/>
      <c r="KPS40" s="9"/>
      <c r="KPT40" s="9"/>
      <c r="KPU40" s="9"/>
      <c r="KPV40" s="10"/>
      <c r="KPW40" s="11"/>
      <c r="KPX40" s="12"/>
      <c r="KPY40" s="12"/>
      <c r="KPZ40" s="12"/>
      <c r="KQA40" s="13"/>
      <c r="KQB40" s="9"/>
      <c r="KQC40" s="9"/>
      <c r="KQD40" s="9"/>
      <c r="KQE40" s="9"/>
      <c r="KQF40" s="10"/>
      <c r="KQG40" s="11"/>
      <c r="KQH40" s="12"/>
      <c r="KQI40" s="12"/>
      <c r="KQJ40" s="12"/>
      <c r="KQK40" s="13"/>
      <c r="KQL40" s="9"/>
      <c r="KQM40" s="9"/>
      <c r="KQN40" s="9"/>
      <c r="KQO40" s="9"/>
      <c r="KQP40" s="10"/>
      <c r="KQQ40" s="11"/>
      <c r="KQR40" s="12"/>
      <c r="KQS40" s="12"/>
      <c r="KQT40" s="12"/>
      <c r="KQU40" s="13"/>
      <c r="KQV40" s="9"/>
      <c r="KQW40" s="9"/>
      <c r="KQX40" s="9"/>
      <c r="KQY40" s="9"/>
      <c r="KQZ40" s="10"/>
      <c r="KRA40" s="11"/>
      <c r="KRB40" s="12"/>
      <c r="KRC40" s="12"/>
      <c r="KRD40" s="12"/>
      <c r="KRE40" s="13"/>
      <c r="KRF40" s="9"/>
      <c r="KRG40" s="9"/>
      <c r="KRH40" s="9"/>
      <c r="KRI40" s="9"/>
      <c r="KRJ40" s="10"/>
      <c r="KRK40" s="11"/>
      <c r="KRL40" s="12"/>
      <c r="KRM40" s="12"/>
      <c r="KRN40" s="12"/>
      <c r="KRO40" s="13"/>
      <c r="KRP40" s="9"/>
      <c r="KRQ40" s="9"/>
      <c r="KRR40" s="9"/>
      <c r="KRS40" s="9"/>
      <c r="KRT40" s="10"/>
      <c r="KRU40" s="11"/>
      <c r="KRV40" s="12"/>
      <c r="KRW40" s="12"/>
      <c r="KRX40" s="12"/>
      <c r="KRY40" s="13"/>
      <c r="KRZ40" s="9"/>
      <c r="KSA40" s="9"/>
      <c r="KSB40" s="9"/>
      <c r="KSC40" s="9"/>
      <c r="KSD40" s="10"/>
      <c r="KSE40" s="11"/>
      <c r="KSF40" s="12"/>
      <c r="KSG40" s="12"/>
      <c r="KSH40" s="12"/>
      <c r="KSI40" s="13"/>
      <c r="KSJ40" s="9"/>
      <c r="KSK40" s="9"/>
      <c r="KSL40" s="9"/>
      <c r="KSM40" s="9"/>
      <c r="KSN40" s="10"/>
      <c r="KSO40" s="11"/>
      <c r="KSP40" s="12"/>
      <c r="KSQ40" s="12"/>
      <c r="KSR40" s="12"/>
      <c r="KSS40" s="13"/>
      <c r="KST40" s="9"/>
      <c r="KSU40" s="9"/>
      <c r="KSV40" s="9"/>
      <c r="KSW40" s="9"/>
      <c r="KSX40" s="10"/>
      <c r="KSY40" s="11"/>
      <c r="KSZ40" s="12"/>
      <c r="KTA40" s="12"/>
      <c r="KTB40" s="12"/>
      <c r="KTC40" s="13"/>
      <c r="KTD40" s="9"/>
      <c r="KTE40" s="9"/>
      <c r="KTF40" s="9"/>
      <c r="KTG40" s="9"/>
      <c r="KTH40" s="10"/>
      <c r="KTI40" s="11"/>
      <c r="KTJ40" s="12"/>
      <c r="KTK40" s="12"/>
      <c r="KTL40" s="12"/>
      <c r="KTM40" s="13"/>
      <c r="KTN40" s="9"/>
      <c r="KTO40" s="9"/>
      <c r="KTP40" s="9"/>
      <c r="KTQ40" s="9"/>
      <c r="KTR40" s="10"/>
      <c r="KTS40" s="11"/>
      <c r="KTT40" s="12"/>
      <c r="KTU40" s="12"/>
      <c r="KTV40" s="12"/>
      <c r="KTW40" s="13"/>
      <c r="KTX40" s="9"/>
      <c r="KTY40" s="9"/>
      <c r="KTZ40" s="9"/>
      <c r="KUA40" s="9"/>
      <c r="KUB40" s="10"/>
      <c r="KUC40" s="11"/>
      <c r="KUD40" s="12"/>
      <c r="KUE40" s="12"/>
      <c r="KUF40" s="12"/>
      <c r="KUG40" s="13"/>
      <c r="KUH40" s="9"/>
      <c r="KUI40" s="9"/>
      <c r="KUJ40" s="9"/>
      <c r="KUK40" s="9"/>
      <c r="KUL40" s="10"/>
      <c r="KUM40" s="11"/>
      <c r="KUN40" s="12"/>
      <c r="KUO40" s="12"/>
      <c r="KUP40" s="12"/>
      <c r="KUQ40" s="13"/>
      <c r="KUR40" s="9"/>
      <c r="KUS40" s="9"/>
      <c r="KUT40" s="9"/>
      <c r="KUU40" s="9"/>
      <c r="KUV40" s="10"/>
      <c r="KUW40" s="11"/>
      <c r="KUX40" s="12"/>
      <c r="KUY40" s="12"/>
      <c r="KUZ40" s="12"/>
      <c r="KVA40" s="13"/>
      <c r="KVB40" s="9"/>
      <c r="KVC40" s="9"/>
      <c r="KVD40" s="9"/>
      <c r="KVE40" s="9"/>
      <c r="KVF40" s="10"/>
      <c r="KVG40" s="11"/>
      <c r="KVH40" s="12"/>
      <c r="KVI40" s="12"/>
      <c r="KVJ40" s="12"/>
      <c r="KVK40" s="13"/>
      <c r="KVL40" s="9"/>
      <c r="KVM40" s="9"/>
      <c r="KVN40" s="9"/>
      <c r="KVO40" s="9"/>
      <c r="KVP40" s="10"/>
      <c r="KVQ40" s="11"/>
      <c r="KVR40" s="12"/>
      <c r="KVS40" s="12"/>
      <c r="KVT40" s="12"/>
      <c r="KVU40" s="13"/>
      <c r="KVV40" s="9"/>
      <c r="KVW40" s="9"/>
      <c r="KVX40" s="9"/>
      <c r="KVY40" s="9"/>
      <c r="KVZ40" s="10"/>
      <c r="KWA40" s="11"/>
      <c r="KWB40" s="12"/>
      <c r="KWC40" s="12"/>
      <c r="KWD40" s="12"/>
      <c r="KWE40" s="13"/>
      <c r="KWF40" s="9"/>
      <c r="KWG40" s="9"/>
      <c r="KWH40" s="9"/>
      <c r="KWI40" s="9"/>
      <c r="KWJ40" s="10"/>
      <c r="KWK40" s="11"/>
      <c r="KWL40" s="12"/>
      <c r="KWM40" s="12"/>
      <c r="KWN40" s="12"/>
      <c r="KWO40" s="13"/>
      <c r="KWP40" s="9"/>
      <c r="KWQ40" s="9"/>
      <c r="KWR40" s="9"/>
      <c r="KWS40" s="9"/>
      <c r="KWT40" s="10"/>
      <c r="KWU40" s="11"/>
      <c r="KWV40" s="12"/>
      <c r="KWW40" s="12"/>
      <c r="KWX40" s="12"/>
      <c r="KWY40" s="13"/>
      <c r="KWZ40" s="9"/>
      <c r="KXA40" s="9"/>
      <c r="KXB40" s="9"/>
      <c r="KXC40" s="9"/>
      <c r="KXD40" s="10"/>
      <c r="KXE40" s="11"/>
      <c r="KXF40" s="12"/>
      <c r="KXG40" s="12"/>
      <c r="KXH40" s="12"/>
      <c r="KXI40" s="13"/>
      <c r="KXJ40" s="9"/>
      <c r="KXK40" s="9"/>
      <c r="KXL40" s="9"/>
      <c r="KXM40" s="9"/>
      <c r="KXN40" s="10"/>
      <c r="KXO40" s="11"/>
      <c r="KXP40" s="12"/>
      <c r="KXQ40" s="12"/>
      <c r="KXR40" s="12"/>
      <c r="KXS40" s="13"/>
      <c r="KXT40" s="9"/>
      <c r="KXU40" s="9"/>
      <c r="KXV40" s="9"/>
      <c r="KXW40" s="9"/>
      <c r="KXX40" s="10"/>
      <c r="KXY40" s="11"/>
      <c r="KXZ40" s="12"/>
      <c r="KYA40" s="12"/>
      <c r="KYB40" s="12"/>
      <c r="KYC40" s="13"/>
      <c r="KYD40" s="9"/>
      <c r="KYE40" s="9"/>
      <c r="KYF40" s="9"/>
      <c r="KYG40" s="9"/>
      <c r="KYH40" s="10"/>
      <c r="KYI40" s="11"/>
      <c r="KYJ40" s="12"/>
      <c r="KYK40" s="12"/>
      <c r="KYL40" s="12"/>
      <c r="KYM40" s="13"/>
      <c r="KYN40" s="9"/>
      <c r="KYO40" s="9"/>
      <c r="KYP40" s="9"/>
      <c r="KYQ40" s="9"/>
      <c r="KYR40" s="10"/>
      <c r="KYS40" s="11"/>
      <c r="KYT40" s="12"/>
      <c r="KYU40" s="12"/>
      <c r="KYV40" s="12"/>
      <c r="KYW40" s="13"/>
      <c r="KYX40" s="9"/>
      <c r="KYY40" s="9"/>
      <c r="KYZ40" s="9"/>
      <c r="KZA40" s="9"/>
      <c r="KZB40" s="10"/>
      <c r="KZC40" s="11"/>
      <c r="KZD40" s="12"/>
      <c r="KZE40" s="12"/>
      <c r="KZF40" s="12"/>
      <c r="KZG40" s="13"/>
      <c r="KZH40" s="9"/>
      <c r="KZI40" s="9"/>
      <c r="KZJ40" s="9"/>
      <c r="KZK40" s="9"/>
      <c r="KZL40" s="10"/>
      <c r="KZM40" s="11"/>
      <c r="KZN40" s="12"/>
      <c r="KZO40" s="12"/>
      <c r="KZP40" s="12"/>
      <c r="KZQ40" s="13"/>
      <c r="KZR40" s="9"/>
      <c r="KZS40" s="9"/>
      <c r="KZT40" s="9"/>
      <c r="KZU40" s="9"/>
      <c r="KZV40" s="10"/>
      <c r="KZW40" s="11"/>
      <c r="KZX40" s="12"/>
      <c r="KZY40" s="12"/>
      <c r="KZZ40" s="12"/>
      <c r="LAA40" s="13"/>
      <c r="LAB40" s="9"/>
      <c r="LAC40" s="9"/>
      <c r="LAD40" s="9"/>
      <c r="LAE40" s="9"/>
      <c r="LAF40" s="10"/>
      <c r="LAG40" s="11"/>
      <c r="LAH40" s="12"/>
      <c r="LAI40" s="12"/>
      <c r="LAJ40" s="12"/>
      <c r="LAK40" s="13"/>
      <c r="LAL40" s="9"/>
      <c r="LAM40" s="9"/>
      <c r="LAN40" s="9"/>
      <c r="LAO40" s="9"/>
      <c r="LAP40" s="10"/>
      <c r="LAQ40" s="11"/>
      <c r="LAR40" s="12"/>
      <c r="LAS40" s="12"/>
      <c r="LAT40" s="12"/>
      <c r="LAU40" s="13"/>
      <c r="LAV40" s="9"/>
      <c r="LAW40" s="9"/>
      <c r="LAX40" s="9"/>
      <c r="LAY40" s="9"/>
      <c r="LAZ40" s="10"/>
      <c r="LBA40" s="11"/>
      <c r="LBB40" s="12"/>
      <c r="LBC40" s="12"/>
      <c r="LBD40" s="12"/>
      <c r="LBE40" s="13"/>
      <c r="LBF40" s="9"/>
      <c r="LBG40" s="9"/>
      <c r="LBH40" s="9"/>
      <c r="LBI40" s="9"/>
      <c r="LBJ40" s="10"/>
      <c r="LBK40" s="11"/>
      <c r="LBL40" s="12"/>
      <c r="LBM40" s="12"/>
      <c r="LBN40" s="12"/>
      <c r="LBO40" s="13"/>
      <c r="LBP40" s="9"/>
      <c r="LBQ40" s="9"/>
      <c r="LBR40" s="9"/>
      <c r="LBS40" s="9"/>
      <c r="LBT40" s="10"/>
      <c r="LBU40" s="11"/>
      <c r="LBV40" s="12"/>
      <c r="LBW40" s="12"/>
      <c r="LBX40" s="12"/>
      <c r="LBY40" s="13"/>
      <c r="LBZ40" s="9"/>
      <c r="LCA40" s="9"/>
      <c r="LCB40" s="9"/>
      <c r="LCC40" s="9"/>
      <c r="LCD40" s="10"/>
      <c r="LCE40" s="11"/>
      <c r="LCF40" s="12"/>
      <c r="LCG40" s="12"/>
      <c r="LCH40" s="12"/>
      <c r="LCI40" s="13"/>
      <c r="LCJ40" s="9"/>
      <c r="LCK40" s="9"/>
      <c r="LCL40" s="9"/>
      <c r="LCM40" s="9"/>
      <c r="LCN40" s="10"/>
      <c r="LCO40" s="11"/>
      <c r="LCP40" s="12"/>
      <c r="LCQ40" s="12"/>
      <c r="LCR40" s="12"/>
      <c r="LCS40" s="13"/>
      <c r="LCT40" s="9"/>
      <c r="LCU40" s="9"/>
      <c r="LCV40" s="9"/>
      <c r="LCW40" s="9"/>
      <c r="LCX40" s="10"/>
      <c r="LCY40" s="11"/>
      <c r="LCZ40" s="12"/>
      <c r="LDA40" s="12"/>
      <c r="LDB40" s="12"/>
      <c r="LDC40" s="13"/>
      <c r="LDD40" s="9"/>
      <c r="LDE40" s="9"/>
      <c r="LDF40" s="9"/>
      <c r="LDG40" s="9"/>
      <c r="LDH40" s="10"/>
      <c r="LDI40" s="11"/>
      <c r="LDJ40" s="12"/>
      <c r="LDK40" s="12"/>
      <c r="LDL40" s="12"/>
      <c r="LDM40" s="13"/>
      <c r="LDN40" s="9"/>
      <c r="LDO40" s="9"/>
      <c r="LDP40" s="9"/>
      <c r="LDQ40" s="9"/>
      <c r="LDR40" s="10"/>
      <c r="LDS40" s="11"/>
      <c r="LDT40" s="12"/>
      <c r="LDU40" s="12"/>
      <c r="LDV40" s="12"/>
      <c r="LDW40" s="13"/>
      <c r="LDX40" s="9"/>
      <c r="LDY40" s="9"/>
      <c r="LDZ40" s="9"/>
      <c r="LEA40" s="9"/>
      <c r="LEB40" s="10"/>
      <c r="LEC40" s="11"/>
      <c r="LED40" s="12"/>
      <c r="LEE40" s="12"/>
      <c r="LEF40" s="12"/>
      <c r="LEG40" s="13"/>
      <c r="LEH40" s="9"/>
      <c r="LEI40" s="9"/>
      <c r="LEJ40" s="9"/>
      <c r="LEK40" s="9"/>
      <c r="LEL40" s="10"/>
      <c r="LEM40" s="11"/>
      <c r="LEN40" s="12"/>
      <c r="LEO40" s="12"/>
      <c r="LEP40" s="12"/>
      <c r="LEQ40" s="13"/>
      <c r="LER40" s="9"/>
      <c r="LES40" s="9"/>
      <c r="LET40" s="9"/>
      <c r="LEU40" s="9"/>
      <c r="LEV40" s="10"/>
      <c r="LEW40" s="11"/>
      <c r="LEX40" s="12"/>
      <c r="LEY40" s="12"/>
      <c r="LEZ40" s="12"/>
      <c r="LFA40" s="13"/>
      <c r="LFB40" s="9"/>
      <c r="LFC40" s="9"/>
      <c r="LFD40" s="9"/>
      <c r="LFE40" s="9"/>
      <c r="LFF40" s="10"/>
      <c r="LFG40" s="11"/>
      <c r="LFH40" s="12"/>
      <c r="LFI40" s="12"/>
      <c r="LFJ40" s="12"/>
      <c r="LFK40" s="13"/>
      <c r="LFL40" s="9"/>
      <c r="LFM40" s="9"/>
      <c r="LFN40" s="9"/>
      <c r="LFO40" s="9"/>
      <c r="LFP40" s="10"/>
      <c r="LFQ40" s="11"/>
      <c r="LFR40" s="12"/>
      <c r="LFS40" s="12"/>
      <c r="LFT40" s="12"/>
      <c r="LFU40" s="13"/>
      <c r="LFV40" s="9"/>
      <c r="LFW40" s="9"/>
      <c r="LFX40" s="9"/>
      <c r="LFY40" s="9"/>
      <c r="LFZ40" s="10"/>
      <c r="LGA40" s="11"/>
      <c r="LGB40" s="12"/>
      <c r="LGC40" s="12"/>
      <c r="LGD40" s="12"/>
      <c r="LGE40" s="13"/>
      <c r="LGF40" s="9"/>
      <c r="LGG40" s="9"/>
      <c r="LGH40" s="9"/>
      <c r="LGI40" s="9"/>
      <c r="LGJ40" s="10"/>
      <c r="LGK40" s="11"/>
      <c r="LGL40" s="12"/>
      <c r="LGM40" s="12"/>
      <c r="LGN40" s="12"/>
      <c r="LGO40" s="13"/>
      <c r="LGP40" s="9"/>
      <c r="LGQ40" s="9"/>
      <c r="LGR40" s="9"/>
      <c r="LGS40" s="9"/>
      <c r="LGT40" s="10"/>
      <c r="LGU40" s="11"/>
      <c r="LGV40" s="12"/>
      <c r="LGW40" s="12"/>
      <c r="LGX40" s="12"/>
      <c r="LGY40" s="13"/>
      <c r="LGZ40" s="9"/>
      <c r="LHA40" s="9"/>
      <c r="LHB40" s="9"/>
      <c r="LHC40" s="9"/>
      <c r="LHD40" s="10"/>
      <c r="LHE40" s="11"/>
      <c r="LHF40" s="12"/>
      <c r="LHG40" s="12"/>
      <c r="LHH40" s="12"/>
      <c r="LHI40" s="13"/>
      <c r="LHJ40" s="9"/>
      <c r="LHK40" s="9"/>
      <c r="LHL40" s="9"/>
      <c r="LHM40" s="9"/>
      <c r="LHN40" s="10"/>
      <c r="LHO40" s="11"/>
      <c r="LHP40" s="12"/>
      <c r="LHQ40" s="12"/>
      <c r="LHR40" s="12"/>
      <c r="LHS40" s="13"/>
      <c r="LHT40" s="9"/>
      <c r="LHU40" s="9"/>
      <c r="LHV40" s="9"/>
      <c r="LHW40" s="9"/>
      <c r="LHX40" s="10"/>
      <c r="LHY40" s="11"/>
      <c r="LHZ40" s="12"/>
      <c r="LIA40" s="12"/>
      <c r="LIB40" s="12"/>
      <c r="LIC40" s="13"/>
      <c r="LID40" s="9"/>
      <c r="LIE40" s="9"/>
      <c r="LIF40" s="9"/>
      <c r="LIG40" s="9"/>
      <c r="LIH40" s="10"/>
      <c r="LII40" s="11"/>
      <c r="LIJ40" s="12"/>
      <c r="LIK40" s="12"/>
      <c r="LIL40" s="12"/>
      <c r="LIM40" s="13"/>
      <c r="LIN40" s="9"/>
      <c r="LIO40" s="9"/>
      <c r="LIP40" s="9"/>
      <c r="LIQ40" s="9"/>
      <c r="LIR40" s="10"/>
      <c r="LIS40" s="11"/>
      <c r="LIT40" s="12"/>
      <c r="LIU40" s="12"/>
      <c r="LIV40" s="12"/>
      <c r="LIW40" s="13"/>
      <c r="LIX40" s="9"/>
      <c r="LIY40" s="9"/>
      <c r="LIZ40" s="9"/>
      <c r="LJA40" s="9"/>
      <c r="LJB40" s="10"/>
      <c r="LJC40" s="11"/>
      <c r="LJD40" s="12"/>
      <c r="LJE40" s="12"/>
      <c r="LJF40" s="12"/>
      <c r="LJG40" s="13"/>
      <c r="LJH40" s="9"/>
      <c r="LJI40" s="9"/>
      <c r="LJJ40" s="9"/>
      <c r="LJK40" s="9"/>
      <c r="LJL40" s="10"/>
      <c r="LJM40" s="11"/>
      <c r="LJN40" s="12"/>
      <c r="LJO40" s="12"/>
      <c r="LJP40" s="12"/>
      <c r="LJQ40" s="13"/>
      <c r="LJR40" s="9"/>
      <c r="LJS40" s="9"/>
      <c r="LJT40" s="9"/>
      <c r="LJU40" s="9"/>
      <c r="LJV40" s="10"/>
      <c r="LJW40" s="11"/>
      <c r="LJX40" s="12"/>
      <c r="LJY40" s="12"/>
      <c r="LJZ40" s="12"/>
      <c r="LKA40" s="13"/>
      <c r="LKB40" s="9"/>
      <c r="LKC40" s="9"/>
      <c r="LKD40" s="9"/>
      <c r="LKE40" s="9"/>
      <c r="LKF40" s="10"/>
      <c r="LKG40" s="11"/>
      <c r="LKH40" s="12"/>
      <c r="LKI40" s="12"/>
      <c r="LKJ40" s="12"/>
      <c r="LKK40" s="13"/>
      <c r="LKL40" s="9"/>
      <c r="LKM40" s="9"/>
      <c r="LKN40" s="9"/>
      <c r="LKO40" s="9"/>
      <c r="LKP40" s="10"/>
      <c r="LKQ40" s="11"/>
      <c r="LKR40" s="12"/>
      <c r="LKS40" s="12"/>
      <c r="LKT40" s="12"/>
      <c r="LKU40" s="13"/>
      <c r="LKV40" s="9"/>
      <c r="LKW40" s="9"/>
      <c r="LKX40" s="9"/>
      <c r="LKY40" s="9"/>
      <c r="LKZ40" s="10"/>
      <c r="LLA40" s="11"/>
      <c r="LLB40" s="12"/>
      <c r="LLC40" s="12"/>
      <c r="LLD40" s="12"/>
      <c r="LLE40" s="13"/>
      <c r="LLF40" s="9"/>
      <c r="LLG40" s="9"/>
      <c r="LLH40" s="9"/>
      <c r="LLI40" s="9"/>
      <c r="LLJ40" s="10"/>
      <c r="LLK40" s="11"/>
      <c r="LLL40" s="12"/>
      <c r="LLM40" s="12"/>
      <c r="LLN40" s="12"/>
      <c r="LLO40" s="13"/>
      <c r="LLP40" s="9"/>
      <c r="LLQ40" s="9"/>
      <c r="LLR40" s="9"/>
      <c r="LLS40" s="9"/>
      <c r="LLT40" s="10"/>
      <c r="LLU40" s="11"/>
      <c r="LLV40" s="12"/>
      <c r="LLW40" s="12"/>
      <c r="LLX40" s="12"/>
      <c r="LLY40" s="13"/>
      <c r="LLZ40" s="9"/>
      <c r="LMA40" s="9"/>
      <c r="LMB40" s="9"/>
      <c r="LMC40" s="9"/>
      <c r="LMD40" s="10"/>
      <c r="LME40" s="11"/>
      <c r="LMF40" s="12"/>
      <c r="LMG40" s="12"/>
      <c r="LMH40" s="12"/>
      <c r="LMI40" s="13"/>
      <c r="LMJ40" s="9"/>
      <c r="LMK40" s="9"/>
      <c r="LML40" s="9"/>
      <c r="LMM40" s="9"/>
      <c r="LMN40" s="10"/>
      <c r="LMO40" s="11"/>
      <c r="LMP40" s="12"/>
      <c r="LMQ40" s="12"/>
      <c r="LMR40" s="12"/>
      <c r="LMS40" s="13"/>
      <c r="LMT40" s="9"/>
      <c r="LMU40" s="9"/>
      <c r="LMV40" s="9"/>
      <c r="LMW40" s="9"/>
      <c r="LMX40" s="10"/>
      <c r="LMY40" s="11"/>
      <c r="LMZ40" s="12"/>
      <c r="LNA40" s="12"/>
      <c r="LNB40" s="12"/>
      <c r="LNC40" s="13"/>
      <c r="LND40" s="9"/>
      <c r="LNE40" s="9"/>
      <c r="LNF40" s="9"/>
      <c r="LNG40" s="9"/>
      <c r="LNH40" s="10"/>
      <c r="LNI40" s="11"/>
      <c r="LNJ40" s="12"/>
      <c r="LNK40" s="12"/>
      <c r="LNL40" s="12"/>
      <c r="LNM40" s="13"/>
      <c r="LNN40" s="9"/>
      <c r="LNO40" s="9"/>
      <c r="LNP40" s="9"/>
      <c r="LNQ40" s="9"/>
      <c r="LNR40" s="10"/>
      <c r="LNS40" s="11"/>
      <c r="LNT40" s="12"/>
      <c r="LNU40" s="12"/>
      <c r="LNV40" s="12"/>
      <c r="LNW40" s="13"/>
      <c r="LNX40" s="9"/>
      <c r="LNY40" s="9"/>
      <c r="LNZ40" s="9"/>
      <c r="LOA40" s="9"/>
      <c r="LOB40" s="10"/>
      <c r="LOC40" s="11"/>
      <c r="LOD40" s="12"/>
      <c r="LOE40" s="12"/>
      <c r="LOF40" s="12"/>
      <c r="LOG40" s="13"/>
      <c r="LOH40" s="9"/>
      <c r="LOI40" s="9"/>
      <c r="LOJ40" s="9"/>
      <c r="LOK40" s="9"/>
      <c r="LOL40" s="10"/>
      <c r="LOM40" s="11"/>
      <c r="LON40" s="12"/>
      <c r="LOO40" s="12"/>
      <c r="LOP40" s="12"/>
      <c r="LOQ40" s="13"/>
      <c r="LOR40" s="9"/>
      <c r="LOS40" s="9"/>
      <c r="LOT40" s="9"/>
      <c r="LOU40" s="9"/>
      <c r="LOV40" s="10"/>
      <c r="LOW40" s="11"/>
      <c r="LOX40" s="12"/>
      <c r="LOY40" s="12"/>
      <c r="LOZ40" s="12"/>
      <c r="LPA40" s="13"/>
      <c r="LPB40" s="9"/>
      <c r="LPC40" s="9"/>
      <c r="LPD40" s="9"/>
      <c r="LPE40" s="9"/>
      <c r="LPF40" s="10"/>
      <c r="LPG40" s="11"/>
      <c r="LPH40" s="12"/>
      <c r="LPI40" s="12"/>
      <c r="LPJ40" s="12"/>
      <c r="LPK40" s="13"/>
      <c r="LPL40" s="9"/>
      <c r="LPM40" s="9"/>
      <c r="LPN40" s="9"/>
      <c r="LPO40" s="9"/>
      <c r="LPP40" s="10"/>
      <c r="LPQ40" s="11"/>
      <c r="LPR40" s="12"/>
      <c r="LPS40" s="12"/>
      <c r="LPT40" s="12"/>
      <c r="LPU40" s="13"/>
      <c r="LPV40" s="9"/>
      <c r="LPW40" s="9"/>
      <c r="LPX40" s="9"/>
      <c r="LPY40" s="9"/>
      <c r="LPZ40" s="10"/>
      <c r="LQA40" s="11"/>
      <c r="LQB40" s="12"/>
      <c r="LQC40" s="12"/>
      <c r="LQD40" s="12"/>
      <c r="LQE40" s="13"/>
      <c r="LQF40" s="9"/>
      <c r="LQG40" s="9"/>
      <c r="LQH40" s="9"/>
      <c r="LQI40" s="9"/>
      <c r="LQJ40" s="10"/>
      <c r="LQK40" s="11"/>
      <c r="LQL40" s="12"/>
      <c r="LQM40" s="12"/>
      <c r="LQN40" s="12"/>
      <c r="LQO40" s="13"/>
      <c r="LQP40" s="9"/>
      <c r="LQQ40" s="9"/>
      <c r="LQR40" s="9"/>
      <c r="LQS40" s="9"/>
      <c r="LQT40" s="10"/>
      <c r="LQU40" s="11"/>
      <c r="LQV40" s="12"/>
      <c r="LQW40" s="12"/>
      <c r="LQX40" s="12"/>
      <c r="LQY40" s="13"/>
      <c r="LQZ40" s="9"/>
      <c r="LRA40" s="9"/>
      <c r="LRB40" s="9"/>
      <c r="LRC40" s="9"/>
      <c r="LRD40" s="10"/>
      <c r="LRE40" s="11"/>
      <c r="LRF40" s="12"/>
      <c r="LRG40" s="12"/>
      <c r="LRH40" s="12"/>
      <c r="LRI40" s="13"/>
      <c r="LRJ40" s="9"/>
      <c r="LRK40" s="9"/>
      <c r="LRL40" s="9"/>
      <c r="LRM40" s="9"/>
      <c r="LRN40" s="10"/>
      <c r="LRO40" s="11"/>
      <c r="LRP40" s="12"/>
      <c r="LRQ40" s="12"/>
      <c r="LRR40" s="12"/>
      <c r="LRS40" s="13"/>
      <c r="LRT40" s="9"/>
      <c r="LRU40" s="9"/>
      <c r="LRV40" s="9"/>
      <c r="LRW40" s="9"/>
      <c r="LRX40" s="10"/>
      <c r="LRY40" s="11"/>
      <c r="LRZ40" s="12"/>
      <c r="LSA40" s="12"/>
      <c r="LSB40" s="12"/>
      <c r="LSC40" s="13"/>
      <c r="LSD40" s="9"/>
      <c r="LSE40" s="9"/>
      <c r="LSF40" s="9"/>
      <c r="LSG40" s="9"/>
      <c r="LSH40" s="10"/>
      <c r="LSI40" s="11"/>
      <c r="LSJ40" s="12"/>
      <c r="LSK40" s="12"/>
      <c r="LSL40" s="12"/>
      <c r="LSM40" s="13"/>
      <c r="LSN40" s="9"/>
      <c r="LSO40" s="9"/>
      <c r="LSP40" s="9"/>
      <c r="LSQ40" s="9"/>
      <c r="LSR40" s="10"/>
      <c r="LSS40" s="11"/>
      <c r="LST40" s="12"/>
      <c r="LSU40" s="12"/>
      <c r="LSV40" s="12"/>
      <c r="LSW40" s="13"/>
      <c r="LSX40" s="9"/>
      <c r="LSY40" s="9"/>
      <c r="LSZ40" s="9"/>
      <c r="LTA40" s="9"/>
      <c r="LTB40" s="10"/>
      <c r="LTC40" s="11"/>
      <c r="LTD40" s="12"/>
      <c r="LTE40" s="12"/>
      <c r="LTF40" s="12"/>
      <c r="LTG40" s="13"/>
      <c r="LTH40" s="9"/>
      <c r="LTI40" s="9"/>
      <c r="LTJ40" s="9"/>
      <c r="LTK40" s="9"/>
      <c r="LTL40" s="10"/>
      <c r="LTM40" s="11"/>
      <c r="LTN40" s="12"/>
      <c r="LTO40" s="12"/>
      <c r="LTP40" s="12"/>
      <c r="LTQ40" s="13"/>
      <c r="LTR40" s="9"/>
      <c r="LTS40" s="9"/>
      <c r="LTT40" s="9"/>
      <c r="LTU40" s="9"/>
      <c r="LTV40" s="10"/>
      <c r="LTW40" s="11"/>
      <c r="LTX40" s="12"/>
      <c r="LTY40" s="12"/>
      <c r="LTZ40" s="12"/>
      <c r="LUA40" s="13"/>
      <c r="LUB40" s="9"/>
      <c r="LUC40" s="9"/>
      <c r="LUD40" s="9"/>
      <c r="LUE40" s="9"/>
      <c r="LUF40" s="10"/>
      <c r="LUG40" s="11"/>
      <c r="LUH40" s="12"/>
      <c r="LUI40" s="12"/>
      <c r="LUJ40" s="12"/>
      <c r="LUK40" s="13"/>
      <c r="LUL40" s="9"/>
      <c r="LUM40" s="9"/>
      <c r="LUN40" s="9"/>
      <c r="LUO40" s="9"/>
      <c r="LUP40" s="10"/>
      <c r="LUQ40" s="11"/>
      <c r="LUR40" s="12"/>
      <c r="LUS40" s="12"/>
      <c r="LUT40" s="12"/>
      <c r="LUU40" s="13"/>
      <c r="LUV40" s="9"/>
      <c r="LUW40" s="9"/>
      <c r="LUX40" s="9"/>
      <c r="LUY40" s="9"/>
      <c r="LUZ40" s="10"/>
      <c r="LVA40" s="11"/>
      <c r="LVB40" s="12"/>
      <c r="LVC40" s="12"/>
      <c r="LVD40" s="12"/>
      <c r="LVE40" s="13"/>
      <c r="LVF40" s="9"/>
      <c r="LVG40" s="9"/>
      <c r="LVH40" s="9"/>
      <c r="LVI40" s="9"/>
      <c r="LVJ40" s="10"/>
      <c r="LVK40" s="11"/>
      <c r="LVL40" s="12"/>
      <c r="LVM40" s="12"/>
      <c r="LVN40" s="12"/>
      <c r="LVO40" s="13"/>
      <c r="LVP40" s="9"/>
      <c r="LVQ40" s="9"/>
      <c r="LVR40" s="9"/>
      <c r="LVS40" s="9"/>
      <c r="LVT40" s="10"/>
      <c r="LVU40" s="11"/>
      <c r="LVV40" s="12"/>
      <c r="LVW40" s="12"/>
      <c r="LVX40" s="12"/>
      <c r="LVY40" s="13"/>
      <c r="LVZ40" s="9"/>
      <c r="LWA40" s="9"/>
      <c r="LWB40" s="9"/>
      <c r="LWC40" s="9"/>
      <c r="LWD40" s="10"/>
      <c r="LWE40" s="11"/>
      <c r="LWF40" s="12"/>
      <c r="LWG40" s="12"/>
      <c r="LWH40" s="12"/>
      <c r="LWI40" s="13"/>
      <c r="LWJ40" s="9"/>
      <c r="LWK40" s="9"/>
      <c r="LWL40" s="9"/>
      <c r="LWM40" s="9"/>
      <c r="LWN40" s="10"/>
      <c r="LWO40" s="11"/>
      <c r="LWP40" s="12"/>
      <c r="LWQ40" s="12"/>
      <c r="LWR40" s="12"/>
      <c r="LWS40" s="13"/>
      <c r="LWT40" s="9"/>
      <c r="LWU40" s="9"/>
      <c r="LWV40" s="9"/>
      <c r="LWW40" s="9"/>
      <c r="LWX40" s="10"/>
      <c r="LWY40" s="11"/>
      <c r="LWZ40" s="12"/>
      <c r="LXA40" s="12"/>
      <c r="LXB40" s="12"/>
      <c r="LXC40" s="13"/>
      <c r="LXD40" s="9"/>
      <c r="LXE40" s="9"/>
      <c r="LXF40" s="9"/>
      <c r="LXG40" s="9"/>
      <c r="LXH40" s="10"/>
      <c r="LXI40" s="11"/>
      <c r="LXJ40" s="12"/>
      <c r="LXK40" s="12"/>
      <c r="LXL40" s="12"/>
      <c r="LXM40" s="13"/>
      <c r="LXN40" s="9"/>
      <c r="LXO40" s="9"/>
      <c r="LXP40" s="9"/>
      <c r="LXQ40" s="9"/>
      <c r="LXR40" s="10"/>
      <c r="LXS40" s="11"/>
      <c r="LXT40" s="12"/>
      <c r="LXU40" s="12"/>
      <c r="LXV40" s="12"/>
      <c r="LXW40" s="13"/>
      <c r="LXX40" s="9"/>
      <c r="LXY40" s="9"/>
      <c r="LXZ40" s="9"/>
      <c r="LYA40" s="9"/>
      <c r="LYB40" s="10"/>
      <c r="LYC40" s="11"/>
      <c r="LYD40" s="12"/>
      <c r="LYE40" s="12"/>
      <c r="LYF40" s="12"/>
      <c r="LYG40" s="13"/>
      <c r="LYH40" s="9"/>
      <c r="LYI40" s="9"/>
      <c r="LYJ40" s="9"/>
      <c r="LYK40" s="9"/>
      <c r="LYL40" s="10"/>
      <c r="LYM40" s="11"/>
      <c r="LYN40" s="12"/>
      <c r="LYO40" s="12"/>
      <c r="LYP40" s="12"/>
      <c r="LYQ40" s="13"/>
      <c r="LYR40" s="9"/>
      <c r="LYS40" s="9"/>
      <c r="LYT40" s="9"/>
      <c r="LYU40" s="9"/>
      <c r="LYV40" s="10"/>
      <c r="LYW40" s="11"/>
      <c r="LYX40" s="12"/>
      <c r="LYY40" s="12"/>
      <c r="LYZ40" s="12"/>
      <c r="LZA40" s="13"/>
      <c r="LZB40" s="9"/>
      <c r="LZC40" s="9"/>
      <c r="LZD40" s="9"/>
      <c r="LZE40" s="9"/>
      <c r="LZF40" s="10"/>
      <c r="LZG40" s="11"/>
      <c r="LZH40" s="12"/>
      <c r="LZI40" s="12"/>
      <c r="LZJ40" s="12"/>
      <c r="LZK40" s="13"/>
      <c r="LZL40" s="9"/>
      <c r="LZM40" s="9"/>
      <c r="LZN40" s="9"/>
      <c r="LZO40" s="9"/>
      <c r="LZP40" s="10"/>
      <c r="LZQ40" s="11"/>
      <c r="LZR40" s="12"/>
      <c r="LZS40" s="12"/>
      <c r="LZT40" s="12"/>
      <c r="LZU40" s="13"/>
      <c r="LZV40" s="9"/>
      <c r="LZW40" s="9"/>
      <c r="LZX40" s="9"/>
      <c r="LZY40" s="9"/>
      <c r="LZZ40" s="10"/>
      <c r="MAA40" s="11"/>
      <c r="MAB40" s="12"/>
      <c r="MAC40" s="12"/>
      <c r="MAD40" s="12"/>
      <c r="MAE40" s="13"/>
      <c r="MAF40" s="9"/>
      <c r="MAG40" s="9"/>
      <c r="MAH40" s="9"/>
      <c r="MAI40" s="9"/>
      <c r="MAJ40" s="10"/>
      <c r="MAK40" s="11"/>
      <c r="MAL40" s="12"/>
      <c r="MAM40" s="12"/>
      <c r="MAN40" s="12"/>
      <c r="MAO40" s="13"/>
      <c r="MAP40" s="9"/>
      <c r="MAQ40" s="9"/>
      <c r="MAR40" s="9"/>
      <c r="MAS40" s="9"/>
      <c r="MAT40" s="10"/>
      <c r="MAU40" s="11"/>
      <c r="MAV40" s="12"/>
      <c r="MAW40" s="12"/>
      <c r="MAX40" s="12"/>
      <c r="MAY40" s="13"/>
      <c r="MAZ40" s="9"/>
      <c r="MBA40" s="9"/>
      <c r="MBB40" s="9"/>
      <c r="MBC40" s="9"/>
      <c r="MBD40" s="10"/>
      <c r="MBE40" s="11"/>
      <c r="MBF40" s="12"/>
      <c r="MBG40" s="12"/>
      <c r="MBH40" s="12"/>
      <c r="MBI40" s="13"/>
      <c r="MBJ40" s="9"/>
      <c r="MBK40" s="9"/>
      <c r="MBL40" s="9"/>
      <c r="MBM40" s="9"/>
      <c r="MBN40" s="10"/>
      <c r="MBO40" s="11"/>
      <c r="MBP40" s="12"/>
      <c r="MBQ40" s="12"/>
      <c r="MBR40" s="12"/>
      <c r="MBS40" s="13"/>
      <c r="MBT40" s="9"/>
      <c r="MBU40" s="9"/>
      <c r="MBV40" s="9"/>
      <c r="MBW40" s="9"/>
      <c r="MBX40" s="10"/>
      <c r="MBY40" s="11"/>
      <c r="MBZ40" s="12"/>
      <c r="MCA40" s="12"/>
      <c r="MCB40" s="12"/>
      <c r="MCC40" s="13"/>
      <c r="MCD40" s="9"/>
      <c r="MCE40" s="9"/>
      <c r="MCF40" s="9"/>
      <c r="MCG40" s="9"/>
      <c r="MCH40" s="10"/>
      <c r="MCI40" s="11"/>
      <c r="MCJ40" s="12"/>
      <c r="MCK40" s="12"/>
      <c r="MCL40" s="12"/>
      <c r="MCM40" s="13"/>
      <c r="MCN40" s="9"/>
      <c r="MCO40" s="9"/>
      <c r="MCP40" s="9"/>
      <c r="MCQ40" s="9"/>
      <c r="MCR40" s="10"/>
      <c r="MCS40" s="11"/>
      <c r="MCT40" s="12"/>
      <c r="MCU40" s="12"/>
      <c r="MCV40" s="12"/>
      <c r="MCW40" s="13"/>
      <c r="MCX40" s="9"/>
      <c r="MCY40" s="9"/>
      <c r="MCZ40" s="9"/>
      <c r="MDA40" s="9"/>
      <c r="MDB40" s="10"/>
      <c r="MDC40" s="11"/>
      <c r="MDD40" s="12"/>
      <c r="MDE40" s="12"/>
      <c r="MDF40" s="12"/>
      <c r="MDG40" s="13"/>
      <c r="MDH40" s="9"/>
      <c r="MDI40" s="9"/>
      <c r="MDJ40" s="9"/>
      <c r="MDK40" s="9"/>
      <c r="MDL40" s="10"/>
      <c r="MDM40" s="11"/>
      <c r="MDN40" s="12"/>
      <c r="MDO40" s="12"/>
      <c r="MDP40" s="12"/>
      <c r="MDQ40" s="13"/>
      <c r="MDR40" s="9"/>
      <c r="MDS40" s="9"/>
      <c r="MDT40" s="9"/>
      <c r="MDU40" s="9"/>
      <c r="MDV40" s="10"/>
      <c r="MDW40" s="11"/>
      <c r="MDX40" s="12"/>
      <c r="MDY40" s="12"/>
      <c r="MDZ40" s="12"/>
      <c r="MEA40" s="13"/>
      <c r="MEB40" s="9"/>
      <c r="MEC40" s="9"/>
      <c r="MED40" s="9"/>
      <c r="MEE40" s="9"/>
      <c r="MEF40" s="10"/>
      <c r="MEG40" s="11"/>
      <c r="MEH40" s="12"/>
      <c r="MEI40" s="12"/>
      <c r="MEJ40" s="12"/>
      <c r="MEK40" s="13"/>
      <c r="MEL40" s="9"/>
      <c r="MEM40" s="9"/>
      <c r="MEN40" s="9"/>
      <c r="MEO40" s="9"/>
      <c r="MEP40" s="10"/>
      <c r="MEQ40" s="11"/>
      <c r="MER40" s="12"/>
      <c r="MES40" s="12"/>
      <c r="MET40" s="12"/>
      <c r="MEU40" s="13"/>
      <c r="MEV40" s="9"/>
      <c r="MEW40" s="9"/>
      <c r="MEX40" s="9"/>
      <c r="MEY40" s="9"/>
      <c r="MEZ40" s="10"/>
      <c r="MFA40" s="11"/>
      <c r="MFB40" s="12"/>
      <c r="MFC40" s="12"/>
      <c r="MFD40" s="12"/>
      <c r="MFE40" s="13"/>
      <c r="MFF40" s="9"/>
      <c r="MFG40" s="9"/>
      <c r="MFH40" s="9"/>
      <c r="MFI40" s="9"/>
      <c r="MFJ40" s="10"/>
      <c r="MFK40" s="11"/>
      <c r="MFL40" s="12"/>
      <c r="MFM40" s="12"/>
      <c r="MFN40" s="12"/>
      <c r="MFO40" s="13"/>
      <c r="MFP40" s="9"/>
      <c r="MFQ40" s="9"/>
      <c r="MFR40" s="9"/>
      <c r="MFS40" s="9"/>
      <c r="MFT40" s="10"/>
      <c r="MFU40" s="11"/>
      <c r="MFV40" s="12"/>
      <c r="MFW40" s="12"/>
      <c r="MFX40" s="12"/>
      <c r="MFY40" s="13"/>
      <c r="MFZ40" s="9"/>
      <c r="MGA40" s="9"/>
      <c r="MGB40" s="9"/>
      <c r="MGC40" s="9"/>
      <c r="MGD40" s="10"/>
      <c r="MGE40" s="11"/>
      <c r="MGF40" s="12"/>
      <c r="MGG40" s="12"/>
      <c r="MGH40" s="12"/>
      <c r="MGI40" s="13"/>
      <c r="MGJ40" s="9"/>
      <c r="MGK40" s="9"/>
      <c r="MGL40" s="9"/>
      <c r="MGM40" s="9"/>
      <c r="MGN40" s="10"/>
      <c r="MGO40" s="11"/>
      <c r="MGP40" s="12"/>
      <c r="MGQ40" s="12"/>
      <c r="MGR40" s="12"/>
      <c r="MGS40" s="13"/>
      <c r="MGT40" s="9"/>
      <c r="MGU40" s="9"/>
      <c r="MGV40" s="9"/>
      <c r="MGW40" s="9"/>
      <c r="MGX40" s="10"/>
      <c r="MGY40" s="11"/>
      <c r="MGZ40" s="12"/>
      <c r="MHA40" s="12"/>
      <c r="MHB40" s="12"/>
      <c r="MHC40" s="13"/>
      <c r="MHD40" s="9"/>
      <c r="MHE40" s="9"/>
      <c r="MHF40" s="9"/>
      <c r="MHG40" s="9"/>
      <c r="MHH40" s="10"/>
      <c r="MHI40" s="11"/>
      <c r="MHJ40" s="12"/>
      <c r="MHK40" s="12"/>
      <c r="MHL40" s="12"/>
      <c r="MHM40" s="13"/>
      <c r="MHN40" s="9"/>
      <c r="MHO40" s="9"/>
      <c r="MHP40" s="9"/>
      <c r="MHQ40" s="9"/>
      <c r="MHR40" s="10"/>
      <c r="MHS40" s="11"/>
      <c r="MHT40" s="12"/>
      <c r="MHU40" s="12"/>
      <c r="MHV40" s="12"/>
      <c r="MHW40" s="13"/>
      <c r="MHX40" s="9"/>
      <c r="MHY40" s="9"/>
      <c r="MHZ40" s="9"/>
      <c r="MIA40" s="9"/>
      <c r="MIB40" s="10"/>
      <c r="MIC40" s="11"/>
      <c r="MID40" s="12"/>
      <c r="MIE40" s="12"/>
      <c r="MIF40" s="12"/>
      <c r="MIG40" s="13"/>
      <c r="MIH40" s="9"/>
      <c r="MII40" s="9"/>
      <c r="MIJ40" s="9"/>
      <c r="MIK40" s="9"/>
      <c r="MIL40" s="10"/>
      <c r="MIM40" s="11"/>
      <c r="MIN40" s="12"/>
      <c r="MIO40" s="12"/>
      <c r="MIP40" s="12"/>
      <c r="MIQ40" s="13"/>
      <c r="MIR40" s="9"/>
      <c r="MIS40" s="9"/>
      <c r="MIT40" s="9"/>
      <c r="MIU40" s="9"/>
      <c r="MIV40" s="10"/>
      <c r="MIW40" s="11"/>
      <c r="MIX40" s="12"/>
      <c r="MIY40" s="12"/>
      <c r="MIZ40" s="12"/>
      <c r="MJA40" s="13"/>
      <c r="MJB40" s="9"/>
      <c r="MJC40" s="9"/>
      <c r="MJD40" s="9"/>
      <c r="MJE40" s="9"/>
      <c r="MJF40" s="10"/>
      <c r="MJG40" s="11"/>
      <c r="MJH40" s="12"/>
      <c r="MJI40" s="12"/>
      <c r="MJJ40" s="12"/>
      <c r="MJK40" s="13"/>
      <c r="MJL40" s="9"/>
      <c r="MJM40" s="9"/>
      <c r="MJN40" s="9"/>
      <c r="MJO40" s="9"/>
      <c r="MJP40" s="10"/>
      <c r="MJQ40" s="11"/>
      <c r="MJR40" s="12"/>
      <c r="MJS40" s="12"/>
      <c r="MJT40" s="12"/>
      <c r="MJU40" s="13"/>
      <c r="MJV40" s="9"/>
      <c r="MJW40" s="9"/>
      <c r="MJX40" s="9"/>
      <c r="MJY40" s="9"/>
      <c r="MJZ40" s="10"/>
      <c r="MKA40" s="11"/>
      <c r="MKB40" s="12"/>
      <c r="MKC40" s="12"/>
      <c r="MKD40" s="12"/>
      <c r="MKE40" s="13"/>
      <c r="MKF40" s="9"/>
      <c r="MKG40" s="9"/>
      <c r="MKH40" s="9"/>
      <c r="MKI40" s="9"/>
      <c r="MKJ40" s="10"/>
      <c r="MKK40" s="11"/>
      <c r="MKL40" s="12"/>
      <c r="MKM40" s="12"/>
      <c r="MKN40" s="12"/>
      <c r="MKO40" s="13"/>
      <c r="MKP40" s="9"/>
      <c r="MKQ40" s="9"/>
      <c r="MKR40" s="9"/>
      <c r="MKS40" s="9"/>
      <c r="MKT40" s="10"/>
      <c r="MKU40" s="11"/>
      <c r="MKV40" s="12"/>
      <c r="MKW40" s="12"/>
      <c r="MKX40" s="12"/>
      <c r="MKY40" s="13"/>
      <c r="MKZ40" s="9"/>
      <c r="MLA40" s="9"/>
      <c r="MLB40" s="9"/>
      <c r="MLC40" s="9"/>
      <c r="MLD40" s="10"/>
      <c r="MLE40" s="11"/>
      <c r="MLF40" s="12"/>
      <c r="MLG40" s="12"/>
      <c r="MLH40" s="12"/>
      <c r="MLI40" s="13"/>
      <c r="MLJ40" s="9"/>
      <c r="MLK40" s="9"/>
      <c r="MLL40" s="9"/>
      <c r="MLM40" s="9"/>
      <c r="MLN40" s="10"/>
      <c r="MLO40" s="11"/>
      <c r="MLP40" s="12"/>
      <c r="MLQ40" s="12"/>
      <c r="MLR40" s="12"/>
      <c r="MLS40" s="13"/>
      <c r="MLT40" s="9"/>
      <c r="MLU40" s="9"/>
      <c r="MLV40" s="9"/>
      <c r="MLW40" s="9"/>
      <c r="MLX40" s="10"/>
      <c r="MLY40" s="11"/>
      <c r="MLZ40" s="12"/>
      <c r="MMA40" s="12"/>
      <c r="MMB40" s="12"/>
      <c r="MMC40" s="13"/>
      <c r="MMD40" s="9"/>
      <c r="MME40" s="9"/>
      <c r="MMF40" s="9"/>
      <c r="MMG40" s="9"/>
      <c r="MMH40" s="10"/>
      <c r="MMI40" s="11"/>
      <c r="MMJ40" s="12"/>
      <c r="MMK40" s="12"/>
      <c r="MML40" s="12"/>
      <c r="MMM40" s="13"/>
      <c r="MMN40" s="9"/>
      <c r="MMO40" s="9"/>
      <c r="MMP40" s="9"/>
      <c r="MMQ40" s="9"/>
      <c r="MMR40" s="10"/>
      <c r="MMS40" s="11"/>
      <c r="MMT40" s="12"/>
      <c r="MMU40" s="12"/>
      <c r="MMV40" s="12"/>
      <c r="MMW40" s="13"/>
      <c r="MMX40" s="9"/>
      <c r="MMY40" s="9"/>
      <c r="MMZ40" s="9"/>
      <c r="MNA40" s="9"/>
      <c r="MNB40" s="10"/>
      <c r="MNC40" s="11"/>
      <c r="MND40" s="12"/>
      <c r="MNE40" s="12"/>
      <c r="MNF40" s="12"/>
      <c r="MNG40" s="13"/>
      <c r="MNH40" s="9"/>
      <c r="MNI40" s="9"/>
      <c r="MNJ40" s="9"/>
      <c r="MNK40" s="9"/>
      <c r="MNL40" s="10"/>
      <c r="MNM40" s="11"/>
      <c r="MNN40" s="12"/>
      <c r="MNO40" s="12"/>
      <c r="MNP40" s="12"/>
      <c r="MNQ40" s="13"/>
      <c r="MNR40" s="9"/>
      <c r="MNS40" s="9"/>
      <c r="MNT40" s="9"/>
      <c r="MNU40" s="9"/>
      <c r="MNV40" s="10"/>
      <c r="MNW40" s="11"/>
      <c r="MNX40" s="12"/>
      <c r="MNY40" s="12"/>
      <c r="MNZ40" s="12"/>
      <c r="MOA40" s="13"/>
      <c r="MOB40" s="9"/>
      <c r="MOC40" s="9"/>
      <c r="MOD40" s="9"/>
      <c r="MOE40" s="9"/>
      <c r="MOF40" s="10"/>
      <c r="MOG40" s="11"/>
      <c r="MOH40" s="12"/>
      <c r="MOI40" s="12"/>
      <c r="MOJ40" s="12"/>
      <c r="MOK40" s="13"/>
      <c r="MOL40" s="9"/>
      <c r="MOM40" s="9"/>
      <c r="MON40" s="9"/>
      <c r="MOO40" s="9"/>
      <c r="MOP40" s="10"/>
      <c r="MOQ40" s="11"/>
      <c r="MOR40" s="12"/>
      <c r="MOS40" s="12"/>
      <c r="MOT40" s="12"/>
      <c r="MOU40" s="13"/>
      <c r="MOV40" s="9"/>
      <c r="MOW40" s="9"/>
      <c r="MOX40" s="9"/>
      <c r="MOY40" s="9"/>
      <c r="MOZ40" s="10"/>
      <c r="MPA40" s="11"/>
      <c r="MPB40" s="12"/>
      <c r="MPC40" s="12"/>
      <c r="MPD40" s="12"/>
      <c r="MPE40" s="13"/>
      <c r="MPF40" s="9"/>
      <c r="MPG40" s="9"/>
      <c r="MPH40" s="9"/>
      <c r="MPI40" s="9"/>
      <c r="MPJ40" s="10"/>
      <c r="MPK40" s="11"/>
      <c r="MPL40" s="12"/>
      <c r="MPM40" s="12"/>
      <c r="MPN40" s="12"/>
      <c r="MPO40" s="13"/>
      <c r="MPP40" s="9"/>
      <c r="MPQ40" s="9"/>
      <c r="MPR40" s="9"/>
      <c r="MPS40" s="9"/>
      <c r="MPT40" s="10"/>
      <c r="MPU40" s="11"/>
      <c r="MPV40" s="12"/>
      <c r="MPW40" s="12"/>
      <c r="MPX40" s="12"/>
      <c r="MPY40" s="13"/>
      <c r="MPZ40" s="9"/>
      <c r="MQA40" s="9"/>
      <c r="MQB40" s="9"/>
      <c r="MQC40" s="9"/>
      <c r="MQD40" s="10"/>
      <c r="MQE40" s="11"/>
      <c r="MQF40" s="12"/>
      <c r="MQG40" s="12"/>
      <c r="MQH40" s="12"/>
      <c r="MQI40" s="13"/>
      <c r="MQJ40" s="9"/>
      <c r="MQK40" s="9"/>
      <c r="MQL40" s="9"/>
      <c r="MQM40" s="9"/>
      <c r="MQN40" s="10"/>
      <c r="MQO40" s="11"/>
      <c r="MQP40" s="12"/>
      <c r="MQQ40" s="12"/>
      <c r="MQR40" s="12"/>
      <c r="MQS40" s="13"/>
      <c r="MQT40" s="9"/>
      <c r="MQU40" s="9"/>
      <c r="MQV40" s="9"/>
      <c r="MQW40" s="9"/>
      <c r="MQX40" s="10"/>
      <c r="MQY40" s="11"/>
      <c r="MQZ40" s="12"/>
      <c r="MRA40" s="12"/>
      <c r="MRB40" s="12"/>
      <c r="MRC40" s="13"/>
      <c r="MRD40" s="9"/>
      <c r="MRE40" s="9"/>
      <c r="MRF40" s="9"/>
      <c r="MRG40" s="9"/>
      <c r="MRH40" s="10"/>
      <c r="MRI40" s="11"/>
      <c r="MRJ40" s="12"/>
      <c r="MRK40" s="12"/>
      <c r="MRL40" s="12"/>
      <c r="MRM40" s="13"/>
      <c r="MRN40" s="9"/>
      <c r="MRO40" s="9"/>
      <c r="MRP40" s="9"/>
      <c r="MRQ40" s="9"/>
      <c r="MRR40" s="10"/>
      <c r="MRS40" s="11"/>
      <c r="MRT40" s="12"/>
      <c r="MRU40" s="12"/>
      <c r="MRV40" s="12"/>
      <c r="MRW40" s="13"/>
      <c r="MRX40" s="9"/>
      <c r="MRY40" s="9"/>
      <c r="MRZ40" s="9"/>
      <c r="MSA40" s="9"/>
      <c r="MSB40" s="10"/>
      <c r="MSC40" s="11"/>
      <c r="MSD40" s="12"/>
      <c r="MSE40" s="12"/>
      <c r="MSF40" s="12"/>
      <c r="MSG40" s="13"/>
      <c r="MSH40" s="9"/>
      <c r="MSI40" s="9"/>
      <c r="MSJ40" s="9"/>
      <c r="MSK40" s="9"/>
      <c r="MSL40" s="10"/>
      <c r="MSM40" s="11"/>
      <c r="MSN40" s="12"/>
      <c r="MSO40" s="12"/>
      <c r="MSP40" s="12"/>
      <c r="MSQ40" s="13"/>
      <c r="MSR40" s="9"/>
      <c r="MSS40" s="9"/>
      <c r="MST40" s="9"/>
      <c r="MSU40" s="9"/>
      <c r="MSV40" s="10"/>
      <c r="MSW40" s="11"/>
      <c r="MSX40" s="12"/>
      <c r="MSY40" s="12"/>
      <c r="MSZ40" s="12"/>
      <c r="MTA40" s="13"/>
      <c r="MTB40" s="9"/>
      <c r="MTC40" s="9"/>
      <c r="MTD40" s="9"/>
      <c r="MTE40" s="9"/>
      <c r="MTF40" s="10"/>
      <c r="MTG40" s="11"/>
      <c r="MTH40" s="12"/>
      <c r="MTI40" s="12"/>
      <c r="MTJ40" s="12"/>
      <c r="MTK40" s="13"/>
      <c r="MTL40" s="9"/>
      <c r="MTM40" s="9"/>
      <c r="MTN40" s="9"/>
      <c r="MTO40" s="9"/>
      <c r="MTP40" s="10"/>
      <c r="MTQ40" s="11"/>
      <c r="MTR40" s="12"/>
      <c r="MTS40" s="12"/>
      <c r="MTT40" s="12"/>
      <c r="MTU40" s="13"/>
      <c r="MTV40" s="9"/>
      <c r="MTW40" s="9"/>
      <c r="MTX40" s="9"/>
      <c r="MTY40" s="9"/>
      <c r="MTZ40" s="10"/>
      <c r="MUA40" s="11"/>
      <c r="MUB40" s="12"/>
      <c r="MUC40" s="12"/>
      <c r="MUD40" s="12"/>
      <c r="MUE40" s="13"/>
      <c r="MUF40" s="9"/>
      <c r="MUG40" s="9"/>
      <c r="MUH40" s="9"/>
      <c r="MUI40" s="9"/>
      <c r="MUJ40" s="10"/>
      <c r="MUK40" s="11"/>
      <c r="MUL40" s="12"/>
      <c r="MUM40" s="12"/>
      <c r="MUN40" s="12"/>
      <c r="MUO40" s="13"/>
      <c r="MUP40" s="9"/>
      <c r="MUQ40" s="9"/>
      <c r="MUR40" s="9"/>
      <c r="MUS40" s="9"/>
      <c r="MUT40" s="10"/>
      <c r="MUU40" s="11"/>
      <c r="MUV40" s="12"/>
      <c r="MUW40" s="12"/>
      <c r="MUX40" s="12"/>
      <c r="MUY40" s="13"/>
      <c r="MUZ40" s="9"/>
      <c r="MVA40" s="9"/>
      <c r="MVB40" s="9"/>
      <c r="MVC40" s="9"/>
      <c r="MVD40" s="10"/>
      <c r="MVE40" s="11"/>
      <c r="MVF40" s="12"/>
      <c r="MVG40" s="12"/>
      <c r="MVH40" s="12"/>
      <c r="MVI40" s="13"/>
      <c r="MVJ40" s="9"/>
      <c r="MVK40" s="9"/>
      <c r="MVL40" s="9"/>
      <c r="MVM40" s="9"/>
      <c r="MVN40" s="10"/>
      <c r="MVO40" s="11"/>
      <c r="MVP40" s="12"/>
      <c r="MVQ40" s="12"/>
      <c r="MVR40" s="12"/>
      <c r="MVS40" s="13"/>
      <c r="MVT40" s="9"/>
      <c r="MVU40" s="9"/>
      <c r="MVV40" s="9"/>
      <c r="MVW40" s="9"/>
      <c r="MVX40" s="10"/>
      <c r="MVY40" s="11"/>
      <c r="MVZ40" s="12"/>
      <c r="MWA40" s="12"/>
      <c r="MWB40" s="12"/>
      <c r="MWC40" s="13"/>
      <c r="MWD40" s="9"/>
      <c r="MWE40" s="9"/>
      <c r="MWF40" s="9"/>
      <c r="MWG40" s="9"/>
      <c r="MWH40" s="10"/>
      <c r="MWI40" s="11"/>
      <c r="MWJ40" s="12"/>
      <c r="MWK40" s="12"/>
      <c r="MWL40" s="12"/>
      <c r="MWM40" s="13"/>
      <c r="MWN40" s="9"/>
      <c r="MWO40" s="9"/>
      <c r="MWP40" s="9"/>
      <c r="MWQ40" s="9"/>
      <c r="MWR40" s="10"/>
      <c r="MWS40" s="11"/>
      <c r="MWT40" s="12"/>
      <c r="MWU40" s="12"/>
      <c r="MWV40" s="12"/>
      <c r="MWW40" s="13"/>
      <c r="MWX40" s="9"/>
      <c r="MWY40" s="9"/>
      <c r="MWZ40" s="9"/>
      <c r="MXA40" s="9"/>
      <c r="MXB40" s="10"/>
      <c r="MXC40" s="11"/>
      <c r="MXD40" s="12"/>
      <c r="MXE40" s="12"/>
      <c r="MXF40" s="12"/>
      <c r="MXG40" s="13"/>
      <c r="MXH40" s="9"/>
      <c r="MXI40" s="9"/>
      <c r="MXJ40" s="9"/>
      <c r="MXK40" s="9"/>
      <c r="MXL40" s="10"/>
      <c r="MXM40" s="11"/>
      <c r="MXN40" s="12"/>
      <c r="MXO40" s="12"/>
      <c r="MXP40" s="12"/>
      <c r="MXQ40" s="13"/>
      <c r="MXR40" s="9"/>
      <c r="MXS40" s="9"/>
      <c r="MXT40" s="9"/>
      <c r="MXU40" s="9"/>
      <c r="MXV40" s="10"/>
      <c r="MXW40" s="11"/>
      <c r="MXX40" s="12"/>
      <c r="MXY40" s="12"/>
      <c r="MXZ40" s="12"/>
      <c r="MYA40" s="13"/>
      <c r="MYB40" s="9"/>
      <c r="MYC40" s="9"/>
      <c r="MYD40" s="9"/>
      <c r="MYE40" s="9"/>
      <c r="MYF40" s="10"/>
      <c r="MYG40" s="11"/>
      <c r="MYH40" s="12"/>
      <c r="MYI40" s="12"/>
      <c r="MYJ40" s="12"/>
      <c r="MYK40" s="13"/>
      <c r="MYL40" s="9"/>
      <c r="MYM40" s="9"/>
      <c r="MYN40" s="9"/>
      <c r="MYO40" s="9"/>
      <c r="MYP40" s="10"/>
      <c r="MYQ40" s="11"/>
      <c r="MYR40" s="12"/>
      <c r="MYS40" s="12"/>
      <c r="MYT40" s="12"/>
      <c r="MYU40" s="13"/>
      <c r="MYV40" s="9"/>
      <c r="MYW40" s="9"/>
      <c r="MYX40" s="9"/>
      <c r="MYY40" s="9"/>
      <c r="MYZ40" s="10"/>
      <c r="MZA40" s="11"/>
      <c r="MZB40" s="12"/>
      <c r="MZC40" s="12"/>
      <c r="MZD40" s="12"/>
      <c r="MZE40" s="13"/>
      <c r="MZF40" s="9"/>
      <c r="MZG40" s="9"/>
      <c r="MZH40" s="9"/>
      <c r="MZI40" s="9"/>
      <c r="MZJ40" s="10"/>
      <c r="MZK40" s="11"/>
      <c r="MZL40" s="12"/>
      <c r="MZM40" s="12"/>
      <c r="MZN40" s="12"/>
      <c r="MZO40" s="13"/>
      <c r="MZP40" s="9"/>
      <c r="MZQ40" s="9"/>
      <c r="MZR40" s="9"/>
      <c r="MZS40" s="9"/>
      <c r="MZT40" s="10"/>
      <c r="MZU40" s="11"/>
      <c r="MZV40" s="12"/>
      <c r="MZW40" s="12"/>
      <c r="MZX40" s="12"/>
      <c r="MZY40" s="13"/>
      <c r="MZZ40" s="9"/>
      <c r="NAA40" s="9"/>
      <c r="NAB40" s="9"/>
      <c r="NAC40" s="9"/>
      <c r="NAD40" s="10"/>
      <c r="NAE40" s="11"/>
      <c r="NAF40" s="12"/>
      <c r="NAG40" s="12"/>
      <c r="NAH40" s="12"/>
      <c r="NAI40" s="13"/>
      <c r="NAJ40" s="9"/>
      <c r="NAK40" s="9"/>
      <c r="NAL40" s="9"/>
      <c r="NAM40" s="9"/>
      <c r="NAN40" s="10"/>
      <c r="NAO40" s="11"/>
      <c r="NAP40" s="12"/>
      <c r="NAQ40" s="12"/>
      <c r="NAR40" s="12"/>
      <c r="NAS40" s="13"/>
      <c r="NAT40" s="9"/>
      <c r="NAU40" s="9"/>
      <c r="NAV40" s="9"/>
      <c r="NAW40" s="9"/>
      <c r="NAX40" s="10"/>
      <c r="NAY40" s="11"/>
      <c r="NAZ40" s="12"/>
      <c r="NBA40" s="12"/>
      <c r="NBB40" s="12"/>
      <c r="NBC40" s="13"/>
      <c r="NBD40" s="9"/>
      <c r="NBE40" s="9"/>
      <c r="NBF40" s="9"/>
      <c r="NBG40" s="9"/>
      <c r="NBH40" s="10"/>
      <c r="NBI40" s="11"/>
      <c r="NBJ40" s="12"/>
      <c r="NBK40" s="12"/>
      <c r="NBL40" s="12"/>
      <c r="NBM40" s="13"/>
      <c r="NBN40" s="9"/>
      <c r="NBO40" s="9"/>
      <c r="NBP40" s="9"/>
      <c r="NBQ40" s="9"/>
      <c r="NBR40" s="10"/>
      <c r="NBS40" s="11"/>
      <c r="NBT40" s="12"/>
      <c r="NBU40" s="12"/>
      <c r="NBV40" s="12"/>
      <c r="NBW40" s="13"/>
      <c r="NBX40" s="9"/>
      <c r="NBY40" s="9"/>
      <c r="NBZ40" s="9"/>
      <c r="NCA40" s="9"/>
      <c r="NCB40" s="10"/>
      <c r="NCC40" s="11"/>
      <c r="NCD40" s="12"/>
      <c r="NCE40" s="12"/>
      <c r="NCF40" s="12"/>
      <c r="NCG40" s="13"/>
      <c r="NCH40" s="9"/>
      <c r="NCI40" s="9"/>
      <c r="NCJ40" s="9"/>
      <c r="NCK40" s="9"/>
      <c r="NCL40" s="10"/>
      <c r="NCM40" s="11"/>
      <c r="NCN40" s="12"/>
      <c r="NCO40" s="12"/>
      <c r="NCP40" s="12"/>
      <c r="NCQ40" s="13"/>
      <c r="NCR40" s="9"/>
      <c r="NCS40" s="9"/>
      <c r="NCT40" s="9"/>
      <c r="NCU40" s="9"/>
      <c r="NCV40" s="10"/>
      <c r="NCW40" s="11"/>
      <c r="NCX40" s="12"/>
      <c r="NCY40" s="12"/>
      <c r="NCZ40" s="12"/>
      <c r="NDA40" s="13"/>
      <c r="NDB40" s="9"/>
      <c r="NDC40" s="9"/>
      <c r="NDD40" s="9"/>
      <c r="NDE40" s="9"/>
      <c r="NDF40" s="10"/>
      <c r="NDG40" s="11"/>
      <c r="NDH40" s="12"/>
      <c r="NDI40" s="12"/>
      <c r="NDJ40" s="12"/>
      <c r="NDK40" s="13"/>
      <c r="NDL40" s="9"/>
      <c r="NDM40" s="9"/>
      <c r="NDN40" s="9"/>
      <c r="NDO40" s="9"/>
      <c r="NDP40" s="10"/>
      <c r="NDQ40" s="11"/>
      <c r="NDR40" s="12"/>
      <c r="NDS40" s="12"/>
      <c r="NDT40" s="12"/>
      <c r="NDU40" s="13"/>
      <c r="NDV40" s="9"/>
      <c r="NDW40" s="9"/>
      <c r="NDX40" s="9"/>
      <c r="NDY40" s="9"/>
      <c r="NDZ40" s="10"/>
      <c r="NEA40" s="11"/>
      <c r="NEB40" s="12"/>
      <c r="NEC40" s="12"/>
      <c r="NED40" s="12"/>
      <c r="NEE40" s="13"/>
      <c r="NEF40" s="9"/>
      <c r="NEG40" s="9"/>
      <c r="NEH40" s="9"/>
      <c r="NEI40" s="9"/>
      <c r="NEJ40" s="10"/>
      <c r="NEK40" s="11"/>
      <c r="NEL40" s="12"/>
      <c r="NEM40" s="12"/>
      <c r="NEN40" s="12"/>
      <c r="NEO40" s="13"/>
      <c r="NEP40" s="9"/>
      <c r="NEQ40" s="9"/>
      <c r="NER40" s="9"/>
      <c r="NES40" s="9"/>
      <c r="NET40" s="10"/>
      <c r="NEU40" s="11"/>
      <c r="NEV40" s="12"/>
      <c r="NEW40" s="12"/>
      <c r="NEX40" s="12"/>
      <c r="NEY40" s="13"/>
      <c r="NEZ40" s="9"/>
      <c r="NFA40" s="9"/>
      <c r="NFB40" s="9"/>
      <c r="NFC40" s="9"/>
      <c r="NFD40" s="10"/>
      <c r="NFE40" s="11"/>
      <c r="NFF40" s="12"/>
      <c r="NFG40" s="12"/>
      <c r="NFH40" s="12"/>
      <c r="NFI40" s="13"/>
      <c r="NFJ40" s="9"/>
      <c r="NFK40" s="9"/>
      <c r="NFL40" s="9"/>
      <c r="NFM40" s="9"/>
      <c r="NFN40" s="10"/>
      <c r="NFO40" s="11"/>
      <c r="NFP40" s="12"/>
      <c r="NFQ40" s="12"/>
      <c r="NFR40" s="12"/>
      <c r="NFS40" s="13"/>
      <c r="NFT40" s="9"/>
      <c r="NFU40" s="9"/>
      <c r="NFV40" s="9"/>
      <c r="NFW40" s="9"/>
      <c r="NFX40" s="10"/>
      <c r="NFY40" s="11"/>
      <c r="NFZ40" s="12"/>
      <c r="NGA40" s="12"/>
      <c r="NGB40" s="12"/>
      <c r="NGC40" s="13"/>
      <c r="NGD40" s="9"/>
      <c r="NGE40" s="9"/>
      <c r="NGF40" s="9"/>
      <c r="NGG40" s="9"/>
      <c r="NGH40" s="10"/>
      <c r="NGI40" s="11"/>
      <c r="NGJ40" s="12"/>
      <c r="NGK40" s="12"/>
      <c r="NGL40" s="12"/>
      <c r="NGM40" s="13"/>
      <c r="NGN40" s="9"/>
      <c r="NGO40" s="9"/>
      <c r="NGP40" s="9"/>
      <c r="NGQ40" s="9"/>
      <c r="NGR40" s="10"/>
      <c r="NGS40" s="11"/>
      <c r="NGT40" s="12"/>
      <c r="NGU40" s="12"/>
      <c r="NGV40" s="12"/>
      <c r="NGW40" s="13"/>
      <c r="NGX40" s="9"/>
      <c r="NGY40" s="9"/>
      <c r="NGZ40" s="9"/>
      <c r="NHA40" s="9"/>
      <c r="NHB40" s="10"/>
      <c r="NHC40" s="11"/>
      <c r="NHD40" s="12"/>
      <c r="NHE40" s="12"/>
      <c r="NHF40" s="12"/>
      <c r="NHG40" s="13"/>
      <c r="NHH40" s="9"/>
      <c r="NHI40" s="9"/>
      <c r="NHJ40" s="9"/>
      <c r="NHK40" s="9"/>
      <c r="NHL40" s="10"/>
      <c r="NHM40" s="11"/>
      <c r="NHN40" s="12"/>
      <c r="NHO40" s="12"/>
      <c r="NHP40" s="12"/>
      <c r="NHQ40" s="13"/>
      <c r="NHR40" s="9"/>
      <c r="NHS40" s="9"/>
      <c r="NHT40" s="9"/>
      <c r="NHU40" s="9"/>
      <c r="NHV40" s="10"/>
      <c r="NHW40" s="11"/>
      <c r="NHX40" s="12"/>
      <c r="NHY40" s="12"/>
      <c r="NHZ40" s="12"/>
      <c r="NIA40" s="13"/>
      <c r="NIB40" s="9"/>
      <c r="NIC40" s="9"/>
      <c r="NID40" s="9"/>
      <c r="NIE40" s="9"/>
      <c r="NIF40" s="10"/>
      <c r="NIG40" s="11"/>
      <c r="NIH40" s="12"/>
      <c r="NII40" s="12"/>
      <c r="NIJ40" s="12"/>
      <c r="NIK40" s="13"/>
      <c r="NIL40" s="9"/>
      <c r="NIM40" s="9"/>
      <c r="NIN40" s="9"/>
      <c r="NIO40" s="9"/>
      <c r="NIP40" s="10"/>
      <c r="NIQ40" s="11"/>
      <c r="NIR40" s="12"/>
      <c r="NIS40" s="12"/>
      <c r="NIT40" s="12"/>
      <c r="NIU40" s="13"/>
      <c r="NIV40" s="9"/>
      <c r="NIW40" s="9"/>
      <c r="NIX40" s="9"/>
      <c r="NIY40" s="9"/>
      <c r="NIZ40" s="10"/>
      <c r="NJA40" s="11"/>
      <c r="NJB40" s="12"/>
      <c r="NJC40" s="12"/>
      <c r="NJD40" s="12"/>
      <c r="NJE40" s="13"/>
      <c r="NJF40" s="9"/>
      <c r="NJG40" s="9"/>
      <c r="NJH40" s="9"/>
      <c r="NJI40" s="9"/>
      <c r="NJJ40" s="10"/>
      <c r="NJK40" s="11"/>
      <c r="NJL40" s="12"/>
      <c r="NJM40" s="12"/>
      <c r="NJN40" s="12"/>
      <c r="NJO40" s="13"/>
      <c r="NJP40" s="9"/>
      <c r="NJQ40" s="9"/>
      <c r="NJR40" s="9"/>
      <c r="NJS40" s="9"/>
      <c r="NJT40" s="10"/>
      <c r="NJU40" s="11"/>
      <c r="NJV40" s="12"/>
      <c r="NJW40" s="12"/>
      <c r="NJX40" s="12"/>
      <c r="NJY40" s="13"/>
      <c r="NJZ40" s="9"/>
      <c r="NKA40" s="9"/>
      <c r="NKB40" s="9"/>
      <c r="NKC40" s="9"/>
      <c r="NKD40" s="10"/>
      <c r="NKE40" s="11"/>
      <c r="NKF40" s="12"/>
      <c r="NKG40" s="12"/>
      <c r="NKH40" s="12"/>
      <c r="NKI40" s="13"/>
      <c r="NKJ40" s="9"/>
      <c r="NKK40" s="9"/>
      <c r="NKL40" s="9"/>
      <c r="NKM40" s="9"/>
      <c r="NKN40" s="10"/>
      <c r="NKO40" s="11"/>
      <c r="NKP40" s="12"/>
      <c r="NKQ40" s="12"/>
      <c r="NKR40" s="12"/>
      <c r="NKS40" s="13"/>
      <c r="NKT40" s="9"/>
      <c r="NKU40" s="9"/>
      <c r="NKV40" s="9"/>
      <c r="NKW40" s="9"/>
      <c r="NKX40" s="10"/>
      <c r="NKY40" s="11"/>
      <c r="NKZ40" s="12"/>
      <c r="NLA40" s="12"/>
      <c r="NLB40" s="12"/>
      <c r="NLC40" s="13"/>
      <c r="NLD40" s="9"/>
      <c r="NLE40" s="9"/>
      <c r="NLF40" s="9"/>
      <c r="NLG40" s="9"/>
      <c r="NLH40" s="10"/>
      <c r="NLI40" s="11"/>
      <c r="NLJ40" s="12"/>
      <c r="NLK40" s="12"/>
      <c r="NLL40" s="12"/>
      <c r="NLM40" s="13"/>
      <c r="NLN40" s="9"/>
      <c r="NLO40" s="9"/>
      <c r="NLP40" s="9"/>
      <c r="NLQ40" s="9"/>
      <c r="NLR40" s="10"/>
      <c r="NLS40" s="11"/>
      <c r="NLT40" s="12"/>
      <c r="NLU40" s="12"/>
      <c r="NLV40" s="12"/>
      <c r="NLW40" s="13"/>
      <c r="NLX40" s="9"/>
      <c r="NLY40" s="9"/>
      <c r="NLZ40" s="9"/>
      <c r="NMA40" s="9"/>
      <c r="NMB40" s="10"/>
      <c r="NMC40" s="11"/>
      <c r="NMD40" s="12"/>
      <c r="NME40" s="12"/>
      <c r="NMF40" s="12"/>
      <c r="NMG40" s="13"/>
      <c r="NMH40" s="9"/>
      <c r="NMI40" s="9"/>
      <c r="NMJ40" s="9"/>
      <c r="NMK40" s="9"/>
      <c r="NML40" s="10"/>
      <c r="NMM40" s="11"/>
      <c r="NMN40" s="12"/>
      <c r="NMO40" s="12"/>
      <c r="NMP40" s="12"/>
      <c r="NMQ40" s="13"/>
      <c r="NMR40" s="9"/>
      <c r="NMS40" s="9"/>
      <c r="NMT40" s="9"/>
      <c r="NMU40" s="9"/>
      <c r="NMV40" s="10"/>
      <c r="NMW40" s="11"/>
      <c r="NMX40" s="12"/>
      <c r="NMY40" s="12"/>
      <c r="NMZ40" s="12"/>
      <c r="NNA40" s="13"/>
      <c r="NNB40" s="9"/>
      <c r="NNC40" s="9"/>
      <c r="NND40" s="9"/>
      <c r="NNE40" s="9"/>
      <c r="NNF40" s="10"/>
      <c r="NNG40" s="11"/>
      <c r="NNH40" s="12"/>
      <c r="NNI40" s="12"/>
      <c r="NNJ40" s="12"/>
      <c r="NNK40" s="13"/>
      <c r="NNL40" s="9"/>
      <c r="NNM40" s="9"/>
      <c r="NNN40" s="9"/>
      <c r="NNO40" s="9"/>
      <c r="NNP40" s="10"/>
      <c r="NNQ40" s="11"/>
      <c r="NNR40" s="12"/>
      <c r="NNS40" s="12"/>
      <c r="NNT40" s="12"/>
      <c r="NNU40" s="13"/>
      <c r="NNV40" s="9"/>
      <c r="NNW40" s="9"/>
      <c r="NNX40" s="9"/>
      <c r="NNY40" s="9"/>
      <c r="NNZ40" s="10"/>
      <c r="NOA40" s="11"/>
      <c r="NOB40" s="12"/>
      <c r="NOC40" s="12"/>
      <c r="NOD40" s="12"/>
      <c r="NOE40" s="13"/>
      <c r="NOF40" s="9"/>
      <c r="NOG40" s="9"/>
      <c r="NOH40" s="9"/>
      <c r="NOI40" s="9"/>
      <c r="NOJ40" s="10"/>
      <c r="NOK40" s="11"/>
      <c r="NOL40" s="12"/>
      <c r="NOM40" s="12"/>
      <c r="NON40" s="12"/>
      <c r="NOO40" s="13"/>
      <c r="NOP40" s="9"/>
      <c r="NOQ40" s="9"/>
      <c r="NOR40" s="9"/>
      <c r="NOS40" s="9"/>
      <c r="NOT40" s="10"/>
      <c r="NOU40" s="11"/>
      <c r="NOV40" s="12"/>
      <c r="NOW40" s="12"/>
      <c r="NOX40" s="12"/>
      <c r="NOY40" s="13"/>
      <c r="NOZ40" s="9"/>
      <c r="NPA40" s="9"/>
      <c r="NPB40" s="9"/>
      <c r="NPC40" s="9"/>
      <c r="NPD40" s="10"/>
      <c r="NPE40" s="11"/>
      <c r="NPF40" s="12"/>
      <c r="NPG40" s="12"/>
      <c r="NPH40" s="12"/>
      <c r="NPI40" s="13"/>
      <c r="NPJ40" s="9"/>
      <c r="NPK40" s="9"/>
      <c r="NPL40" s="9"/>
      <c r="NPM40" s="9"/>
      <c r="NPN40" s="10"/>
      <c r="NPO40" s="11"/>
      <c r="NPP40" s="12"/>
      <c r="NPQ40" s="12"/>
      <c r="NPR40" s="12"/>
      <c r="NPS40" s="13"/>
      <c r="NPT40" s="9"/>
      <c r="NPU40" s="9"/>
      <c r="NPV40" s="9"/>
      <c r="NPW40" s="9"/>
      <c r="NPX40" s="10"/>
      <c r="NPY40" s="11"/>
      <c r="NPZ40" s="12"/>
      <c r="NQA40" s="12"/>
      <c r="NQB40" s="12"/>
      <c r="NQC40" s="13"/>
      <c r="NQD40" s="9"/>
      <c r="NQE40" s="9"/>
      <c r="NQF40" s="9"/>
      <c r="NQG40" s="9"/>
      <c r="NQH40" s="10"/>
      <c r="NQI40" s="11"/>
      <c r="NQJ40" s="12"/>
      <c r="NQK40" s="12"/>
      <c r="NQL40" s="12"/>
      <c r="NQM40" s="13"/>
      <c r="NQN40" s="9"/>
      <c r="NQO40" s="9"/>
      <c r="NQP40" s="9"/>
      <c r="NQQ40" s="9"/>
      <c r="NQR40" s="10"/>
      <c r="NQS40" s="11"/>
      <c r="NQT40" s="12"/>
      <c r="NQU40" s="12"/>
      <c r="NQV40" s="12"/>
      <c r="NQW40" s="13"/>
      <c r="NQX40" s="9"/>
      <c r="NQY40" s="9"/>
      <c r="NQZ40" s="9"/>
      <c r="NRA40" s="9"/>
      <c r="NRB40" s="10"/>
      <c r="NRC40" s="11"/>
      <c r="NRD40" s="12"/>
      <c r="NRE40" s="12"/>
      <c r="NRF40" s="12"/>
      <c r="NRG40" s="13"/>
      <c r="NRH40" s="9"/>
      <c r="NRI40" s="9"/>
      <c r="NRJ40" s="9"/>
      <c r="NRK40" s="9"/>
      <c r="NRL40" s="10"/>
      <c r="NRM40" s="11"/>
      <c r="NRN40" s="12"/>
      <c r="NRO40" s="12"/>
      <c r="NRP40" s="12"/>
      <c r="NRQ40" s="13"/>
      <c r="NRR40" s="9"/>
      <c r="NRS40" s="9"/>
      <c r="NRT40" s="9"/>
      <c r="NRU40" s="9"/>
      <c r="NRV40" s="10"/>
      <c r="NRW40" s="11"/>
      <c r="NRX40" s="12"/>
      <c r="NRY40" s="12"/>
      <c r="NRZ40" s="12"/>
      <c r="NSA40" s="13"/>
      <c r="NSB40" s="9"/>
      <c r="NSC40" s="9"/>
      <c r="NSD40" s="9"/>
      <c r="NSE40" s="9"/>
      <c r="NSF40" s="10"/>
      <c r="NSG40" s="11"/>
      <c r="NSH40" s="12"/>
      <c r="NSI40" s="12"/>
      <c r="NSJ40" s="12"/>
      <c r="NSK40" s="13"/>
      <c r="NSL40" s="9"/>
      <c r="NSM40" s="9"/>
      <c r="NSN40" s="9"/>
      <c r="NSO40" s="9"/>
      <c r="NSP40" s="10"/>
      <c r="NSQ40" s="11"/>
      <c r="NSR40" s="12"/>
      <c r="NSS40" s="12"/>
      <c r="NST40" s="12"/>
      <c r="NSU40" s="13"/>
      <c r="NSV40" s="9"/>
      <c r="NSW40" s="9"/>
      <c r="NSX40" s="9"/>
      <c r="NSY40" s="9"/>
      <c r="NSZ40" s="10"/>
      <c r="NTA40" s="11"/>
      <c r="NTB40" s="12"/>
      <c r="NTC40" s="12"/>
      <c r="NTD40" s="12"/>
      <c r="NTE40" s="13"/>
      <c r="NTF40" s="9"/>
      <c r="NTG40" s="9"/>
      <c r="NTH40" s="9"/>
      <c r="NTI40" s="9"/>
      <c r="NTJ40" s="10"/>
      <c r="NTK40" s="11"/>
      <c r="NTL40" s="12"/>
      <c r="NTM40" s="12"/>
      <c r="NTN40" s="12"/>
      <c r="NTO40" s="13"/>
      <c r="NTP40" s="9"/>
      <c r="NTQ40" s="9"/>
      <c r="NTR40" s="9"/>
      <c r="NTS40" s="9"/>
      <c r="NTT40" s="10"/>
      <c r="NTU40" s="11"/>
      <c r="NTV40" s="12"/>
      <c r="NTW40" s="12"/>
      <c r="NTX40" s="12"/>
      <c r="NTY40" s="13"/>
      <c r="NTZ40" s="9"/>
      <c r="NUA40" s="9"/>
      <c r="NUB40" s="9"/>
      <c r="NUC40" s="9"/>
      <c r="NUD40" s="10"/>
      <c r="NUE40" s="11"/>
      <c r="NUF40" s="12"/>
      <c r="NUG40" s="12"/>
      <c r="NUH40" s="12"/>
      <c r="NUI40" s="13"/>
      <c r="NUJ40" s="9"/>
      <c r="NUK40" s="9"/>
      <c r="NUL40" s="9"/>
      <c r="NUM40" s="9"/>
      <c r="NUN40" s="10"/>
      <c r="NUO40" s="11"/>
      <c r="NUP40" s="12"/>
      <c r="NUQ40" s="12"/>
      <c r="NUR40" s="12"/>
      <c r="NUS40" s="13"/>
      <c r="NUT40" s="9"/>
      <c r="NUU40" s="9"/>
      <c r="NUV40" s="9"/>
      <c r="NUW40" s="9"/>
      <c r="NUX40" s="10"/>
      <c r="NUY40" s="11"/>
      <c r="NUZ40" s="12"/>
      <c r="NVA40" s="12"/>
      <c r="NVB40" s="12"/>
      <c r="NVC40" s="13"/>
      <c r="NVD40" s="9"/>
      <c r="NVE40" s="9"/>
      <c r="NVF40" s="9"/>
      <c r="NVG40" s="9"/>
      <c r="NVH40" s="10"/>
      <c r="NVI40" s="11"/>
      <c r="NVJ40" s="12"/>
      <c r="NVK40" s="12"/>
      <c r="NVL40" s="12"/>
      <c r="NVM40" s="13"/>
      <c r="NVN40" s="9"/>
      <c r="NVO40" s="9"/>
      <c r="NVP40" s="9"/>
      <c r="NVQ40" s="9"/>
      <c r="NVR40" s="10"/>
      <c r="NVS40" s="11"/>
      <c r="NVT40" s="12"/>
      <c r="NVU40" s="12"/>
      <c r="NVV40" s="12"/>
      <c r="NVW40" s="13"/>
      <c r="NVX40" s="9"/>
      <c r="NVY40" s="9"/>
      <c r="NVZ40" s="9"/>
      <c r="NWA40" s="9"/>
      <c r="NWB40" s="10"/>
      <c r="NWC40" s="11"/>
      <c r="NWD40" s="12"/>
      <c r="NWE40" s="12"/>
      <c r="NWF40" s="12"/>
      <c r="NWG40" s="13"/>
      <c r="NWH40" s="9"/>
      <c r="NWI40" s="9"/>
      <c r="NWJ40" s="9"/>
      <c r="NWK40" s="9"/>
      <c r="NWL40" s="10"/>
      <c r="NWM40" s="11"/>
      <c r="NWN40" s="12"/>
      <c r="NWO40" s="12"/>
      <c r="NWP40" s="12"/>
      <c r="NWQ40" s="13"/>
      <c r="NWR40" s="9"/>
      <c r="NWS40" s="9"/>
      <c r="NWT40" s="9"/>
      <c r="NWU40" s="9"/>
      <c r="NWV40" s="10"/>
      <c r="NWW40" s="11"/>
      <c r="NWX40" s="12"/>
      <c r="NWY40" s="12"/>
      <c r="NWZ40" s="12"/>
      <c r="NXA40" s="13"/>
      <c r="NXB40" s="9"/>
      <c r="NXC40" s="9"/>
      <c r="NXD40" s="9"/>
      <c r="NXE40" s="9"/>
      <c r="NXF40" s="10"/>
      <c r="NXG40" s="11"/>
      <c r="NXH40" s="12"/>
      <c r="NXI40" s="12"/>
      <c r="NXJ40" s="12"/>
      <c r="NXK40" s="13"/>
      <c r="NXL40" s="9"/>
      <c r="NXM40" s="9"/>
      <c r="NXN40" s="9"/>
      <c r="NXO40" s="9"/>
      <c r="NXP40" s="10"/>
      <c r="NXQ40" s="11"/>
      <c r="NXR40" s="12"/>
      <c r="NXS40" s="12"/>
      <c r="NXT40" s="12"/>
      <c r="NXU40" s="13"/>
      <c r="NXV40" s="9"/>
      <c r="NXW40" s="9"/>
      <c r="NXX40" s="9"/>
      <c r="NXY40" s="9"/>
      <c r="NXZ40" s="10"/>
      <c r="NYA40" s="11"/>
      <c r="NYB40" s="12"/>
      <c r="NYC40" s="12"/>
      <c r="NYD40" s="12"/>
      <c r="NYE40" s="13"/>
      <c r="NYF40" s="9"/>
      <c r="NYG40" s="9"/>
      <c r="NYH40" s="9"/>
      <c r="NYI40" s="9"/>
      <c r="NYJ40" s="10"/>
      <c r="NYK40" s="11"/>
      <c r="NYL40" s="12"/>
      <c r="NYM40" s="12"/>
      <c r="NYN40" s="12"/>
      <c r="NYO40" s="13"/>
      <c r="NYP40" s="9"/>
      <c r="NYQ40" s="9"/>
      <c r="NYR40" s="9"/>
      <c r="NYS40" s="9"/>
      <c r="NYT40" s="10"/>
      <c r="NYU40" s="11"/>
      <c r="NYV40" s="12"/>
      <c r="NYW40" s="12"/>
      <c r="NYX40" s="12"/>
      <c r="NYY40" s="13"/>
      <c r="NYZ40" s="9"/>
      <c r="NZA40" s="9"/>
      <c r="NZB40" s="9"/>
      <c r="NZC40" s="9"/>
      <c r="NZD40" s="10"/>
      <c r="NZE40" s="11"/>
      <c r="NZF40" s="12"/>
      <c r="NZG40" s="12"/>
      <c r="NZH40" s="12"/>
      <c r="NZI40" s="13"/>
      <c r="NZJ40" s="9"/>
      <c r="NZK40" s="9"/>
      <c r="NZL40" s="9"/>
      <c r="NZM40" s="9"/>
      <c r="NZN40" s="10"/>
      <c r="NZO40" s="11"/>
      <c r="NZP40" s="12"/>
      <c r="NZQ40" s="12"/>
      <c r="NZR40" s="12"/>
      <c r="NZS40" s="13"/>
      <c r="NZT40" s="9"/>
      <c r="NZU40" s="9"/>
      <c r="NZV40" s="9"/>
      <c r="NZW40" s="9"/>
      <c r="NZX40" s="10"/>
      <c r="NZY40" s="11"/>
      <c r="NZZ40" s="12"/>
      <c r="OAA40" s="12"/>
      <c r="OAB40" s="12"/>
      <c r="OAC40" s="13"/>
      <c r="OAD40" s="9"/>
      <c r="OAE40" s="9"/>
      <c r="OAF40" s="9"/>
      <c r="OAG40" s="9"/>
      <c r="OAH40" s="10"/>
      <c r="OAI40" s="11"/>
      <c r="OAJ40" s="12"/>
      <c r="OAK40" s="12"/>
      <c r="OAL40" s="12"/>
      <c r="OAM40" s="13"/>
      <c r="OAN40" s="9"/>
      <c r="OAO40" s="9"/>
      <c r="OAP40" s="9"/>
      <c r="OAQ40" s="9"/>
      <c r="OAR40" s="10"/>
      <c r="OAS40" s="11"/>
      <c r="OAT40" s="12"/>
      <c r="OAU40" s="12"/>
      <c r="OAV40" s="12"/>
      <c r="OAW40" s="13"/>
      <c r="OAX40" s="9"/>
      <c r="OAY40" s="9"/>
      <c r="OAZ40" s="9"/>
      <c r="OBA40" s="9"/>
      <c r="OBB40" s="10"/>
      <c r="OBC40" s="11"/>
      <c r="OBD40" s="12"/>
      <c r="OBE40" s="12"/>
      <c r="OBF40" s="12"/>
      <c r="OBG40" s="13"/>
      <c r="OBH40" s="9"/>
      <c r="OBI40" s="9"/>
      <c r="OBJ40" s="9"/>
      <c r="OBK40" s="9"/>
      <c r="OBL40" s="10"/>
      <c r="OBM40" s="11"/>
      <c r="OBN40" s="12"/>
      <c r="OBO40" s="12"/>
      <c r="OBP40" s="12"/>
      <c r="OBQ40" s="13"/>
      <c r="OBR40" s="9"/>
      <c r="OBS40" s="9"/>
      <c r="OBT40" s="9"/>
      <c r="OBU40" s="9"/>
      <c r="OBV40" s="10"/>
      <c r="OBW40" s="11"/>
      <c r="OBX40" s="12"/>
      <c r="OBY40" s="12"/>
      <c r="OBZ40" s="12"/>
      <c r="OCA40" s="13"/>
      <c r="OCB40" s="9"/>
      <c r="OCC40" s="9"/>
      <c r="OCD40" s="9"/>
      <c r="OCE40" s="9"/>
      <c r="OCF40" s="10"/>
      <c r="OCG40" s="11"/>
      <c r="OCH40" s="12"/>
      <c r="OCI40" s="12"/>
      <c r="OCJ40" s="12"/>
      <c r="OCK40" s="13"/>
      <c r="OCL40" s="9"/>
      <c r="OCM40" s="9"/>
      <c r="OCN40" s="9"/>
      <c r="OCO40" s="9"/>
      <c r="OCP40" s="10"/>
      <c r="OCQ40" s="11"/>
      <c r="OCR40" s="12"/>
      <c r="OCS40" s="12"/>
      <c r="OCT40" s="12"/>
      <c r="OCU40" s="13"/>
      <c r="OCV40" s="9"/>
      <c r="OCW40" s="9"/>
      <c r="OCX40" s="9"/>
      <c r="OCY40" s="9"/>
      <c r="OCZ40" s="10"/>
      <c r="ODA40" s="11"/>
      <c r="ODB40" s="12"/>
      <c r="ODC40" s="12"/>
      <c r="ODD40" s="12"/>
      <c r="ODE40" s="13"/>
      <c r="ODF40" s="9"/>
      <c r="ODG40" s="9"/>
      <c r="ODH40" s="9"/>
      <c r="ODI40" s="9"/>
      <c r="ODJ40" s="10"/>
      <c r="ODK40" s="11"/>
      <c r="ODL40" s="12"/>
      <c r="ODM40" s="12"/>
      <c r="ODN40" s="12"/>
      <c r="ODO40" s="13"/>
      <c r="ODP40" s="9"/>
      <c r="ODQ40" s="9"/>
      <c r="ODR40" s="9"/>
      <c r="ODS40" s="9"/>
      <c r="ODT40" s="10"/>
      <c r="ODU40" s="11"/>
      <c r="ODV40" s="12"/>
      <c r="ODW40" s="12"/>
      <c r="ODX40" s="12"/>
      <c r="ODY40" s="13"/>
      <c r="ODZ40" s="9"/>
      <c r="OEA40" s="9"/>
      <c r="OEB40" s="9"/>
      <c r="OEC40" s="9"/>
      <c r="OED40" s="10"/>
      <c r="OEE40" s="11"/>
      <c r="OEF40" s="12"/>
      <c r="OEG40" s="12"/>
      <c r="OEH40" s="12"/>
      <c r="OEI40" s="13"/>
      <c r="OEJ40" s="9"/>
      <c r="OEK40" s="9"/>
      <c r="OEL40" s="9"/>
      <c r="OEM40" s="9"/>
      <c r="OEN40" s="10"/>
      <c r="OEO40" s="11"/>
      <c r="OEP40" s="12"/>
      <c r="OEQ40" s="12"/>
      <c r="OER40" s="12"/>
      <c r="OES40" s="13"/>
      <c r="OET40" s="9"/>
      <c r="OEU40" s="9"/>
      <c r="OEV40" s="9"/>
      <c r="OEW40" s="9"/>
      <c r="OEX40" s="10"/>
      <c r="OEY40" s="11"/>
      <c r="OEZ40" s="12"/>
      <c r="OFA40" s="12"/>
      <c r="OFB40" s="12"/>
      <c r="OFC40" s="13"/>
      <c r="OFD40" s="9"/>
      <c r="OFE40" s="9"/>
      <c r="OFF40" s="9"/>
      <c r="OFG40" s="9"/>
      <c r="OFH40" s="10"/>
      <c r="OFI40" s="11"/>
      <c r="OFJ40" s="12"/>
      <c r="OFK40" s="12"/>
      <c r="OFL40" s="12"/>
      <c r="OFM40" s="13"/>
      <c r="OFN40" s="9"/>
      <c r="OFO40" s="9"/>
      <c r="OFP40" s="9"/>
      <c r="OFQ40" s="9"/>
      <c r="OFR40" s="10"/>
      <c r="OFS40" s="11"/>
      <c r="OFT40" s="12"/>
      <c r="OFU40" s="12"/>
      <c r="OFV40" s="12"/>
      <c r="OFW40" s="13"/>
      <c r="OFX40" s="9"/>
      <c r="OFY40" s="9"/>
      <c r="OFZ40" s="9"/>
      <c r="OGA40" s="9"/>
      <c r="OGB40" s="10"/>
      <c r="OGC40" s="11"/>
      <c r="OGD40" s="12"/>
      <c r="OGE40" s="12"/>
      <c r="OGF40" s="12"/>
      <c r="OGG40" s="13"/>
      <c r="OGH40" s="9"/>
      <c r="OGI40" s="9"/>
      <c r="OGJ40" s="9"/>
      <c r="OGK40" s="9"/>
      <c r="OGL40" s="10"/>
      <c r="OGM40" s="11"/>
      <c r="OGN40" s="12"/>
      <c r="OGO40" s="12"/>
      <c r="OGP40" s="12"/>
      <c r="OGQ40" s="13"/>
      <c r="OGR40" s="9"/>
      <c r="OGS40" s="9"/>
      <c r="OGT40" s="9"/>
      <c r="OGU40" s="9"/>
      <c r="OGV40" s="10"/>
      <c r="OGW40" s="11"/>
      <c r="OGX40" s="12"/>
      <c r="OGY40" s="12"/>
      <c r="OGZ40" s="12"/>
      <c r="OHA40" s="13"/>
      <c r="OHB40" s="9"/>
      <c r="OHC40" s="9"/>
      <c r="OHD40" s="9"/>
      <c r="OHE40" s="9"/>
      <c r="OHF40" s="10"/>
      <c r="OHG40" s="11"/>
      <c r="OHH40" s="12"/>
      <c r="OHI40" s="12"/>
      <c r="OHJ40" s="12"/>
      <c r="OHK40" s="13"/>
      <c r="OHL40" s="9"/>
      <c r="OHM40" s="9"/>
      <c r="OHN40" s="9"/>
      <c r="OHO40" s="9"/>
      <c r="OHP40" s="10"/>
      <c r="OHQ40" s="11"/>
      <c r="OHR40" s="12"/>
      <c r="OHS40" s="12"/>
      <c r="OHT40" s="12"/>
      <c r="OHU40" s="13"/>
      <c r="OHV40" s="9"/>
      <c r="OHW40" s="9"/>
      <c r="OHX40" s="9"/>
      <c r="OHY40" s="9"/>
      <c r="OHZ40" s="10"/>
      <c r="OIA40" s="11"/>
      <c r="OIB40" s="12"/>
      <c r="OIC40" s="12"/>
      <c r="OID40" s="12"/>
      <c r="OIE40" s="13"/>
      <c r="OIF40" s="9"/>
      <c r="OIG40" s="9"/>
      <c r="OIH40" s="9"/>
      <c r="OII40" s="9"/>
      <c r="OIJ40" s="10"/>
      <c r="OIK40" s="11"/>
      <c r="OIL40" s="12"/>
      <c r="OIM40" s="12"/>
      <c r="OIN40" s="12"/>
      <c r="OIO40" s="13"/>
      <c r="OIP40" s="9"/>
      <c r="OIQ40" s="9"/>
      <c r="OIR40" s="9"/>
      <c r="OIS40" s="9"/>
      <c r="OIT40" s="10"/>
      <c r="OIU40" s="11"/>
      <c r="OIV40" s="12"/>
      <c r="OIW40" s="12"/>
      <c r="OIX40" s="12"/>
      <c r="OIY40" s="13"/>
      <c r="OIZ40" s="9"/>
      <c r="OJA40" s="9"/>
      <c r="OJB40" s="9"/>
      <c r="OJC40" s="9"/>
      <c r="OJD40" s="10"/>
      <c r="OJE40" s="11"/>
      <c r="OJF40" s="12"/>
      <c r="OJG40" s="12"/>
      <c r="OJH40" s="12"/>
      <c r="OJI40" s="13"/>
      <c r="OJJ40" s="9"/>
      <c r="OJK40" s="9"/>
      <c r="OJL40" s="9"/>
      <c r="OJM40" s="9"/>
      <c r="OJN40" s="10"/>
      <c r="OJO40" s="11"/>
      <c r="OJP40" s="12"/>
      <c r="OJQ40" s="12"/>
      <c r="OJR40" s="12"/>
      <c r="OJS40" s="13"/>
      <c r="OJT40" s="9"/>
      <c r="OJU40" s="9"/>
      <c r="OJV40" s="9"/>
      <c r="OJW40" s="9"/>
      <c r="OJX40" s="10"/>
      <c r="OJY40" s="11"/>
      <c r="OJZ40" s="12"/>
      <c r="OKA40" s="12"/>
      <c r="OKB40" s="12"/>
      <c r="OKC40" s="13"/>
      <c r="OKD40" s="9"/>
      <c r="OKE40" s="9"/>
      <c r="OKF40" s="9"/>
      <c r="OKG40" s="9"/>
      <c r="OKH40" s="10"/>
      <c r="OKI40" s="11"/>
      <c r="OKJ40" s="12"/>
      <c r="OKK40" s="12"/>
      <c r="OKL40" s="12"/>
      <c r="OKM40" s="13"/>
      <c r="OKN40" s="9"/>
      <c r="OKO40" s="9"/>
      <c r="OKP40" s="9"/>
      <c r="OKQ40" s="9"/>
      <c r="OKR40" s="10"/>
      <c r="OKS40" s="11"/>
      <c r="OKT40" s="12"/>
      <c r="OKU40" s="12"/>
      <c r="OKV40" s="12"/>
      <c r="OKW40" s="13"/>
      <c r="OKX40" s="9"/>
      <c r="OKY40" s="9"/>
      <c r="OKZ40" s="9"/>
      <c r="OLA40" s="9"/>
      <c r="OLB40" s="10"/>
      <c r="OLC40" s="11"/>
      <c r="OLD40" s="12"/>
      <c r="OLE40" s="12"/>
      <c r="OLF40" s="12"/>
      <c r="OLG40" s="13"/>
      <c r="OLH40" s="9"/>
      <c r="OLI40" s="9"/>
      <c r="OLJ40" s="9"/>
      <c r="OLK40" s="9"/>
      <c r="OLL40" s="10"/>
      <c r="OLM40" s="11"/>
      <c r="OLN40" s="12"/>
      <c r="OLO40" s="12"/>
      <c r="OLP40" s="12"/>
      <c r="OLQ40" s="13"/>
      <c r="OLR40" s="9"/>
      <c r="OLS40" s="9"/>
      <c r="OLT40" s="9"/>
      <c r="OLU40" s="9"/>
      <c r="OLV40" s="10"/>
      <c r="OLW40" s="11"/>
      <c r="OLX40" s="12"/>
      <c r="OLY40" s="12"/>
      <c r="OLZ40" s="12"/>
      <c r="OMA40" s="13"/>
      <c r="OMB40" s="9"/>
      <c r="OMC40" s="9"/>
      <c r="OMD40" s="9"/>
      <c r="OME40" s="9"/>
      <c r="OMF40" s="10"/>
      <c r="OMG40" s="11"/>
      <c r="OMH40" s="12"/>
      <c r="OMI40" s="12"/>
      <c r="OMJ40" s="12"/>
      <c r="OMK40" s="13"/>
      <c r="OML40" s="9"/>
      <c r="OMM40" s="9"/>
      <c r="OMN40" s="9"/>
      <c r="OMO40" s="9"/>
      <c r="OMP40" s="10"/>
      <c r="OMQ40" s="11"/>
      <c r="OMR40" s="12"/>
      <c r="OMS40" s="12"/>
      <c r="OMT40" s="12"/>
      <c r="OMU40" s="13"/>
      <c r="OMV40" s="9"/>
      <c r="OMW40" s="9"/>
      <c r="OMX40" s="9"/>
      <c r="OMY40" s="9"/>
      <c r="OMZ40" s="10"/>
      <c r="ONA40" s="11"/>
      <c r="ONB40" s="12"/>
      <c r="ONC40" s="12"/>
      <c r="OND40" s="12"/>
      <c r="ONE40" s="13"/>
      <c r="ONF40" s="9"/>
      <c r="ONG40" s="9"/>
      <c r="ONH40" s="9"/>
      <c r="ONI40" s="9"/>
      <c r="ONJ40" s="10"/>
      <c r="ONK40" s="11"/>
      <c r="ONL40" s="12"/>
      <c r="ONM40" s="12"/>
      <c r="ONN40" s="12"/>
      <c r="ONO40" s="13"/>
      <c r="ONP40" s="9"/>
      <c r="ONQ40" s="9"/>
      <c r="ONR40" s="9"/>
      <c r="ONS40" s="9"/>
      <c r="ONT40" s="10"/>
      <c r="ONU40" s="11"/>
      <c r="ONV40" s="12"/>
      <c r="ONW40" s="12"/>
      <c r="ONX40" s="12"/>
      <c r="ONY40" s="13"/>
      <c r="ONZ40" s="9"/>
      <c r="OOA40" s="9"/>
      <c r="OOB40" s="9"/>
      <c r="OOC40" s="9"/>
      <c r="OOD40" s="10"/>
      <c r="OOE40" s="11"/>
      <c r="OOF40" s="12"/>
      <c r="OOG40" s="12"/>
      <c r="OOH40" s="12"/>
      <c r="OOI40" s="13"/>
      <c r="OOJ40" s="9"/>
      <c r="OOK40" s="9"/>
      <c r="OOL40" s="9"/>
      <c r="OOM40" s="9"/>
      <c r="OON40" s="10"/>
      <c r="OOO40" s="11"/>
      <c r="OOP40" s="12"/>
      <c r="OOQ40" s="12"/>
      <c r="OOR40" s="12"/>
      <c r="OOS40" s="13"/>
      <c r="OOT40" s="9"/>
      <c r="OOU40" s="9"/>
      <c r="OOV40" s="9"/>
      <c r="OOW40" s="9"/>
      <c r="OOX40" s="10"/>
      <c r="OOY40" s="11"/>
      <c r="OOZ40" s="12"/>
      <c r="OPA40" s="12"/>
      <c r="OPB40" s="12"/>
      <c r="OPC40" s="13"/>
      <c r="OPD40" s="9"/>
      <c r="OPE40" s="9"/>
      <c r="OPF40" s="9"/>
      <c r="OPG40" s="9"/>
      <c r="OPH40" s="10"/>
      <c r="OPI40" s="11"/>
      <c r="OPJ40" s="12"/>
      <c r="OPK40" s="12"/>
      <c r="OPL40" s="12"/>
      <c r="OPM40" s="13"/>
      <c r="OPN40" s="9"/>
      <c r="OPO40" s="9"/>
      <c r="OPP40" s="9"/>
      <c r="OPQ40" s="9"/>
      <c r="OPR40" s="10"/>
      <c r="OPS40" s="11"/>
      <c r="OPT40" s="12"/>
      <c r="OPU40" s="12"/>
      <c r="OPV40" s="12"/>
      <c r="OPW40" s="13"/>
      <c r="OPX40" s="9"/>
      <c r="OPY40" s="9"/>
      <c r="OPZ40" s="9"/>
      <c r="OQA40" s="9"/>
      <c r="OQB40" s="10"/>
      <c r="OQC40" s="11"/>
      <c r="OQD40" s="12"/>
      <c r="OQE40" s="12"/>
      <c r="OQF40" s="12"/>
      <c r="OQG40" s="13"/>
      <c r="OQH40" s="9"/>
      <c r="OQI40" s="9"/>
      <c r="OQJ40" s="9"/>
      <c r="OQK40" s="9"/>
      <c r="OQL40" s="10"/>
      <c r="OQM40" s="11"/>
      <c r="OQN40" s="12"/>
      <c r="OQO40" s="12"/>
      <c r="OQP40" s="12"/>
      <c r="OQQ40" s="13"/>
      <c r="OQR40" s="9"/>
      <c r="OQS40" s="9"/>
      <c r="OQT40" s="9"/>
      <c r="OQU40" s="9"/>
      <c r="OQV40" s="10"/>
      <c r="OQW40" s="11"/>
      <c r="OQX40" s="12"/>
      <c r="OQY40" s="12"/>
      <c r="OQZ40" s="12"/>
      <c r="ORA40" s="13"/>
      <c r="ORB40" s="9"/>
      <c r="ORC40" s="9"/>
      <c r="ORD40" s="9"/>
      <c r="ORE40" s="9"/>
      <c r="ORF40" s="10"/>
      <c r="ORG40" s="11"/>
      <c r="ORH40" s="12"/>
      <c r="ORI40" s="12"/>
      <c r="ORJ40" s="12"/>
      <c r="ORK40" s="13"/>
      <c r="ORL40" s="9"/>
      <c r="ORM40" s="9"/>
      <c r="ORN40" s="9"/>
      <c r="ORO40" s="9"/>
      <c r="ORP40" s="10"/>
      <c r="ORQ40" s="11"/>
      <c r="ORR40" s="12"/>
      <c r="ORS40" s="12"/>
      <c r="ORT40" s="12"/>
      <c r="ORU40" s="13"/>
      <c r="ORV40" s="9"/>
      <c r="ORW40" s="9"/>
      <c r="ORX40" s="9"/>
      <c r="ORY40" s="9"/>
      <c r="ORZ40" s="10"/>
      <c r="OSA40" s="11"/>
      <c r="OSB40" s="12"/>
      <c r="OSC40" s="12"/>
      <c r="OSD40" s="12"/>
      <c r="OSE40" s="13"/>
      <c r="OSF40" s="9"/>
      <c r="OSG40" s="9"/>
      <c r="OSH40" s="9"/>
      <c r="OSI40" s="9"/>
      <c r="OSJ40" s="10"/>
      <c r="OSK40" s="11"/>
      <c r="OSL40" s="12"/>
      <c r="OSM40" s="12"/>
      <c r="OSN40" s="12"/>
      <c r="OSO40" s="13"/>
      <c r="OSP40" s="9"/>
      <c r="OSQ40" s="9"/>
      <c r="OSR40" s="9"/>
      <c r="OSS40" s="9"/>
      <c r="OST40" s="10"/>
      <c r="OSU40" s="11"/>
      <c r="OSV40" s="12"/>
      <c r="OSW40" s="12"/>
      <c r="OSX40" s="12"/>
      <c r="OSY40" s="13"/>
      <c r="OSZ40" s="9"/>
      <c r="OTA40" s="9"/>
      <c r="OTB40" s="9"/>
      <c r="OTC40" s="9"/>
      <c r="OTD40" s="10"/>
      <c r="OTE40" s="11"/>
      <c r="OTF40" s="12"/>
      <c r="OTG40" s="12"/>
      <c r="OTH40" s="12"/>
      <c r="OTI40" s="13"/>
      <c r="OTJ40" s="9"/>
      <c r="OTK40" s="9"/>
      <c r="OTL40" s="9"/>
      <c r="OTM40" s="9"/>
      <c r="OTN40" s="10"/>
      <c r="OTO40" s="11"/>
      <c r="OTP40" s="12"/>
      <c r="OTQ40" s="12"/>
      <c r="OTR40" s="12"/>
      <c r="OTS40" s="13"/>
      <c r="OTT40" s="9"/>
      <c r="OTU40" s="9"/>
      <c r="OTV40" s="9"/>
      <c r="OTW40" s="9"/>
      <c r="OTX40" s="10"/>
      <c r="OTY40" s="11"/>
      <c r="OTZ40" s="12"/>
      <c r="OUA40" s="12"/>
      <c r="OUB40" s="12"/>
      <c r="OUC40" s="13"/>
      <c r="OUD40" s="9"/>
      <c r="OUE40" s="9"/>
      <c r="OUF40" s="9"/>
      <c r="OUG40" s="9"/>
      <c r="OUH40" s="10"/>
      <c r="OUI40" s="11"/>
      <c r="OUJ40" s="12"/>
      <c r="OUK40" s="12"/>
      <c r="OUL40" s="12"/>
      <c r="OUM40" s="13"/>
      <c r="OUN40" s="9"/>
      <c r="OUO40" s="9"/>
      <c r="OUP40" s="9"/>
      <c r="OUQ40" s="9"/>
      <c r="OUR40" s="10"/>
      <c r="OUS40" s="11"/>
      <c r="OUT40" s="12"/>
      <c r="OUU40" s="12"/>
      <c r="OUV40" s="12"/>
      <c r="OUW40" s="13"/>
      <c r="OUX40" s="9"/>
      <c r="OUY40" s="9"/>
      <c r="OUZ40" s="9"/>
      <c r="OVA40" s="9"/>
      <c r="OVB40" s="10"/>
      <c r="OVC40" s="11"/>
      <c r="OVD40" s="12"/>
      <c r="OVE40" s="12"/>
      <c r="OVF40" s="12"/>
      <c r="OVG40" s="13"/>
      <c r="OVH40" s="9"/>
      <c r="OVI40" s="9"/>
      <c r="OVJ40" s="9"/>
      <c r="OVK40" s="9"/>
      <c r="OVL40" s="10"/>
      <c r="OVM40" s="11"/>
      <c r="OVN40" s="12"/>
      <c r="OVO40" s="12"/>
      <c r="OVP40" s="12"/>
      <c r="OVQ40" s="13"/>
      <c r="OVR40" s="9"/>
      <c r="OVS40" s="9"/>
      <c r="OVT40" s="9"/>
      <c r="OVU40" s="9"/>
      <c r="OVV40" s="10"/>
      <c r="OVW40" s="11"/>
      <c r="OVX40" s="12"/>
      <c r="OVY40" s="12"/>
      <c r="OVZ40" s="12"/>
      <c r="OWA40" s="13"/>
      <c r="OWB40" s="9"/>
      <c r="OWC40" s="9"/>
      <c r="OWD40" s="9"/>
      <c r="OWE40" s="9"/>
      <c r="OWF40" s="10"/>
      <c r="OWG40" s="11"/>
      <c r="OWH40" s="12"/>
      <c r="OWI40" s="12"/>
      <c r="OWJ40" s="12"/>
      <c r="OWK40" s="13"/>
      <c r="OWL40" s="9"/>
      <c r="OWM40" s="9"/>
      <c r="OWN40" s="9"/>
      <c r="OWO40" s="9"/>
      <c r="OWP40" s="10"/>
      <c r="OWQ40" s="11"/>
      <c r="OWR40" s="12"/>
      <c r="OWS40" s="12"/>
      <c r="OWT40" s="12"/>
      <c r="OWU40" s="13"/>
      <c r="OWV40" s="9"/>
      <c r="OWW40" s="9"/>
      <c r="OWX40" s="9"/>
      <c r="OWY40" s="9"/>
      <c r="OWZ40" s="10"/>
      <c r="OXA40" s="11"/>
      <c r="OXB40" s="12"/>
      <c r="OXC40" s="12"/>
      <c r="OXD40" s="12"/>
      <c r="OXE40" s="13"/>
      <c r="OXF40" s="9"/>
      <c r="OXG40" s="9"/>
      <c r="OXH40" s="9"/>
      <c r="OXI40" s="9"/>
      <c r="OXJ40" s="10"/>
      <c r="OXK40" s="11"/>
      <c r="OXL40" s="12"/>
      <c r="OXM40" s="12"/>
      <c r="OXN40" s="12"/>
      <c r="OXO40" s="13"/>
      <c r="OXP40" s="9"/>
      <c r="OXQ40" s="9"/>
      <c r="OXR40" s="9"/>
      <c r="OXS40" s="9"/>
      <c r="OXT40" s="10"/>
      <c r="OXU40" s="11"/>
      <c r="OXV40" s="12"/>
      <c r="OXW40" s="12"/>
      <c r="OXX40" s="12"/>
      <c r="OXY40" s="13"/>
      <c r="OXZ40" s="9"/>
      <c r="OYA40" s="9"/>
      <c r="OYB40" s="9"/>
      <c r="OYC40" s="9"/>
      <c r="OYD40" s="10"/>
      <c r="OYE40" s="11"/>
      <c r="OYF40" s="12"/>
      <c r="OYG40" s="12"/>
      <c r="OYH40" s="12"/>
      <c r="OYI40" s="13"/>
      <c r="OYJ40" s="9"/>
      <c r="OYK40" s="9"/>
      <c r="OYL40" s="9"/>
      <c r="OYM40" s="9"/>
      <c r="OYN40" s="10"/>
      <c r="OYO40" s="11"/>
      <c r="OYP40" s="12"/>
      <c r="OYQ40" s="12"/>
      <c r="OYR40" s="12"/>
      <c r="OYS40" s="13"/>
      <c r="OYT40" s="9"/>
      <c r="OYU40" s="9"/>
      <c r="OYV40" s="9"/>
      <c r="OYW40" s="9"/>
      <c r="OYX40" s="10"/>
      <c r="OYY40" s="11"/>
      <c r="OYZ40" s="12"/>
      <c r="OZA40" s="12"/>
      <c r="OZB40" s="12"/>
      <c r="OZC40" s="13"/>
      <c r="OZD40" s="9"/>
      <c r="OZE40" s="9"/>
      <c r="OZF40" s="9"/>
      <c r="OZG40" s="9"/>
      <c r="OZH40" s="10"/>
      <c r="OZI40" s="11"/>
      <c r="OZJ40" s="12"/>
      <c r="OZK40" s="12"/>
      <c r="OZL40" s="12"/>
      <c r="OZM40" s="13"/>
      <c r="OZN40" s="9"/>
      <c r="OZO40" s="9"/>
      <c r="OZP40" s="9"/>
      <c r="OZQ40" s="9"/>
      <c r="OZR40" s="10"/>
      <c r="OZS40" s="11"/>
      <c r="OZT40" s="12"/>
      <c r="OZU40" s="12"/>
      <c r="OZV40" s="12"/>
      <c r="OZW40" s="13"/>
      <c r="OZX40" s="9"/>
      <c r="OZY40" s="9"/>
      <c r="OZZ40" s="9"/>
      <c r="PAA40" s="9"/>
      <c r="PAB40" s="10"/>
      <c r="PAC40" s="11"/>
      <c r="PAD40" s="12"/>
      <c r="PAE40" s="12"/>
      <c r="PAF40" s="12"/>
      <c r="PAG40" s="13"/>
      <c r="PAH40" s="9"/>
      <c r="PAI40" s="9"/>
      <c r="PAJ40" s="9"/>
      <c r="PAK40" s="9"/>
      <c r="PAL40" s="10"/>
      <c r="PAM40" s="11"/>
      <c r="PAN40" s="12"/>
      <c r="PAO40" s="12"/>
      <c r="PAP40" s="12"/>
      <c r="PAQ40" s="13"/>
      <c r="PAR40" s="9"/>
      <c r="PAS40" s="9"/>
      <c r="PAT40" s="9"/>
      <c r="PAU40" s="9"/>
      <c r="PAV40" s="10"/>
      <c r="PAW40" s="11"/>
      <c r="PAX40" s="12"/>
      <c r="PAY40" s="12"/>
      <c r="PAZ40" s="12"/>
      <c r="PBA40" s="13"/>
      <c r="PBB40" s="9"/>
      <c r="PBC40" s="9"/>
      <c r="PBD40" s="9"/>
      <c r="PBE40" s="9"/>
      <c r="PBF40" s="10"/>
      <c r="PBG40" s="11"/>
      <c r="PBH40" s="12"/>
      <c r="PBI40" s="12"/>
      <c r="PBJ40" s="12"/>
      <c r="PBK40" s="13"/>
      <c r="PBL40" s="9"/>
      <c r="PBM40" s="9"/>
      <c r="PBN40" s="9"/>
      <c r="PBO40" s="9"/>
      <c r="PBP40" s="10"/>
      <c r="PBQ40" s="11"/>
      <c r="PBR40" s="12"/>
      <c r="PBS40" s="12"/>
      <c r="PBT40" s="12"/>
      <c r="PBU40" s="13"/>
      <c r="PBV40" s="9"/>
      <c r="PBW40" s="9"/>
      <c r="PBX40" s="9"/>
      <c r="PBY40" s="9"/>
      <c r="PBZ40" s="10"/>
      <c r="PCA40" s="11"/>
      <c r="PCB40" s="12"/>
      <c r="PCC40" s="12"/>
      <c r="PCD40" s="12"/>
      <c r="PCE40" s="13"/>
      <c r="PCF40" s="9"/>
      <c r="PCG40" s="9"/>
      <c r="PCH40" s="9"/>
      <c r="PCI40" s="9"/>
      <c r="PCJ40" s="10"/>
      <c r="PCK40" s="11"/>
      <c r="PCL40" s="12"/>
      <c r="PCM40" s="12"/>
      <c r="PCN40" s="12"/>
      <c r="PCO40" s="13"/>
      <c r="PCP40" s="9"/>
      <c r="PCQ40" s="9"/>
      <c r="PCR40" s="9"/>
      <c r="PCS40" s="9"/>
      <c r="PCT40" s="10"/>
      <c r="PCU40" s="11"/>
      <c r="PCV40" s="12"/>
      <c r="PCW40" s="12"/>
      <c r="PCX40" s="12"/>
      <c r="PCY40" s="13"/>
      <c r="PCZ40" s="9"/>
      <c r="PDA40" s="9"/>
      <c r="PDB40" s="9"/>
      <c r="PDC40" s="9"/>
      <c r="PDD40" s="10"/>
      <c r="PDE40" s="11"/>
      <c r="PDF40" s="12"/>
      <c r="PDG40" s="12"/>
      <c r="PDH40" s="12"/>
      <c r="PDI40" s="13"/>
      <c r="PDJ40" s="9"/>
      <c r="PDK40" s="9"/>
      <c r="PDL40" s="9"/>
      <c r="PDM40" s="9"/>
      <c r="PDN40" s="10"/>
      <c r="PDO40" s="11"/>
      <c r="PDP40" s="12"/>
      <c r="PDQ40" s="12"/>
      <c r="PDR40" s="12"/>
      <c r="PDS40" s="13"/>
      <c r="PDT40" s="9"/>
      <c r="PDU40" s="9"/>
      <c r="PDV40" s="9"/>
      <c r="PDW40" s="9"/>
      <c r="PDX40" s="10"/>
      <c r="PDY40" s="11"/>
      <c r="PDZ40" s="12"/>
      <c r="PEA40" s="12"/>
      <c r="PEB40" s="12"/>
      <c r="PEC40" s="13"/>
      <c r="PED40" s="9"/>
      <c r="PEE40" s="9"/>
      <c r="PEF40" s="9"/>
      <c r="PEG40" s="9"/>
      <c r="PEH40" s="10"/>
      <c r="PEI40" s="11"/>
      <c r="PEJ40" s="12"/>
      <c r="PEK40" s="12"/>
      <c r="PEL40" s="12"/>
      <c r="PEM40" s="13"/>
      <c r="PEN40" s="9"/>
      <c r="PEO40" s="9"/>
      <c r="PEP40" s="9"/>
      <c r="PEQ40" s="9"/>
      <c r="PER40" s="10"/>
      <c r="PES40" s="11"/>
      <c r="PET40" s="12"/>
      <c r="PEU40" s="12"/>
      <c r="PEV40" s="12"/>
      <c r="PEW40" s="13"/>
      <c r="PEX40" s="9"/>
      <c r="PEY40" s="9"/>
      <c r="PEZ40" s="9"/>
      <c r="PFA40" s="9"/>
      <c r="PFB40" s="10"/>
      <c r="PFC40" s="11"/>
      <c r="PFD40" s="12"/>
      <c r="PFE40" s="12"/>
      <c r="PFF40" s="12"/>
      <c r="PFG40" s="13"/>
      <c r="PFH40" s="9"/>
      <c r="PFI40" s="9"/>
      <c r="PFJ40" s="9"/>
      <c r="PFK40" s="9"/>
      <c r="PFL40" s="10"/>
      <c r="PFM40" s="11"/>
      <c r="PFN40" s="12"/>
      <c r="PFO40" s="12"/>
      <c r="PFP40" s="12"/>
      <c r="PFQ40" s="13"/>
      <c r="PFR40" s="9"/>
      <c r="PFS40" s="9"/>
      <c r="PFT40" s="9"/>
      <c r="PFU40" s="9"/>
      <c r="PFV40" s="10"/>
      <c r="PFW40" s="11"/>
      <c r="PFX40" s="12"/>
      <c r="PFY40" s="12"/>
      <c r="PFZ40" s="12"/>
      <c r="PGA40" s="13"/>
      <c r="PGB40" s="9"/>
      <c r="PGC40" s="9"/>
      <c r="PGD40" s="9"/>
      <c r="PGE40" s="9"/>
      <c r="PGF40" s="10"/>
      <c r="PGG40" s="11"/>
      <c r="PGH40" s="12"/>
      <c r="PGI40" s="12"/>
      <c r="PGJ40" s="12"/>
      <c r="PGK40" s="13"/>
      <c r="PGL40" s="9"/>
      <c r="PGM40" s="9"/>
      <c r="PGN40" s="9"/>
      <c r="PGO40" s="9"/>
      <c r="PGP40" s="10"/>
      <c r="PGQ40" s="11"/>
      <c r="PGR40" s="12"/>
      <c r="PGS40" s="12"/>
      <c r="PGT40" s="12"/>
      <c r="PGU40" s="13"/>
      <c r="PGV40" s="9"/>
      <c r="PGW40" s="9"/>
      <c r="PGX40" s="9"/>
      <c r="PGY40" s="9"/>
      <c r="PGZ40" s="10"/>
      <c r="PHA40" s="11"/>
      <c r="PHB40" s="12"/>
      <c r="PHC40" s="12"/>
      <c r="PHD40" s="12"/>
      <c r="PHE40" s="13"/>
      <c r="PHF40" s="9"/>
      <c r="PHG40" s="9"/>
      <c r="PHH40" s="9"/>
      <c r="PHI40" s="9"/>
      <c r="PHJ40" s="10"/>
      <c r="PHK40" s="11"/>
      <c r="PHL40" s="12"/>
      <c r="PHM40" s="12"/>
      <c r="PHN40" s="12"/>
      <c r="PHO40" s="13"/>
      <c r="PHP40" s="9"/>
      <c r="PHQ40" s="9"/>
      <c r="PHR40" s="9"/>
      <c r="PHS40" s="9"/>
      <c r="PHT40" s="10"/>
      <c r="PHU40" s="11"/>
      <c r="PHV40" s="12"/>
      <c r="PHW40" s="12"/>
      <c r="PHX40" s="12"/>
      <c r="PHY40" s="13"/>
      <c r="PHZ40" s="9"/>
      <c r="PIA40" s="9"/>
      <c r="PIB40" s="9"/>
      <c r="PIC40" s="9"/>
      <c r="PID40" s="10"/>
      <c r="PIE40" s="11"/>
      <c r="PIF40" s="12"/>
      <c r="PIG40" s="12"/>
      <c r="PIH40" s="12"/>
      <c r="PII40" s="13"/>
      <c r="PIJ40" s="9"/>
      <c r="PIK40" s="9"/>
      <c r="PIL40" s="9"/>
      <c r="PIM40" s="9"/>
      <c r="PIN40" s="10"/>
      <c r="PIO40" s="11"/>
      <c r="PIP40" s="12"/>
      <c r="PIQ40" s="12"/>
      <c r="PIR40" s="12"/>
      <c r="PIS40" s="13"/>
      <c r="PIT40" s="9"/>
      <c r="PIU40" s="9"/>
      <c r="PIV40" s="9"/>
      <c r="PIW40" s="9"/>
      <c r="PIX40" s="10"/>
      <c r="PIY40" s="11"/>
      <c r="PIZ40" s="12"/>
      <c r="PJA40" s="12"/>
      <c r="PJB40" s="12"/>
      <c r="PJC40" s="13"/>
      <c r="PJD40" s="9"/>
      <c r="PJE40" s="9"/>
      <c r="PJF40" s="9"/>
      <c r="PJG40" s="9"/>
      <c r="PJH40" s="10"/>
      <c r="PJI40" s="11"/>
      <c r="PJJ40" s="12"/>
      <c r="PJK40" s="12"/>
      <c r="PJL40" s="12"/>
      <c r="PJM40" s="13"/>
      <c r="PJN40" s="9"/>
      <c r="PJO40" s="9"/>
      <c r="PJP40" s="9"/>
      <c r="PJQ40" s="9"/>
      <c r="PJR40" s="10"/>
      <c r="PJS40" s="11"/>
      <c r="PJT40" s="12"/>
      <c r="PJU40" s="12"/>
      <c r="PJV40" s="12"/>
      <c r="PJW40" s="13"/>
      <c r="PJX40" s="9"/>
      <c r="PJY40" s="9"/>
      <c r="PJZ40" s="9"/>
      <c r="PKA40" s="9"/>
      <c r="PKB40" s="10"/>
      <c r="PKC40" s="11"/>
      <c r="PKD40" s="12"/>
      <c r="PKE40" s="12"/>
      <c r="PKF40" s="12"/>
      <c r="PKG40" s="13"/>
      <c r="PKH40" s="9"/>
      <c r="PKI40" s="9"/>
      <c r="PKJ40" s="9"/>
      <c r="PKK40" s="9"/>
      <c r="PKL40" s="10"/>
      <c r="PKM40" s="11"/>
      <c r="PKN40" s="12"/>
      <c r="PKO40" s="12"/>
      <c r="PKP40" s="12"/>
      <c r="PKQ40" s="13"/>
      <c r="PKR40" s="9"/>
      <c r="PKS40" s="9"/>
      <c r="PKT40" s="9"/>
      <c r="PKU40" s="9"/>
      <c r="PKV40" s="10"/>
      <c r="PKW40" s="11"/>
      <c r="PKX40" s="12"/>
      <c r="PKY40" s="12"/>
      <c r="PKZ40" s="12"/>
      <c r="PLA40" s="13"/>
      <c r="PLB40" s="9"/>
      <c r="PLC40" s="9"/>
      <c r="PLD40" s="9"/>
      <c r="PLE40" s="9"/>
      <c r="PLF40" s="10"/>
      <c r="PLG40" s="11"/>
      <c r="PLH40" s="12"/>
      <c r="PLI40" s="12"/>
      <c r="PLJ40" s="12"/>
      <c r="PLK40" s="13"/>
      <c r="PLL40" s="9"/>
      <c r="PLM40" s="9"/>
      <c r="PLN40" s="9"/>
      <c r="PLO40" s="9"/>
      <c r="PLP40" s="10"/>
      <c r="PLQ40" s="11"/>
      <c r="PLR40" s="12"/>
      <c r="PLS40" s="12"/>
      <c r="PLT40" s="12"/>
      <c r="PLU40" s="13"/>
      <c r="PLV40" s="9"/>
      <c r="PLW40" s="9"/>
      <c r="PLX40" s="9"/>
      <c r="PLY40" s="9"/>
      <c r="PLZ40" s="10"/>
      <c r="PMA40" s="11"/>
      <c r="PMB40" s="12"/>
      <c r="PMC40" s="12"/>
      <c r="PMD40" s="12"/>
      <c r="PME40" s="13"/>
      <c r="PMF40" s="9"/>
      <c r="PMG40" s="9"/>
      <c r="PMH40" s="9"/>
      <c r="PMI40" s="9"/>
      <c r="PMJ40" s="10"/>
      <c r="PMK40" s="11"/>
      <c r="PML40" s="12"/>
      <c r="PMM40" s="12"/>
      <c r="PMN40" s="12"/>
      <c r="PMO40" s="13"/>
      <c r="PMP40" s="9"/>
      <c r="PMQ40" s="9"/>
      <c r="PMR40" s="9"/>
      <c r="PMS40" s="9"/>
      <c r="PMT40" s="10"/>
      <c r="PMU40" s="11"/>
      <c r="PMV40" s="12"/>
      <c r="PMW40" s="12"/>
      <c r="PMX40" s="12"/>
      <c r="PMY40" s="13"/>
      <c r="PMZ40" s="9"/>
      <c r="PNA40" s="9"/>
      <c r="PNB40" s="9"/>
      <c r="PNC40" s="9"/>
      <c r="PND40" s="10"/>
      <c r="PNE40" s="11"/>
      <c r="PNF40" s="12"/>
      <c r="PNG40" s="12"/>
      <c r="PNH40" s="12"/>
      <c r="PNI40" s="13"/>
      <c r="PNJ40" s="9"/>
      <c r="PNK40" s="9"/>
      <c r="PNL40" s="9"/>
      <c r="PNM40" s="9"/>
      <c r="PNN40" s="10"/>
      <c r="PNO40" s="11"/>
      <c r="PNP40" s="12"/>
      <c r="PNQ40" s="12"/>
      <c r="PNR40" s="12"/>
      <c r="PNS40" s="13"/>
      <c r="PNT40" s="9"/>
      <c r="PNU40" s="9"/>
      <c r="PNV40" s="9"/>
      <c r="PNW40" s="9"/>
      <c r="PNX40" s="10"/>
      <c r="PNY40" s="11"/>
      <c r="PNZ40" s="12"/>
      <c r="POA40" s="12"/>
      <c r="POB40" s="12"/>
      <c r="POC40" s="13"/>
      <c r="POD40" s="9"/>
      <c r="POE40" s="9"/>
      <c r="POF40" s="9"/>
      <c r="POG40" s="9"/>
      <c r="POH40" s="10"/>
      <c r="POI40" s="11"/>
      <c r="POJ40" s="12"/>
      <c r="POK40" s="12"/>
      <c r="POL40" s="12"/>
      <c r="POM40" s="13"/>
      <c r="PON40" s="9"/>
      <c r="POO40" s="9"/>
      <c r="POP40" s="9"/>
      <c r="POQ40" s="9"/>
      <c r="POR40" s="10"/>
      <c r="POS40" s="11"/>
      <c r="POT40" s="12"/>
      <c r="POU40" s="12"/>
      <c r="POV40" s="12"/>
      <c r="POW40" s="13"/>
      <c r="POX40" s="9"/>
      <c r="POY40" s="9"/>
      <c r="POZ40" s="9"/>
      <c r="PPA40" s="9"/>
      <c r="PPB40" s="10"/>
      <c r="PPC40" s="11"/>
      <c r="PPD40" s="12"/>
      <c r="PPE40" s="12"/>
      <c r="PPF40" s="12"/>
      <c r="PPG40" s="13"/>
      <c r="PPH40" s="9"/>
      <c r="PPI40" s="9"/>
      <c r="PPJ40" s="9"/>
      <c r="PPK40" s="9"/>
      <c r="PPL40" s="10"/>
      <c r="PPM40" s="11"/>
      <c r="PPN40" s="12"/>
      <c r="PPO40" s="12"/>
      <c r="PPP40" s="12"/>
      <c r="PPQ40" s="13"/>
      <c r="PPR40" s="9"/>
      <c r="PPS40" s="9"/>
      <c r="PPT40" s="9"/>
      <c r="PPU40" s="9"/>
      <c r="PPV40" s="10"/>
      <c r="PPW40" s="11"/>
      <c r="PPX40" s="12"/>
      <c r="PPY40" s="12"/>
      <c r="PPZ40" s="12"/>
      <c r="PQA40" s="13"/>
      <c r="PQB40" s="9"/>
      <c r="PQC40" s="9"/>
      <c r="PQD40" s="9"/>
      <c r="PQE40" s="9"/>
      <c r="PQF40" s="10"/>
      <c r="PQG40" s="11"/>
      <c r="PQH40" s="12"/>
      <c r="PQI40" s="12"/>
      <c r="PQJ40" s="12"/>
      <c r="PQK40" s="13"/>
      <c r="PQL40" s="9"/>
      <c r="PQM40" s="9"/>
      <c r="PQN40" s="9"/>
      <c r="PQO40" s="9"/>
      <c r="PQP40" s="10"/>
      <c r="PQQ40" s="11"/>
      <c r="PQR40" s="12"/>
      <c r="PQS40" s="12"/>
      <c r="PQT40" s="12"/>
      <c r="PQU40" s="13"/>
      <c r="PQV40" s="9"/>
      <c r="PQW40" s="9"/>
      <c r="PQX40" s="9"/>
      <c r="PQY40" s="9"/>
      <c r="PQZ40" s="10"/>
      <c r="PRA40" s="11"/>
      <c r="PRB40" s="12"/>
      <c r="PRC40" s="12"/>
      <c r="PRD40" s="12"/>
      <c r="PRE40" s="13"/>
      <c r="PRF40" s="9"/>
      <c r="PRG40" s="9"/>
      <c r="PRH40" s="9"/>
      <c r="PRI40" s="9"/>
      <c r="PRJ40" s="10"/>
      <c r="PRK40" s="11"/>
      <c r="PRL40" s="12"/>
      <c r="PRM40" s="12"/>
      <c r="PRN40" s="12"/>
      <c r="PRO40" s="13"/>
      <c r="PRP40" s="9"/>
      <c r="PRQ40" s="9"/>
      <c r="PRR40" s="9"/>
      <c r="PRS40" s="9"/>
      <c r="PRT40" s="10"/>
      <c r="PRU40" s="11"/>
      <c r="PRV40" s="12"/>
      <c r="PRW40" s="12"/>
      <c r="PRX40" s="12"/>
      <c r="PRY40" s="13"/>
      <c r="PRZ40" s="9"/>
      <c r="PSA40" s="9"/>
      <c r="PSB40" s="9"/>
      <c r="PSC40" s="9"/>
      <c r="PSD40" s="10"/>
      <c r="PSE40" s="11"/>
      <c r="PSF40" s="12"/>
      <c r="PSG40" s="12"/>
      <c r="PSH40" s="12"/>
      <c r="PSI40" s="13"/>
      <c r="PSJ40" s="9"/>
      <c r="PSK40" s="9"/>
      <c r="PSL40" s="9"/>
      <c r="PSM40" s="9"/>
      <c r="PSN40" s="10"/>
      <c r="PSO40" s="11"/>
      <c r="PSP40" s="12"/>
      <c r="PSQ40" s="12"/>
      <c r="PSR40" s="12"/>
      <c r="PSS40" s="13"/>
      <c r="PST40" s="9"/>
      <c r="PSU40" s="9"/>
      <c r="PSV40" s="9"/>
      <c r="PSW40" s="9"/>
      <c r="PSX40" s="10"/>
      <c r="PSY40" s="11"/>
      <c r="PSZ40" s="12"/>
      <c r="PTA40" s="12"/>
      <c r="PTB40" s="12"/>
      <c r="PTC40" s="13"/>
      <c r="PTD40" s="9"/>
      <c r="PTE40" s="9"/>
      <c r="PTF40" s="9"/>
      <c r="PTG40" s="9"/>
      <c r="PTH40" s="10"/>
      <c r="PTI40" s="11"/>
      <c r="PTJ40" s="12"/>
      <c r="PTK40" s="12"/>
      <c r="PTL40" s="12"/>
      <c r="PTM40" s="13"/>
      <c r="PTN40" s="9"/>
      <c r="PTO40" s="9"/>
      <c r="PTP40" s="9"/>
      <c r="PTQ40" s="9"/>
      <c r="PTR40" s="10"/>
      <c r="PTS40" s="11"/>
      <c r="PTT40" s="12"/>
      <c r="PTU40" s="12"/>
      <c r="PTV40" s="12"/>
      <c r="PTW40" s="13"/>
      <c r="PTX40" s="9"/>
      <c r="PTY40" s="9"/>
      <c r="PTZ40" s="9"/>
      <c r="PUA40" s="9"/>
      <c r="PUB40" s="10"/>
      <c r="PUC40" s="11"/>
      <c r="PUD40" s="12"/>
      <c r="PUE40" s="12"/>
      <c r="PUF40" s="12"/>
      <c r="PUG40" s="13"/>
      <c r="PUH40" s="9"/>
      <c r="PUI40" s="9"/>
      <c r="PUJ40" s="9"/>
      <c r="PUK40" s="9"/>
      <c r="PUL40" s="10"/>
      <c r="PUM40" s="11"/>
      <c r="PUN40" s="12"/>
      <c r="PUO40" s="12"/>
      <c r="PUP40" s="12"/>
      <c r="PUQ40" s="13"/>
      <c r="PUR40" s="9"/>
      <c r="PUS40" s="9"/>
      <c r="PUT40" s="9"/>
      <c r="PUU40" s="9"/>
      <c r="PUV40" s="10"/>
      <c r="PUW40" s="11"/>
      <c r="PUX40" s="12"/>
      <c r="PUY40" s="12"/>
      <c r="PUZ40" s="12"/>
      <c r="PVA40" s="13"/>
      <c r="PVB40" s="9"/>
      <c r="PVC40" s="9"/>
      <c r="PVD40" s="9"/>
      <c r="PVE40" s="9"/>
      <c r="PVF40" s="10"/>
      <c r="PVG40" s="11"/>
      <c r="PVH40" s="12"/>
      <c r="PVI40" s="12"/>
      <c r="PVJ40" s="12"/>
      <c r="PVK40" s="13"/>
      <c r="PVL40" s="9"/>
      <c r="PVM40" s="9"/>
      <c r="PVN40" s="9"/>
      <c r="PVO40" s="9"/>
      <c r="PVP40" s="10"/>
      <c r="PVQ40" s="11"/>
      <c r="PVR40" s="12"/>
      <c r="PVS40" s="12"/>
      <c r="PVT40" s="12"/>
      <c r="PVU40" s="13"/>
      <c r="PVV40" s="9"/>
      <c r="PVW40" s="9"/>
      <c r="PVX40" s="9"/>
      <c r="PVY40" s="9"/>
      <c r="PVZ40" s="10"/>
      <c r="PWA40" s="11"/>
      <c r="PWB40" s="12"/>
      <c r="PWC40" s="12"/>
      <c r="PWD40" s="12"/>
      <c r="PWE40" s="13"/>
      <c r="PWF40" s="9"/>
      <c r="PWG40" s="9"/>
      <c r="PWH40" s="9"/>
      <c r="PWI40" s="9"/>
      <c r="PWJ40" s="10"/>
      <c r="PWK40" s="11"/>
      <c r="PWL40" s="12"/>
      <c r="PWM40" s="12"/>
      <c r="PWN40" s="12"/>
      <c r="PWO40" s="13"/>
      <c r="PWP40" s="9"/>
      <c r="PWQ40" s="9"/>
      <c r="PWR40" s="9"/>
      <c r="PWS40" s="9"/>
      <c r="PWT40" s="10"/>
      <c r="PWU40" s="11"/>
      <c r="PWV40" s="12"/>
      <c r="PWW40" s="12"/>
      <c r="PWX40" s="12"/>
      <c r="PWY40" s="13"/>
      <c r="PWZ40" s="9"/>
      <c r="PXA40" s="9"/>
      <c r="PXB40" s="9"/>
      <c r="PXC40" s="9"/>
      <c r="PXD40" s="10"/>
      <c r="PXE40" s="11"/>
      <c r="PXF40" s="12"/>
      <c r="PXG40" s="12"/>
      <c r="PXH40" s="12"/>
      <c r="PXI40" s="13"/>
      <c r="PXJ40" s="9"/>
      <c r="PXK40" s="9"/>
      <c r="PXL40" s="9"/>
      <c r="PXM40" s="9"/>
      <c r="PXN40" s="10"/>
      <c r="PXO40" s="11"/>
      <c r="PXP40" s="12"/>
      <c r="PXQ40" s="12"/>
      <c r="PXR40" s="12"/>
      <c r="PXS40" s="13"/>
      <c r="PXT40" s="9"/>
      <c r="PXU40" s="9"/>
      <c r="PXV40" s="9"/>
      <c r="PXW40" s="9"/>
      <c r="PXX40" s="10"/>
      <c r="PXY40" s="11"/>
      <c r="PXZ40" s="12"/>
      <c r="PYA40" s="12"/>
      <c r="PYB40" s="12"/>
      <c r="PYC40" s="13"/>
      <c r="PYD40" s="9"/>
      <c r="PYE40" s="9"/>
      <c r="PYF40" s="9"/>
      <c r="PYG40" s="9"/>
      <c r="PYH40" s="10"/>
      <c r="PYI40" s="11"/>
      <c r="PYJ40" s="12"/>
      <c r="PYK40" s="12"/>
      <c r="PYL40" s="12"/>
      <c r="PYM40" s="13"/>
      <c r="PYN40" s="9"/>
      <c r="PYO40" s="9"/>
      <c r="PYP40" s="9"/>
      <c r="PYQ40" s="9"/>
      <c r="PYR40" s="10"/>
      <c r="PYS40" s="11"/>
      <c r="PYT40" s="12"/>
      <c r="PYU40" s="12"/>
      <c r="PYV40" s="12"/>
      <c r="PYW40" s="13"/>
      <c r="PYX40" s="9"/>
      <c r="PYY40" s="9"/>
      <c r="PYZ40" s="9"/>
      <c r="PZA40" s="9"/>
      <c r="PZB40" s="10"/>
      <c r="PZC40" s="11"/>
      <c r="PZD40" s="12"/>
      <c r="PZE40" s="12"/>
      <c r="PZF40" s="12"/>
      <c r="PZG40" s="13"/>
      <c r="PZH40" s="9"/>
      <c r="PZI40" s="9"/>
      <c r="PZJ40" s="9"/>
      <c r="PZK40" s="9"/>
      <c r="PZL40" s="10"/>
      <c r="PZM40" s="11"/>
      <c r="PZN40" s="12"/>
      <c r="PZO40" s="12"/>
      <c r="PZP40" s="12"/>
      <c r="PZQ40" s="13"/>
      <c r="PZR40" s="9"/>
      <c r="PZS40" s="9"/>
      <c r="PZT40" s="9"/>
      <c r="PZU40" s="9"/>
      <c r="PZV40" s="10"/>
      <c r="PZW40" s="11"/>
      <c r="PZX40" s="12"/>
      <c r="PZY40" s="12"/>
      <c r="PZZ40" s="12"/>
      <c r="QAA40" s="13"/>
      <c r="QAB40" s="9"/>
      <c r="QAC40" s="9"/>
      <c r="QAD40" s="9"/>
      <c r="QAE40" s="9"/>
      <c r="QAF40" s="10"/>
      <c r="QAG40" s="11"/>
      <c r="QAH40" s="12"/>
      <c r="QAI40" s="12"/>
      <c r="QAJ40" s="12"/>
      <c r="QAK40" s="13"/>
      <c r="QAL40" s="9"/>
      <c r="QAM40" s="9"/>
      <c r="QAN40" s="9"/>
      <c r="QAO40" s="9"/>
      <c r="QAP40" s="10"/>
      <c r="QAQ40" s="11"/>
      <c r="QAR40" s="12"/>
      <c r="QAS40" s="12"/>
      <c r="QAT40" s="12"/>
      <c r="QAU40" s="13"/>
      <c r="QAV40" s="9"/>
      <c r="QAW40" s="9"/>
      <c r="QAX40" s="9"/>
      <c r="QAY40" s="9"/>
      <c r="QAZ40" s="10"/>
      <c r="QBA40" s="11"/>
      <c r="QBB40" s="12"/>
      <c r="QBC40" s="12"/>
      <c r="QBD40" s="12"/>
      <c r="QBE40" s="13"/>
      <c r="QBF40" s="9"/>
      <c r="QBG40" s="9"/>
      <c r="QBH40" s="9"/>
      <c r="QBI40" s="9"/>
      <c r="QBJ40" s="10"/>
      <c r="QBK40" s="11"/>
      <c r="QBL40" s="12"/>
      <c r="QBM40" s="12"/>
      <c r="QBN40" s="12"/>
      <c r="QBO40" s="13"/>
      <c r="QBP40" s="9"/>
      <c r="QBQ40" s="9"/>
      <c r="QBR40" s="9"/>
      <c r="QBS40" s="9"/>
      <c r="QBT40" s="10"/>
      <c r="QBU40" s="11"/>
      <c r="QBV40" s="12"/>
      <c r="QBW40" s="12"/>
      <c r="QBX40" s="12"/>
      <c r="QBY40" s="13"/>
      <c r="QBZ40" s="9"/>
      <c r="QCA40" s="9"/>
      <c r="QCB40" s="9"/>
      <c r="QCC40" s="9"/>
      <c r="QCD40" s="10"/>
      <c r="QCE40" s="11"/>
      <c r="QCF40" s="12"/>
      <c r="QCG40" s="12"/>
      <c r="QCH40" s="12"/>
      <c r="QCI40" s="13"/>
      <c r="QCJ40" s="9"/>
      <c r="QCK40" s="9"/>
      <c r="QCL40" s="9"/>
      <c r="QCM40" s="9"/>
      <c r="QCN40" s="10"/>
      <c r="QCO40" s="11"/>
      <c r="QCP40" s="12"/>
      <c r="QCQ40" s="12"/>
      <c r="QCR40" s="12"/>
      <c r="QCS40" s="13"/>
      <c r="QCT40" s="9"/>
      <c r="QCU40" s="9"/>
      <c r="QCV40" s="9"/>
      <c r="QCW40" s="9"/>
      <c r="QCX40" s="10"/>
      <c r="QCY40" s="11"/>
      <c r="QCZ40" s="12"/>
      <c r="QDA40" s="12"/>
      <c r="QDB40" s="12"/>
      <c r="QDC40" s="13"/>
      <c r="QDD40" s="9"/>
      <c r="QDE40" s="9"/>
      <c r="QDF40" s="9"/>
      <c r="QDG40" s="9"/>
      <c r="QDH40" s="10"/>
      <c r="QDI40" s="11"/>
      <c r="QDJ40" s="12"/>
      <c r="QDK40" s="12"/>
      <c r="QDL40" s="12"/>
      <c r="QDM40" s="13"/>
      <c r="QDN40" s="9"/>
      <c r="QDO40" s="9"/>
      <c r="QDP40" s="9"/>
      <c r="QDQ40" s="9"/>
      <c r="QDR40" s="10"/>
      <c r="QDS40" s="11"/>
      <c r="QDT40" s="12"/>
      <c r="QDU40" s="12"/>
      <c r="QDV40" s="12"/>
      <c r="QDW40" s="13"/>
      <c r="QDX40" s="9"/>
      <c r="QDY40" s="9"/>
      <c r="QDZ40" s="9"/>
      <c r="QEA40" s="9"/>
      <c r="QEB40" s="10"/>
      <c r="QEC40" s="11"/>
      <c r="QED40" s="12"/>
      <c r="QEE40" s="12"/>
      <c r="QEF40" s="12"/>
      <c r="QEG40" s="13"/>
      <c r="QEH40" s="9"/>
      <c r="QEI40" s="9"/>
      <c r="QEJ40" s="9"/>
      <c r="QEK40" s="9"/>
      <c r="QEL40" s="10"/>
      <c r="QEM40" s="11"/>
      <c r="QEN40" s="12"/>
      <c r="QEO40" s="12"/>
      <c r="QEP40" s="12"/>
      <c r="QEQ40" s="13"/>
      <c r="QER40" s="9"/>
      <c r="QES40" s="9"/>
      <c r="QET40" s="9"/>
      <c r="QEU40" s="9"/>
      <c r="QEV40" s="10"/>
      <c r="QEW40" s="11"/>
      <c r="QEX40" s="12"/>
      <c r="QEY40" s="12"/>
      <c r="QEZ40" s="12"/>
      <c r="QFA40" s="13"/>
      <c r="QFB40" s="9"/>
      <c r="QFC40" s="9"/>
      <c r="QFD40" s="9"/>
      <c r="QFE40" s="9"/>
      <c r="QFF40" s="10"/>
      <c r="QFG40" s="11"/>
      <c r="QFH40" s="12"/>
      <c r="QFI40" s="12"/>
      <c r="QFJ40" s="12"/>
      <c r="QFK40" s="13"/>
      <c r="QFL40" s="9"/>
      <c r="QFM40" s="9"/>
      <c r="QFN40" s="9"/>
      <c r="QFO40" s="9"/>
      <c r="QFP40" s="10"/>
      <c r="QFQ40" s="11"/>
      <c r="QFR40" s="12"/>
      <c r="QFS40" s="12"/>
      <c r="QFT40" s="12"/>
      <c r="QFU40" s="13"/>
      <c r="QFV40" s="9"/>
      <c r="QFW40" s="9"/>
      <c r="QFX40" s="9"/>
      <c r="QFY40" s="9"/>
      <c r="QFZ40" s="10"/>
      <c r="QGA40" s="11"/>
      <c r="QGB40" s="12"/>
      <c r="QGC40" s="12"/>
      <c r="QGD40" s="12"/>
      <c r="QGE40" s="13"/>
      <c r="QGF40" s="9"/>
      <c r="QGG40" s="9"/>
      <c r="QGH40" s="9"/>
      <c r="QGI40" s="9"/>
      <c r="QGJ40" s="10"/>
      <c r="QGK40" s="11"/>
      <c r="QGL40" s="12"/>
      <c r="QGM40" s="12"/>
      <c r="QGN40" s="12"/>
      <c r="QGO40" s="13"/>
      <c r="QGP40" s="9"/>
      <c r="QGQ40" s="9"/>
      <c r="QGR40" s="9"/>
      <c r="QGS40" s="9"/>
      <c r="QGT40" s="10"/>
      <c r="QGU40" s="11"/>
      <c r="QGV40" s="12"/>
      <c r="QGW40" s="12"/>
      <c r="QGX40" s="12"/>
      <c r="QGY40" s="13"/>
      <c r="QGZ40" s="9"/>
      <c r="QHA40" s="9"/>
      <c r="QHB40" s="9"/>
      <c r="QHC40" s="9"/>
      <c r="QHD40" s="10"/>
      <c r="QHE40" s="11"/>
      <c r="QHF40" s="12"/>
      <c r="QHG40" s="12"/>
      <c r="QHH40" s="12"/>
      <c r="QHI40" s="13"/>
      <c r="QHJ40" s="9"/>
      <c r="QHK40" s="9"/>
      <c r="QHL40" s="9"/>
      <c r="QHM40" s="9"/>
      <c r="QHN40" s="10"/>
      <c r="QHO40" s="11"/>
      <c r="QHP40" s="12"/>
      <c r="QHQ40" s="12"/>
      <c r="QHR40" s="12"/>
      <c r="QHS40" s="13"/>
      <c r="QHT40" s="9"/>
      <c r="QHU40" s="9"/>
      <c r="QHV40" s="9"/>
      <c r="QHW40" s="9"/>
      <c r="QHX40" s="10"/>
      <c r="QHY40" s="11"/>
      <c r="QHZ40" s="12"/>
      <c r="QIA40" s="12"/>
      <c r="QIB40" s="12"/>
      <c r="QIC40" s="13"/>
      <c r="QID40" s="9"/>
      <c r="QIE40" s="9"/>
      <c r="QIF40" s="9"/>
      <c r="QIG40" s="9"/>
      <c r="QIH40" s="10"/>
      <c r="QII40" s="11"/>
      <c r="QIJ40" s="12"/>
      <c r="QIK40" s="12"/>
      <c r="QIL40" s="12"/>
      <c r="QIM40" s="13"/>
      <c r="QIN40" s="9"/>
      <c r="QIO40" s="9"/>
      <c r="QIP40" s="9"/>
      <c r="QIQ40" s="9"/>
      <c r="QIR40" s="10"/>
      <c r="QIS40" s="11"/>
      <c r="QIT40" s="12"/>
      <c r="QIU40" s="12"/>
      <c r="QIV40" s="12"/>
      <c r="QIW40" s="13"/>
      <c r="QIX40" s="9"/>
      <c r="QIY40" s="9"/>
      <c r="QIZ40" s="9"/>
      <c r="QJA40" s="9"/>
      <c r="QJB40" s="10"/>
      <c r="QJC40" s="11"/>
      <c r="QJD40" s="12"/>
      <c r="QJE40" s="12"/>
      <c r="QJF40" s="12"/>
      <c r="QJG40" s="13"/>
      <c r="QJH40" s="9"/>
      <c r="QJI40" s="9"/>
      <c r="QJJ40" s="9"/>
      <c r="QJK40" s="9"/>
      <c r="QJL40" s="10"/>
      <c r="QJM40" s="11"/>
      <c r="QJN40" s="12"/>
      <c r="QJO40" s="12"/>
      <c r="QJP40" s="12"/>
      <c r="QJQ40" s="13"/>
      <c r="QJR40" s="9"/>
      <c r="QJS40" s="9"/>
      <c r="QJT40" s="9"/>
      <c r="QJU40" s="9"/>
      <c r="QJV40" s="10"/>
      <c r="QJW40" s="11"/>
      <c r="QJX40" s="12"/>
      <c r="QJY40" s="12"/>
      <c r="QJZ40" s="12"/>
      <c r="QKA40" s="13"/>
      <c r="QKB40" s="9"/>
      <c r="QKC40" s="9"/>
      <c r="QKD40" s="9"/>
      <c r="QKE40" s="9"/>
      <c r="QKF40" s="10"/>
      <c r="QKG40" s="11"/>
      <c r="QKH40" s="12"/>
      <c r="QKI40" s="12"/>
      <c r="QKJ40" s="12"/>
      <c r="QKK40" s="13"/>
      <c r="QKL40" s="9"/>
      <c r="QKM40" s="9"/>
      <c r="QKN40" s="9"/>
      <c r="QKO40" s="9"/>
      <c r="QKP40" s="10"/>
      <c r="QKQ40" s="11"/>
      <c r="QKR40" s="12"/>
      <c r="QKS40" s="12"/>
      <c r="QKT40" s="12"/>
      <c r="QKU40" s="13"/>
      <c r="QKV40" s="9"/>
      <c r="QKW40" s="9"/>
      <c r="QKX40" s="9"/>
      <c r="QKY40" s="9"/>
      <c r="QKZ40" s="10"/>
      <c r="QLA40" s="11"/>
      <c r="QLB40" s="12"/>
      <c r="QLC40" s="12"/>
      <c r="QLD40" s="12"/>
      <c r="QLE40" s="13"/>
      <c r="QLF40" s="9"/>
      <c r="QLG40" s="9"/>
      <c r="QLH40" s="9"/>
      <c r="QLI40" s="9"/>
      <c r="QLJ40" s="10"/>
      <c r="QLK40" s="11"/>
      <c r="QLL40" s="12"/>
      <c r="QLM40" s="12"/>
      <c r="QLN40" s="12"/>
      <c r="QLO40" s="13"/>
      <c r="QLP40" s="9"/>
      <c r="QLQ40" s="9"/>
      <c r="QLR40" s="9"/>
      <c r="QLS40" s="9"/>
      <c r="QLT40" s="10"/>
      <c r="QLU40" s="11"/>
      <c r="QLV40" s="12"/>
      <c r="QLW40" s="12"/>
      <c r="QLX40" s="12"/>
      <c r="QLY40" s="13"/>
      <c r="QLZ40" s="9"/>
      <c r="QMA40" s="9"/>
      <c r="QMB40" s="9"/>
      <c r="QMC40" s="9"/>
      <c r="QMD40" s="10"/>
      <c r="QME40" s="11"/>
      <c r="QMF40" s="12"/>
      <c r="QMG40" s="12"/>
      <c r="QMH40" s="12"/>
      <c r="QMI40" s="13"/>
      <c r="QMJ40" s="9"/>
      <c r="QMK40" s="9"/>
      <c r="QML40" s="9"/>
      <c r="QMM40" s="9"/>
      <c r="QMN40" s="10"/>
      <c r="QMO40" s="11"/>
      <c r="QMP40" s="12"/>
      <c r="QMQ40" s="12"/>
      <c r="QMR40" s="12"/>
      <c r="QMS40" s="13"/>
      <c r="QMT40" s="9"/>
      <c r="QMU40" s="9"/>
      <c r="QMV40" s="9"/>
      <c r="QMW40" s="9"/>
      <c r="QMX40" s="10"/>
      <c r="QMY40" s="11"/>
      <c r="QMZ40" s="12"/>
      <c r="QNA40" s="12"/>
      <c r="QNB40" s="12"/>
      <c r="QNC40" s="13"/>
      <c r="QND40" s="9"/>
      <c r="QNE40" s="9"/>
      <c r="QNF40" s="9"/>
      <c r="QNG40" s="9"/>
      <c r="QNH40" s="10"/>
      <c r="QNI40" s="11"/>
      <c r="QNJ40" s="12"/>
      <c r="QNK40" s="12"/>
      <c r="QNL40" s="12"/>
      <c r="QNM40" s="13"/>
      <c r="QNN40" s="9"/>
      <c r="QNO40" s="9"/>
      <c r="QNP40" s="9"/>
      <c r="QNQ40" s="9"/>
      <c r="QNR40" s="10"/>
      <c r="QNS40" s="11"/>
      <c r="QNT40" s="12"/>
      <c r="QNU40" s="12"/>
      <c r="QNV40" s="12"/>
      <c r="QNW40" s="13"/>
      <c r="QNX40" s="9"/>
      <c r="QNY40" s="9"/>
      <c r="QNZ40" s="9"/>
      <c r="QOA40" s="9"/>
      <c r="QOB40" s="10"/>
      <c r="QOC40" s="11"/>
      <c r="QOD40" s="12"/>
      <c r="QOE40" s="12"/>
      <c r="QOF40" s="12"/>
      <c r="QOG40" s="13"/>
      <c r="QOH40" s="9"/>
      <c r="QOI40" s="9"/>
      <c r="QOJ40" s="9"/>
      <c r="QOK40" s="9"/>
      <c r="QOL40" s="10"/>
      <c r="QOM40" s="11"/>
      <c r="QON40" s="12"/>
      <c r="QOO40" s="12"/>
      <c r="QOP40" s="12"/>
      <c r="QOQ40" s="13"/>
      <c r="QOR40" s="9"/>
      <c r="QOS40" s="9"/>
      <c r="QOT40" s="9"/>
      <c r="QOU40" s="9"/>
      <c r="QOV40" s="10"/>
      <c r="QOW40" s="11"/>
      <c r="QOX40" s="12"/>
      <c r="QOY40" s="12"/>
      <c r="QOZ40" s="12"/>
      <c r="QPA40" s="13"/>
      <c r="QPB40" s="9"/>
      <c r="QPC40" s="9"/>
      <c r="QPD40" s="9"/>
      <c r="QPE40" s="9"/>
      <c r="QPF40" s="10"/>
      <c r="QPG40" s="11"/>
      <c r="QPH40" s="12"/>
      <c r="QPI40" s="12"/>
      <c r="QPJ40" s="12"/>
      <c r="QPK40" s="13"/>
      <c r="QPL40" s="9"/>
      <c r="QPM40" s="9"/>
      <c r="QPN40" s="9"/>
      <c r="QPO40" s="9"/>
      <c r="QPP40" s="10"/>
      <c r="QPQ40" s="11"/>
      <c r="QPR40" s="12"/>
      <c r="QPS40" s="12"/>
      <c r="QPT40" s="12"/>
      <c r="QPU40" s="13"/>
      <c r="QPV40" s="9"/>
      <c r="QPW40" s="9"/>
      <c r="QPX40" s="9"/>
      <c r="QPY40" s="9"/>
      <c r="QPZ40" s="10"/>
      <c r="QQA40" s="11"/>
      <c r="QQB40" s="12"/>
      <c r="QQC40" s="12"/>
      <c r="QQD40" s="12"/>
      <c r="QQE40" s="13"/>
      <c r="QQF40" s="9"/>
      <c r="QQG40" s="9"/>
      <c r="QQH40" s="9"/>
      <c r="QQI40" s="9"/>
      <c r="QQJ40" s="10"/>
      <c r="QQK40" s="11"/>
      <c r="QQL40" s="12"/>
      <c r="QQM40" s="12"/>
      <c r="QQN40" s="12"/>
      <c r="QQO40" s="13"/>
      <c r="QQP40" s="9"/>
      <c r="QQQ40" s="9"/>
      <c r="QQR40" s="9"/>
      <c r="QQS40" s="9"/>
      <c r="QQT40" s="10"/>
      <c r="QQU40" s="11"/>
      <c r="QQV40" s="12"/>
      <c r="QQW40" s="12"/>
      <c r="QQX40" s="12"/>
      <c r="QQY40" s="13"/>
      <c r="QQZ40" s="9"/>
      <c r="QRA40" s="9"/>
      <c r="QRB40" s="9"/>
      <c r="QRC40" s="9"/>
      <c r="QRD40" s="10"/>
      <c r="QRE40" s="11"/>
      <c r="QRF40" s="12"/>
      <c r="QRG40" s="12"/>
      <c r="QRH40" s="12"/>
      <c r="QRI40" s="13"/>
      <c r="QRJ40" s="9"/>
      <c r="QRK40" s="9"/>
      <c r="QRL40" s="9"/>
      <c r="QRM40" s="9"/>
      <c r="QRN40" s="10"/>
      <c r="QRO40" s="11"/>
      <c r="QRP40" s="12"/>
      <c r="QRQ40" s="12"/>
      <c r="QRR40" s="12"/>
      <c r="QRS40" s="13"/>
      <c r="QRT40" s="9"/>
      <c r="QRU40" s="9"/>
      <c r="QRV40" s="9"/>
      <c r="QRW40" s="9"/>
      <c r="QRX40" s="10"/>
      <c r="QRY40" s="11"/>
      <c r="QRZ40" s="12"/>
      <c r="QSA40" s="12"/>
      <c r="QSB40" s="12"/>
      <c r="QSC40" s="13"/>
      <c r="QSD40" s="9"/>
      <c r="QSE40" s="9"/>
      <c r="QSF40" s="9"/>
      <c r="QSG40" s="9"/>
      <c r="QSH40" s="10"/>
      <c r="QSI40" s="11"/>
      <c r="QSJ40" s="12"/>
      <c r="QSK40" s="12"/>
      <c r="QSL40" s="12"/>
      <c r="QSM40" s="13"/>
      <c r="QSN40" s="9"/>
      <c r="QSO40" s="9"/>
      <c r="QSP40" s="9"/>
      <c r="QSQ40" s="9"/>
      <c r="QSR40" s="10"/>
      <c r="QSS40" s="11"/>
      <c r="QST40" s="12"/>
      <c r="QSU40" s="12"/>
      <c r="QSV40" s="12"/>
      <c r="QSW40" s="13"/>
      <c r="QSX40" s="9"/>
      <c r="QSY40" s="9"/>
      <c r="QSZ40" s="9"/>
      <c r="QTA40" s="9"/>
      <c r="QTB40" s="10"/>
      <c r="QTC40" s="11"/>
      <c r="QTD40" s="12"/>
      <c r="QTE40" s="12"/>
      <c r="QTF40" s="12"/>
      <c r="QTG40" s="13"/>
      <c r="QTH40" s="9"/>
      <c r="QTI40" s="9"/>
      <c r="QTJ40" s="9"/>
      <c r="QTK40" s="9"/>
      <c r="QTL40" s="10"/>
      <c r="QTM40" s="11"/>
      <c r="QTN40" s="12"/>
      <c r="QTO40" s="12"/>
      <c r="QTP40" s="12"/>
      <c r="QTQ40" s="13"/>
      <c r="QTR40" s="9"/>
      <c r="QTS40" s="9"/>
      <c r="QTT40" s="9"/>
      <c r="QTU40" s="9"/>
      <c r="QTV40" s="10"/>
      <c r="QTW40" s="11"/>
      <c r="QTX40" s="12"/>
      <c r="QTY40" s="12"/>
      <c r="QTZ40" s="12"/>
      <c r="QUA40" s="13"/>
      <c r="QUB40" s="9"/>
      <c r="QUC40" s="9"/>
      <c r="QUD40" s="9"/>
      <c r="QUE40" s="9"/>
      <c r="QUF40" s="10"/>
      <c r="QUG40" s="11"/>
      <c r="QUH40" s="12"/>
      <c r="QUI40" s="12"/>
      <c r="QUJ40" s="12"/>
      <c r="QUK40" s="13"/>
      <c r="QUL40" s="9"/>
      <c r="QUM40" s="9"/>
      <c r="QUN40" s="9"/>
      <c r="QUO40" s="9"/>
      <c r="QUP40" s="10"/>
      <c r="QUQ40" s="11"/>
      <c r="QUR40" s="12"/>
      <c r="QUS40" s="12"/>
      <c r="QUT40" s="12"/>
      <c r="QUU40" s="13"/>
      <c r="QUV40" s="9"/>
      <c r="QUW40" s="9"/>
      <c r="QUX40" s="9"/>
      <c r="QUY40" s="9"/>
      <c r="QUZ40" s="10"/>
      <c r="QVA40" s="11"/>
      <c r="QVB40" s="12"/>
      <c r="QVC40" s="12"/>
      <c r="QVD40" s="12"/>
      <c r="QVE40" s="13"/>
      <c r="QVF40" s="9"/>
      <c r="QVG40" s="9"/>
      <c r="QVH40" s="9"/>
      <c r="QVI40" s="9"/>
      <c r="QVJ40" s="10"/>
      <c r="QVK40" s="11"/>
      <c r="QVL40" s="12"/>
      <c r="QVM40" s="12"/>
      <c r="QVN40" s="12"/>
      <c r="QVO40" s="13"/>
      <c r="QVP40" s="9"/>
      <c r="QVQ40" s="9"/>
      <c r="QVR40" s="9"/>
      <c r="QVS40" s="9"/>
      <c r="QVT40" s="10"/>
      <c r="QVU40" s="11"/>
      <c r="QVV40" s="12"/>
      <c r="QVW40" s="12"/>
      <c r="QVX40" s="12"/>
      <c r="QVY40" s="13"/>
      <c r="QVZ40" s="9"/>
      <c r="QWA40" s="9"/>
      <c r="QWB40" s="9"/>
      <c r="QWC40" s="9"/>
      <c r="QWD40" s="10"/>
      <c r="QWE40" s="11"/>
      <c r="QWF40" s="12"/>
      <c r="QWG40" s="12"/>
      <c r="QWH40" s="12"/>
      <c r="QWI40" s="13"/>
      <c r="QWJ40" s="9"/>
      <c r="QWK40" s="9"/>
      <c r="QWL40" s="9"/>
      <c r="QWM40" s="9"/>
      <c r="QWN40" s="10"/>
      <c r="QWO40" s="11"/>
      <c r="QWP40" s="12"/>
      <c r="QWQ40" s="12"/>
      <c r="QWR40" s="12"/>
      <c r="QWS40" s="13"/>
      <c r="QWT40" s="9"/>
      <c r="QWU40" s="9"/>
      <c r="QWV40" s="9"/>
      <c r="QWW40" s="9"/>
      <c r="QWX40" s="10"/>
      <c r="QWY40" s="11"/>
      <c r="QWZ40" s="12"/>
      <c r="QXA40" s="12"/>
      <c r="QXB40" s="12"/>
      <c r="QXC40" s="13"/>
      <c r="QXD40" s="9"/>
      <c r="QXE40" s="9"/>
      <c r="QXF40" s="9"/>
      <c r="QXG40" s="9"/>
      <c r="QXH40" s="10"/>
      <c r="QXI40" s="11"/>
      <c r="QXJ40" s="12"/>
      <c r="QXK40" s="12"/>
      <c r="QXL40" s="12"/>
      <c r="QXM40" s="13"/>
      <c r="QXN40" s="9"/>
      <c r="QXO40" s="9"/>
      <c r="QXP40" s="9"/>
      <c r="QXQ40" s="9"/>
      <c r="QXR40" s="10"/>
      <c r="QXS40" s="11"/>
      <c r="QXT40" s="12"/>
      <c r="QXU40" s="12"/>
      <c r="QXV40" s="12"/>
      <c r="QXW40" s="13"/>
      <c r="QXX40" s="9"/>
      <c r="QXY40" s="9"/>
      <c r="QXZ40" s="9"/>
      <c r="QYA40" s="9"/>
      <c r="QYB40" s="10"/>
      <c r="QYC40" s="11"/>
      <c r="QYD40" s="12"/>
      <c r="QYE40" s="12"/>
      <c r="QYF40" s="12"/>
      <c r="QYG40" s="13"/>
      <c r="QYH40" s="9"/>
      <c r="QYI40" s="9"/>
      <c r="QYJ40" s="9"/>
      <c r="QYK40" s="9"/>
      <c r="QYL40" s="10"/>
      <c r="QYM40" s="11"/>
      <c r="QYN40" s="12"/>
      <c r="QYO40" s="12"/>
      <c r="QYP40" s="12"/>
      <c r="QYQ40" s="13"/>
      <c r="QYR40" s="9"/>
      <c r="QYS40" s="9"/>
      <c r="QYT40" s="9"/>
      <c r="QYU40" s="9"/>
      <c r="QYV40" s="10"/>
      <c r="QYW40" s="11"/>
      <c r="QYX40" s="12"/>
      <c r="QYY40" s="12"/>
      <c r="QYZ40" s="12"/>
      <c r="QZA40" s="13"/>
      <c r="QZB40" s="9"/>
      <c r="QZC40" s="9"/>
      <c r="QZD40" s="9"/>
      <c r="QZE40" s="9"/>
      <c r="QZF40" s="10"/>
      <c r="QZG40" s="11"/>
      <c r="QZH40" s="12"/>
      <c r="QZI40" s="12"/>
      <c r="QZJ40" s="12"/>
      <c r="QZK40" s="13"/>
      <c r="QZL40" s="9"/>
      <c r="QZM40" s="9"/>
      <c r="QZN40" s="9"/>
      <c r="QZO40" s="9"/>
      <c r="QZP40" s="10"/>
      <c r="QZQ40" s="11"/>
      <c r="QZR40" s="12"/>
      <c r="QZS40" s="12"/>
      <c r="QZT40" s="12"/>
      <c r="QZU40" s="13"/>
      <c r="QZV40" s="9"/>
      <c r="QZW40" s="9"/>
      <c r="QZX40" s="9"/>
      <c r="QZY40" s="9"/>
      <c r="QZZ40" s="10"/>
      <c r="RAA40" s="11"/>
      <c r="RAB40" s="12"/>
      <c r="RAC40" s="12"/>
      <c r="RAD40" s="12"/>
      <c r="RAE40" s="13"/>
      <c r="RAF40" s="9"/>
      <c r="RAG40" s="9"/>
      <c r="RAH40" s="9"/>
      <c r="RAI40" s="9"/>
      <c r="RAJ40" s="10"/>
      <c r="RAK40" s="11"/>
      <c r="RAL40" s="12"/>
      <c r="RAM40" s="12"/>
      <c r="RAN40" s="12"/>
      <c r="RAO40" s="13"/>
      <c r="RAP40" s="9"/>
      <c r="RAQ40" s="9"/>
      <c r="RAR40" s="9"/>
      <c r="RAS40" s="9"/>
      <c r="RAT40" s="10"/>
      <c r="RAU40" s="11"/>
      <c r="RAV40" s="12"/>
      <c r="RAW40" s="12"/>
      <c r="RAX40" s="12"/>
      <c r="RAY40" s="13"/>
      <c r="RAZ40" s="9"/>
      <c r="RBA40" s="9"/>
      <c r="RBB40" s="9"/>
      <c r="RBC40" s="9"/>
      <c r="RBD40" s="10"/>
      <c r="RBE40" s="11"/>
      <c r="RBF40" s="12"/>
      <c r="RBG40" s="12"/>
      <c r="RBH40" s="12"/>
      <c r="RBI40" s="13"/>
      <c r="RBJ40" s="9"/>
      <c r="RBK40" s="9"/>
      <c r="RBL40" s="9"/>
      <c r="RBM40" s="9"/>
      <c r="RBN40" s="10"/>
      <c r="RBO40" s="11"/>
      <c r="RBP40" s="12"/>
      <c r="RBQ40" s="12"/>
      <c r="RBR40" s="12"/>
      <c r="RBS40" s="13"/>
      <c r="RBT40" s="9"/>
      <c r="RBU40" s="9"/>
      <c r="RBV40" s="9"/>
      <c r="RBW40" s="9"/>
      <c r="RBX40" s="10"/>
      <c r="RBY40" s="11"/>
      <c r="RBZ40" s="12"/>
      <c r="RCA40" s="12"/>
      <c r="RCB40" s="12"/>
      <c r="RCC40" s="13"/>
      <c r="RCD40" s="9"/>
      <c r="RCE40" s="9"/>
      <c r="RCF40" s="9"/>
      <c r="RCG40" s="9"/>
      <c r="RCH40" s="10"/>
      <c r="RCI40" s="11"/>
      <c r="RCJ40" s="12"/>
      <c r="RCK40" s="12"/>
      <c r="RCL40" s="12"/>
      <c r="RCM40" s="13"/>
      <c r="RCN40" s="9"/>
      <c r="RCO40" s="9"/>
      <c r="RCP40" s="9"/>
      <c r="RCQ40" s="9"/>
      <c r="RCR40" s="10"/>
      <c r="RCS40" s="11"/>
      <c r="RCT40" s="12"/>
      <c r="RCU40" s="12"/>
      <c r="RCV40" s="12"/>
      <c r="RCW40" s="13"/>
      <c r="RCX40" s="9"/>
      <c r="RCY40" s="9"/>
      <c r="RCZ40" s="9"/>
      <c r="RDA40" s="9"/>
      <c r="RDB40" s="10"/>
      <c r="RDC40" s="11"/>
      <c r="RDD40" s="12"/>
      <c r="RDE40" s="12"/>
      <c r="RDF40" s="12"/>
      <c r="RDG40" s="13"/>
      <c r="RDH40" s="9"/>
      <c r="RDI40" s="9"/>
      <c r="RDJ40" s="9"/>
      <c r="RDK40" s="9"/>
      <c r="RDL40" s="10"/>
      <c r="RDM40" s="11"/>
      <c r="RDN40" s="12"/>
      <c r="RDO40" s="12"/>
      <c r="RDP40" s="12"/>
      <c r="RDQ40" s="13"/>
      <c r="RDR40" s="9"/>
      <c r="RDS40" s="9"/>
      <c r="RDT40" s="9"/>
      <c r="RDU40" s="9"/>
      <c r="RDV40" s="10"/>
      <c r="RDW40" s="11"/>
      <c r="RDX40" s="12"/>
      <c r="RDY40" s="12"/>
      <c r="RDZ40" s="12"/>
      <c r="REA40" s="13"/>
      <c r="REB40" s="9"/>
      <c r="REC40" s="9"/>
      <c r="RED40" s="9"/>
      <c r="REE40" s="9"/>
      <c r="REF40" s="10"/>
      <c r="REG40" s="11"/>
      <c r="REH40" s="12"/>
      <c r="REI40" s="12"/>
      <c r="REJ40" s="12"/>
      <c r="REK40" s="13"/>
      <c r="REL40" s="9"/>
      <c r="REM40" s="9"/>
      <c r="REN40" s="9"/>
      <c r="REO40" s="9"/>
      <c r="REP40" s="10"/>
      <c r="REQ40" s="11"/>
      <c r="RER40" s="12"/>
      <c r="RES40" s="12"/>
      <c r="RET40" s="12"/>
      <c r="REU40" s="13"/>
      <c r="REV40" s="9"/>
      <c r="REW40" s="9"/>
      <c r="REX40" s="9"/>
      <c r="REY40" s="9"/>
      <c r="REZ40" s="10"/>
      <c r="RFA40" s="11"/>
      <c r="RFB40" s="12"/>
      <c r="RFC40" s="12"/>
      <c r="RFD40" s="12"/>
      <c r="RFE40" s="13"/>
      <c r="RFF40" s="9"/>
      <c r="RFG40" s="9"/>
      <c r="RFH40" s="9"/>
      <c r="RFI40" s="9"/>
      <c r="RFJ40" s="10"/>
      <c r="RFK40" s="11"/>
      <c r="RFL40" s="12"/>
      <c r="RFM40" s="12"/>
      <c r="RFN40" s="12"/>
      <c r="RFO40" s="13"/>
      <c r="RFP40" s="9"/>
      <c r="RFQ40" s="9"/>
      <c r="RFR40" s="9"/>
      <c r="RFS40" s="9"/>
      <c r="RFT40" s="10"/>
      <c r="RFU40" s="11"/>
      <c r="RFV40" s="12"/>
      <c r="RFW40" s="12"/>
      <c r="RFX40" s="12"/>
      <c r="RFY40" s="13"/>
      <c r="RFZ40" s="9"/>
      <c r="RGA40" s="9"/>
      <c r="RGB40" s="9"/>
      <c r="RGC40" s="9"/>
      <c r="RGD40" s="10"/>
      <c r="RGE40" s="11"/>
      <c r="RGF40" s="12"/>
      <c r="RGG40" s="12"/>
      <c r="RGH40" s="12"/>
      <c r="RGI40" s="13"/>
      <c r="RGJ40" s="9"/>
      <c r="RGK40" s="9"/>
      <c r="RGL40" s="9"/>
      <c r="RGM40" s="9"/>
      <c r="RGN40" s="10"/>
      <c r="RGO40" s="11"/>
      <c r="RGP40" s="12"/>
      <c r="RGQ40" s="12"/>
      <c r="RGR40" s="12"/>
      <c r="RGS40" s="13"/>
      <c r="RGT40" s="9"/>
      <c r="RGU40" s="9"/>
      <c r="RGV40" s="9"/>
      <c r="RGW40" s="9"/>
      <c r="RGX40" s="10"/>
      <c r="RGY40" s="11"/>
      <c r="RGZ40" s="12"/>
      <c r="RHA40" s="12"/>
      <c r="RHB40" s="12"/>
      <c r="RHC40" s="13"/>
      <c r="RHD40" s="9"/>
      <c r="RHE40" s="9"/>
      <c r="RHF40" s="9"/>
      <c r="RHG40" s="9"/>
      <c r="RHH40" s="10"/>
      <c r="RHI40" s="11"/>
      <c r="RHJ40" s="12"/>
      <c r="RHK40" s="12"/>
      <c r="RHL40" s="12"/>
      <c r="RHM40" s="13"/>
      <c r="RHN40" s="9"/>
      <c r="RHO40" s="9"/>
      <c r="RHP40" s="9"/>
      <c r="RHQ40" s="9"/>
      <c r="RHR40" s="10"/>
      <c r="RHS40" s="11"/>
      <c r="RHT40" s="12"/>
      <c r="RHU40" s="12"/>
      <c r="RHV40" s="12"/>
      <c r="RHW40" s="13"/>
      <c r="RHX40" s="9"/>
      <c r="RHY40" s="9"/>
      <c r="RHZ40" s="9"/>
      <c r="RIA40" s="9"/>
      <c r="RIB40" s="10"/>
      <c r="RIC40" s="11"/>
      <c r="RID40" s="12"/>
      <c r="RIE40" s="12"/>
      <c r="RIF40" s="12"/>
      <c r="RIG40" s="13"/>
      <c r="RIH40" s="9"/>
      <c r="RII40" s="9"/>
      <c r="RIJ40" s="9"/>
      <c r="RIK40" s="9"/>
      <c r="RIL40" s="10"/>
      <c r="RIM40" s="11"/>
      <c r="RIN40" s="12"/>
      <c r="RIO40" s="12"/>
      <c r="RIP40" s="12"/>
      <c r="RIQ40" s="13"/>
      <c r="RIR40" s="9"/>
      <c r="RIS40" s="9"/>
      <c r="RIT40" s="9"/>
      <c r="RIU40" s="9"/>
      <c r="RIV40" s="10"/>
      <c r="RIW40" s="11"/>
      <c r="RIX40" s="12"/>
      <c r="RIY40" s="12"/>
      <c r="RIZ40" s="12"/>
      <c r="RJA40" s="13"/>
      <c r="RJB40" s="9"/>
      <c r="RJC40" s="9"/>
      <c r="RJD40" s="9"/>
      <c r="RJE40" s="9"/>
      <c r="RJF40" s="10"/>
      <c r="RJG40" s="11"/>
      <c r="RJH40" s="12"/>
      <c r="RJI40" s="12"/>
      <c r="RJJ40" s="12"/>
      <c r="RJK40" s="13"/>
      <c r="RJL40" s="9"/>
      <c r="RJM40" s="9"/>
      <c r="RJN40" s="9"/>
      <c r="RJO40" s="9"/>
      <c r="RJP40" s="10"/>
      <c r="RJQ40" s="11"/>
      <c r="RJR40" s="12"/>
      <c r="RJS40" s="12"/>
      <c r="RJT40" s="12"/>
      <c r="RJU40" s="13"/>
      <c r="RJV40" s="9"/>
      <c r="RJW40" s="9"/>
      <c r="RJX40" s="9"/>
      <c r="RJY40" s="9"/>
      <c r="RJZ40" s="10"/>
      <c r="RKA40" s="11"/>
      <c r="RKB40" s="12"/>
      <c r="RKC40" s="12"/>
      <c r="RKD40" s="12"/>
      <c r="RKE40" s="13"/>
      <c r="RKF40" s="9"/>
      <c r="RKG40" s="9"/>
      <c r="RKH40" s="9"/>
      <c r="RKI40" s="9"/>
      <c r="RKJ40" s="10"/>
      <c r="RKK40" s="11"/>
      <c r="RKL40" s="12"/>
      <c r="RKM40" s="12"/>
      <c r="RKN40" s="12"/>
      <c r="RKO40" s="13"/>
      <c r="RKP40" s="9"/>
      <c r="RKQ40" s="9"/>
      <c r="RKR40" s="9"/>
      <c r="RKS40" s="9"/>
      <c r="RKT40" s="10"/>
      <c r="RKU40" s="11"/>
      <c r="RKV40" s="12"/>
      <c r="RKW40" s="12"/>
      <c r="RKX40" s="12"/>
      <c r="RKY40" s="13"/>
      <c r="RKZ40" s="9"/>
      <c r="RLA40" s="9"/>
      <c r="RLB40" s="9"/>
      <c r="RLC40" s="9"/>
      <c r="RLD40" s="10"/>
      <c r="RLE40" s="11"/>
      <c r="RLF40" s="12"/>
      <c r="RLG40" s="12"/>
      <c r="RLH40" s="12"/>
      <c r="RLI40" s="13"/>
      <c r="RLJ40" s="9"/>
      <c r="RLK40" s="9"/>
      <c r="RLL40" s="9"/>
      <c r="RLM40" s="9"/>
      <c r="RLN40" s="10"/>
      <c r="RLO40" s="11"/>
      <c r="RLP40" s="12"/>
      <c r="RLQ40" s="12"/>
      <c r="RLR40" s="12"/>
      <c r="RLS40" s="13"/>
      <c r="RLT40" s="9"/>
      <c r="RLU40" s="9"/>
      <c r="RLV40" s="9"/>
      <c r="RLW40" s="9"/>
      <c r="RLX40" s="10"/>
      <c r="RLY40" s="11"/>
      <c r="RLZ40" s="12"/>
      <c r="RMA40" s="12"/>
      <c r="RMB40" s="12"/>
      <c r="RMC40" s="13"/>
      <c r="RMD40" s="9"/>
      <c r="RME40" s="9"/>
      <c r="RMF40" s="9"/>
      <c r="RMG40" s="9"/>
      <c r="RMH40" s="10"/>
      <c r="RMI40" s="11"/>
      <c r="RMJ40" s="12"/>
      <c r="RMK40" s="12"/>
      <c r="RML40" s="12"/>
      <c r="RMM40" s="13"/>
      <c r="RMN40" s="9"/>
      <c r="RMO40" s="9"/>
      <c r="RMP40" s="9"/>
      <c r="RMQ40" s="9"/>
      <c r="RMR40" s="10"/>
      <c r="RMS40" s="11"/>
      <c r="RMT40" s="12"/>
      <c r="RMU40" s="12"/>
      <c r="RMV40" s="12"/>
      <c r="RMW40" s="13"/>
      <c r="RMX40" s="9"/>
      <c r="RMY40" s="9"/>
      <c r="RMZ40" s="9"/>
      <c r="RNA40" s="9"/>
      <c r="RNB40" s="10"/>
      <c r="RNC40" s="11"/>
      <c r="RND40" s="12"/>
      <c r="RNE40" s="12"/>
      <c r="RNF40" s="12"/>
      <c r="RNG40" s="13"/>
      <c r="RNH40" s="9"/>
      <c r="RNI40" s="9"/>
      <c r="RNJ40" s="9"/>
      <c r="RNK40" s="9"/>
      <c r="RNL40" s="10"/>
      <c r="RNM40" s="11"/>
      <c r="RNN40" s="12"/>
      <c r="RNO40" s="12"/>
      <c r="RNP40" s="12"/>
      <c r="RNQ40" s="13"/>
      <c r="RNR40" s="9"/>
      <c r="RNS40" s="9"/>
      <c r="RNT40" s="9"/>
      <c r="RNU40" s="9"/>
      <c r="RNV40" s="10"/>
      <c r="RNW40" s="11"/>
      <c r="RNX40" s="12"/>
      <c r="RNY40" s="12"/>
      <c r="RNZ40" s="12"/>
      <c r="ROA40" s="13"/>
      <c r="ROB40" s="9"/>
      <c r="ROC40" s="9"/>
      <c r="ROD40" s="9"/>
      <c r="ROE40" s="9"/>
      <c r="ROF40" s="10"/>
      <c r="ROG40" s="11"/>
      <c r="ROH40" s="12"/>
      <c r="ROI40" s="12"/>
      <c r="ROJ40" s="12"/>
      <c r="ROK40" s="13"/>
      <c r="ROL40" s="9"/>
      <c r="ROM40" s="9"/>
      <c r="RON40" s="9"/>
      <c r="ROO40" s="9"/>
      <c r="ROP40" s="10"/>
      <c r="ROQ40" s="11"/>
      <c r="ROR40" s="12"/>
      <c r="ROS40" s="12"/>
      <c r="ROT40" s="12"/>
      <c r="ROU40" s="13"/>
      <c r="ROV40" s="9"/>
      <c r="ROW40" s="9"/>
      <c r="ROX40" s="9"/>
      <c r="ROY40" s="9"/>
      <c r="ROZ40" s="10"/>
      <c r="RPA40" s="11"/>
      <c r="RPB40" s="12"/>
      <c r="RPC40" s="12"/>
      <c r="RPD40" s="12"/>
      <c r="RPE40" s="13"/>
      <c r="RPF40" s="9"/>
      <c r="RPG40" s="9"/>
      <c r="RPH40" s="9"/>
      <c r="RPI40" s="9"/>
      <c r="RPJ40" s="10"/>
      <c r="RPK40" s="11"/>
      <c r="RPL40" s="12"/>
      <c r="RPM40" s="12"/>
      <c r="RPN40" s="12"/>
      <c r="RPO40" s="13"/>
      <c r="RPP40" s="9"/>
      <c r="RPQ40" s="9"/>
      <c r="RPR40" s="9"/>
      <c r="RPS40" s="9"/>
      <c r="RPT40" s="10"/>
      <c r="RPU40" s="11"/>
      <c r="RPV40" s="12"/>
      <c r="RPW40" s="12"/>
      <c r="RPX40" s="12"/>
      <c r="RPY40" s="13"/>
      <c r="RPZ40" s="9"/>
      <c r="RQA40" s="9"/>
      <c r="RQB40" s="9"/>
      <c r="RQC40" s="9"/>
      <c r="RQD40" s="10"/>
      <c r="RQE40" s="11"/>
      <c r="RQF40" s="12"/>
      <c r="RQG40" s="12"/>
      <c r="RQH40" s="12"/>
      <c r="RQI40" s="13"/>
      <c r="RQJ40" s="9"/>
      <c r="RQK40" s="9"/>
      <c r="RQL40" s="9"/>
      <c r="RQM40" s="9"/>
      <c r="RQN40" s="10"/>
      <c r="RQO40" s="11"/>
      <c r="RQP40" s="12"/>
      <c r="RQQ40" s="12"/>
      <c r="RQR40" s="12"/>
      <c r="RQS40" s="13"/>
      <c r="RQT40" s="9"/>
      <c r="RQU40" s="9"/>
      <c r="RQV40" s="9"/>
      <c r="RQW40" s="9"/>
      <c r="RQX40" s="10"/>
      <c r="RQY40" s="11"/>
      <c r="RQZ40" s="12"/>
      <c r="RRA40" s="12"/>
      <c r="RRB40" s="12"/>
      <c r="RRC40" s="13"/>
      <c r="RRD40" s="9"/>
      <c r="RRE40" s="9"/>
      <c r="RRF40" s="9"/>
      <c r="RRG40" s="9"/>
      <c r="RRH40" s="10"/>
      <c r="RRI40" s="11"/>
      <c r="RRJ40" s="12"/>
      <c r="RRK40" s="12"/>
      <c r="RRL40" s="12"/>
      <c r="RRM40" s="13"/>
      <c r="RRN40" s="9"/>
      <c r="RRO40" s="9"/>
      <c r="RRP40" s="9"/>
      <c r="RRQ40" s="9"/>
      <c r="RRR40" s="10"/>
      <c r="RRS40" s="11"/>
      <c r="RRT40" s="12"/>
      <c r="RRU40" s="12"/>
      <c r="RRV40" s="12"/>
      <c r="RRW40" s="13"/>
      <c r="RRX40" s="9"/>
      <c r="RRY40" s="9"/>
      <c r="RRZ40" s="9"/>
      <c r="RSA40" s="9"/>
      <c r="RSB40" s="10"/>
      <c r="RSC40" s="11"/>
      <c r="RSD40" s="12"/>
      <c r="RSE40" s="12"/>
      <c r="RSF40" s="12"/>
      <c r="RSG40" s="13"/>
      <c r="RSH40" s="9"/>
      <c r="RSI40" s="9"/>
      <c r="RSJ40" s="9"/>
      <c r="RSK40" s="9"/>
      <c r="RSL40" s="10"/>
      <c r="RSM40" s="11"/>
      <c r="RSN40" s="12"/>
      <c r="RSO40" s="12"/>
      <c r="RSP40" s="12"/>
      <c r="RSQ40" s="13"/>
      <c r="RSR40" s="9"/>
      <c r="RSS40" s="9"/>
      <c r="RST40" s="9"/>
      <c r="RSU40" s="9"/>
      <c r="RSV40" s="10"/>
      <c r="RSW40" s="11"/>
      <c r="RSX40" s="12"/>
      <c r="RSY40" s="12"/>
      <c r="RSZ40" s="12"/>
      <c r="RTA40" s="13"/>
      <c r="RTB40" s="9"/>
      <c r="RTC40" s="9"/>
      <c r="RTD40" s="9"/>
      <c r="RTE40" s="9"/>
      <c r="RTF40" s="10"/>
      <c r="RTG40" s="11"/>
      <c r="RTH40" s="12"/>
      <c r="RTI40" s="12"/>
      <c r="RTJ40" s="12"/>
      <c r="RTK40" s="13"/>
      <c r="RTL40" s="9"/>
      <c r="RTM40" s="9"/>
      <c r="RTN40" s="9"/>
      <c r="RTO40" s="9"/>
      <c r="RTP40" s="10"/>
      <c r="RTQ40" s="11"/>
      <c r="RTR40" s="12"/>
      <c r="RTS40" s="12"/>
      <c r="RTT40" s="12"/>
      <c r="RTU40" s="13"/>
      <c r="RTV40" s="9"/>
      <c r="RTW40" s="9"/>
      <c r="RTX40" s="9"/>
      <c r="RTY40" s="9"/>
      <c r="RTZ40" s="10"/>
      <c r="RUA40" s="11"/>
      <c r="RUB40" s="12"/>
      <c r="RUC40" s="12"/>
      <c r="RUD40" s="12"/>
      <c r="RUE40" s="13"/>
      <c r="RUF40" s="9"/>
      <c r="RUG40" s="9"/>
      <c r="RUH40" s="9"/>
      <c r="RUI40" s="9"/>
      <c r="RUJ40" s="10"/>
      <c r="RUK40" s="11"/>
      <c r="RUL40" s="12"/>
      <c r="RUM40" s="12"/>
      <c r="RUN40" s="12"/>
      <c r="RUO40" s="13"/>
      <c r="RUP40" s="9"/>
      <c r="RUQ40" s="9"/>
      <c r="RUR40" s="9"/>
      <c r="RUS40" s="9"/>
      <c r="RUT40" s="10"/>
      <c r="RUU40" s="11"/>
      <c r="RUV40" s="12"/>
      <c r="RUW40" s="12"/>
      <c r="RUX40" s="12"/>
      <c r="RUY40" s="13"/>
      <c r="RUZ40" s="9"/>
      <c r="RVA40" s="9"/>
      <c r="RVB40" s="9"/>
      <c r="RVC40" s="9"/>
      <c r="RVD40" s="10"/>
      <c r="RVE40" s="11"/>
      <c r="RVF40" s="12"/>
      <c r="RVG40" s="12"/>
      <c r="RVH40" s="12"/>
      <c r="RVI40" s="13"/>
      <c r="RVJ40" s="9"/>
      <c r="RVK40" s="9"/>
      <c r="RVL40" s="9"/>
      <c r="RVM40" s="9"/>
      <c r="RVN40" s="10"/>
      <c r="RVO40" s="11"/>
      <c r="RVP40" s="12"/>
      <c r="RVQ40" s="12"/>
      <c r="RVR40" s="12"/>
      <c r="RVS40" s="13"/>
      <c r="RVT40" s="9"/>
      <c r="RVU40" s="9"/>
      <c r="RVV40" s="9"/>
      <c r="RVW40" s="9"/>
      <c r="RVX40" s="10"/>
      <c r="RVY40" s="11"/>
      <c r="RVZ40" s="12"/>
      <c r="RWA40" s="12"/>
      <c r="RWB40" s="12"/>
      <c r="RWC40" s="13"/>
      <c r="RWD40" s="9"/>
      <c r="RWE40" s="9"/>
      <c r="RWF40" s="9"/>
      <c r="RWG40" s="9"/>
      <c r="RWH40" s="10"/>
      <c r="RWI40" s="11"/>
      <c r="RWJ40" s="12"/>
      <c r="RWK40" s="12"/>
      <c r="RWL40" s="12"/>
      <c r="RWM40" s="13"/>
      <c r="RWN40" s="9"/>
      <c r="RWO40" s="9"/>
      <c r="RWP40" s="9"/>
      <c r="RWQ40" s="9"/>
      <c r="RWR40" s="10"/>
      <c r="RWS40" s="11"/>
      <c r="RWT40" s="12"/>
      <c r="RWU40" s="12"/>
      <c r="RWV40" s="12"/>
      <c r="RWW40" s="13"/>
      <c r="RWX40" s="9"/>
      <c r="RWY40" s="9"/>
      <c r="RWZ40" s="9"/>
      <c r="RXA40" s="9"/>
      <c r="RXB40" s="10"/>
      <c r="RXC40" s="11"/>
      <c r="RXD40" s="12"/>
      <c r="RXE40" s="12"/>
      <c r="RXF40" s="12"/>
      <c r="RXG40" s="13"/>
      <c r="RXH40" s="9"/>
      <c r="RXI40" s="9"/>
      <c r="RXJ40" s="9"/>
      <c r="RXK40" s="9"/>
      <c r="RXL40" s="10"/>
      <c r="RXM40" s="11"/>
      <c r="RXN40" s="12"/>
      <c r="RXO40" s="12"/>
      <c r="RXP40" s="12"/>
      <c r="RXQ40" s="13"/>
      <c r="RXR40" s="9"/>
      <c r="RXS40" s="9"/>
      <c r="RXT40" s="9"/>
      <c r="RXU40" s="9"/>
      <c r="RXV40" s="10"/>
      <c r="RXW40" s="11"/>
      <c r="RXX40" s="12"/>
      <c r="RXY40" s="12"/>
      <c r="RXZ40" s="12"/>
      <c r="RYA40" s="13"/>
      <c r="RYB40" s="9"/>
      <c r="RYC40" s="9"/>
      <c r="RYD40" s="9"/>
      <c r="RYE40" s="9"/>
      <c r="RYF40" s="10"/>
      <c r="RYG40" s="11"/>
      <c r="RYH40" s="12"/>
      <c r="RYI40" s="12"/>
      <c r="RYJ40" s="12"/>
      <c r="RYK40" s="13"/>
      <c r="RYL40" s="9"/>
      <c r="RYM40" s="9"/>
      <c r="RYN40" s="9"/>
      <c r="RYO40" s="9"/>
      <c r="RYP40" s="10"/>
      <c r="RYQ40" s="11"/>
      <c r="RYR40" s="12"/>
      <c r="RYS40" s="12"/>
      <c r="RYT40" s="12"/>
      <c r="RYU40" s="13"/>
      <c r="RYV40" s="9"/>
      <c r="RYW40" s="9"/>
      <c r="RYX40" s="9"/>
      <c r="RYY40" s="9"/>
      <c r="RYZ40" s="10"/>
      <c r="RZA40" s="11"/>
      <c r="RZB40" s="12"/>
      <c r="RZC40" s="12"/>
      <c r="RZD40" s="12"/>
      <c r="RZE40" s="13"/>
      <c r="RZF40" s="9"/>
      <c r="RZG40" s="9"/>
      <c r="RZH40" s="9"/>
      <c r="RZI40" s="9"/>
      <c r="RZJ40" s="10"/>
      <c r="RZK40" s="11"/>
      <c r="RZL40" s="12"/>
      <c r="RZM40" s="12"/>
      <c r="RZN40" s="12"/>
      <c r="RZO40" s="13"/>
      <c r="RZP40" s="9"/>
      <c r="RZQ40" s="9"/>
      <c r="RZR40" s="9"/>
      <c r="RZS40" s="9"/>
      <c r="RZT40" s="10"/>
      <c r="RZU40" s="11"/>
      <c r="RZV40" s="12"/>
      <c r="RZW40" s="12"/>
      <c r="RZX40" s="12"/>
      <c r="RZY40" s="13"/>
      <c r="RZZ40" s="9"/>
      <c r="SAA40" s="9"/>
      <c r="SAB40" s="9"/>
      <c r="SAC40" s="9"/>
      <c r="SAD40" s="10"/>
      <c r="SAE40" s="11"/>
      <c r="SAF40" s="12"/>
      <c r="SAG40" s="12"/>
      <c r="SAH40" s="12"/>
      <c r="SAI40" s="13"/>
      <c r="SAJ40" s="9"/>
      <c r="SAK40" s="9"/>
      <c r="SAL40" s="9"/>
      <c r="SAM40" s="9"/>
      <c r="SAN40" s="10"/>
      <c r="SAO40" s="11"/>
      <c r="SAP40" s="12"/>
      <c r="SAQ40" s="12"/>
      <c r="SAR40" s="12"/>
      <c r="SAS40" s="13"/>
      <c r="SAT40" s="9"/>
      <c r="SAU40" s="9"/>
      <c r="SAV40" s="9"/>
      <c r="SAW40" s="9"/>
      <c r="SAX40" s="10"/>
      <c r="SAY40" s="11"/>
      <c r="SAZ40" s="12"/>
      <c r="SBA40" s="12"/>
      <c r="SBB40" s="12"/>
      <c r="SBC40" s="13"/>
      <c r="SBD40" s="9"/>
      <c r="SBE40" s="9"/>
      <c r="SBF40" s="9"/>
      <c r="SBG40" s="9"/>
      <c r="SBH40" s="10"/>
      <c r="SBI40" s="11"/>
      <c r="SBJ40" s="12"/>
      <c r="SBK40" s="12"/>
      <c r="SBL40" s="12"/>
      <c r="SBM40" s="13"/>
      <c r="SBN40" s="9"/>
      <c r="SBO40" s="9"/>
      <c r="SBP40" s="9"/>
      <c r="SBQ40" s="9"/>
      <c r="SBR40" s="10"/>
      <c r="SBS40" s="11"/>
      <c r="SBT40" s="12"/>
      <c r="SBU40" s="12"/>
      <c r="SBV40" s="12"/>
      <c r="SBW40" s="13"/>
      <c r="SBX40" s="9"/>
      <c r="SBY40" s="9"/>
      <c r="SBZ40" s="9"/>
      <c r="SCA40" s="9"/>
      <c r="SCB40" s="10"/>
      <c r="SCC40" s="11"/>
      <c r="SCD40" s="12"/>
      <c r="SCE40" s="12"/>
      <c r="SCF40" s="12"/>
      <c r="SCG40" s="13"/>
      <c r="SCH40" s="9"/>
      <c r="SCI40" s="9"/>
      <c r="SCJ40" s="9"/>
      <c r="SCK40" s="9"/>
      <c r="SCL40" s="10"/>
      <c r="SCM40" s="11"/>
      <c r="SCN40" s="12"/>
      <c r="SCO40" s="12"/>
      <c r="SCP40" s="12"/>
      <c r="SCQ40" s="13"/>
      <c r="SCR40" s="9"/>
      <c r="SCS40" s="9"/>
      <c r="SCT40" s="9"/>
      <c r="SCU40" s="9"/>
      <c r="SCV40" s="10"/>
      <c r="SCW40" s="11"/>
      <c r="SCX40" s="12"/>
      <c r="SCY40" s="12"/>
      <c r="SCZ40" s="12"/>
      <c r="SDA40" s="13"/>
      <c r="SDB40" s="9"/>
      <c r="SDC40" s="9"/>
      <c r="SDD40" s="9"/>
      <c r="SDE40" s="9"/>
      <c r="SDF40" s="10"/>
      <c r="SDG40" s="11"/>
      <c r="SDH40" s="12"/>
      <c r="SDI40" s="12"/>
      <c r="SDJ40" s="12"/>
      <c r="SDK40" s="13"/>
      <c r="SDL40" s="9"/>
      <c r="SDM40" s="9"/>
      <c r="SDN40" s="9"/>
      <c r="SDO40" s="9"/>
      <c r="SDP40" s="10"/>
      <c r="SDQ40" s="11"/>
      <c r="SDR40" s="12"/>
      <c r="SDS40" s="12"/>
      <c r="SDT40" s="12"/>
      <c r="SDU40" s="13"/>
      <c r="SDV40" s="9"/>
      <c r="SDW40" s="9"/>
      <c r="SDX40" s="9"/>
      <c r="SDY40" s="9"/>
      <c r="SDZ40" s="10"/>
      <c r="SEA40" s="11"/>
      <c r="SEB40" s="12"/>
      <c r="SEC40" s="12"/>
      <c r="SED40" s="12"/>
      <c r="SEE40" s="13"/>
      <c r="SEF40" s="9"/>
      <c r="SEG40" s="9"/>
      <c r="SEH40" s="9"/>
      <c r="SEI40" s="9"/>
      <c r="SEJ40" s="10"/>
      <c r="SEK40" s="11"/>
      <c r="SEL40" s="12"/>
      <c r="SEM40" s="12"/>
      <c r="SEN40" s="12"/>
      <c r="SEO40" s="13"/>
      <c r="SEP40" s="9"/>
      <c r="SEQ40" s="9"/>
      <c r="SER40" s="9"/>
      <c r="SES40" s="9"/>
      <c r="SET40" s="10"/>
      <c r="SEU40" s="11"/>
      <c r="SEV40" s="12"/>
      <c r="SEW40" s="12"/>
      <c r="SEX40" s="12"/>
      <c r="SEY40" s="13"/>
      <c r="SEZ40" s="9"/>
      <c r="SFA40" s="9"/>
      <c r="SFB40" s="9"/>
      <c r="SFC40" s="9"/>
      <c r="SFD40" s="10"/>
      <c r="SFE40" s="11"/>
      <c r="SFF40" s="12"/>
      <c r="SFG40" s="12"/>
      <c r="SFH40" s="12"/>
      <c r="SFI40" s="13"/>
      <c r="SFJ40" s="9"/>
      <c r="SFK40" s="9"/>
      <c r="SFL40" s="9"/>
      <c r="SFM40" s="9"/>
      <c r="SFN40" s="10"/>
      <c r="SFO40" s="11"/>
      <c r="SFP40" s="12"/>
      <c r="SFQ40" s="12"/>
      <c r="SFR40" s="12"/>
      <c r="SFS40" s="13"/>
      <c r="SFT40" s="9"/>
      <c r="SFU40" s="9"/>
      <c r="SFV40" s="9"/>
      <c r="SFW40" s="9"/>
      <c r="SFX40" s="10"/>
      <c r="SFY40" s="11"/>
      <c r="SFZ40" s="12"/>
      <c r="SGA40" s="12"/>
      <c r="SGB40" s="12"/>
      <c r="SGC40" s="13"/>
      <c r="SGD40" s="9"/>
      <c r="SGE40" s="9"/>
      <c r="SGF40" s="9"/>
      <c r="SGG40" s="9"/>
      <c r="SGH40" s="10"/>
      <c r="SGI40" s="11"/>
      <c r="SGJ40" s="12"/>
      <c r="SGK40" s="12"/>
      <c r="SGL40" s="12"/>
      <c r="SGM40" s="13"/>
      <c r="SGN40" s="9"/>
      <c r="SGO40" s="9"/>
      <c r="SGP40" s="9"/>
      <c r="SGQ40" s="9"/>
      <c r="SGR40" s="10"/>
      <c r="SGS40" s="11"/>
      <c r="SGT40" s="12"/>
      <c r="SGU40" s="12"/>
      <c r="SGV40" s="12"/>
      <c r="SGW40" s="13"/>
      <c r="SGX40" s="9"/>
      <c r="SGY40" s="9"/>
      <c r="SGZ40" s="9"/>
      <c r="SHA40" s="9"/>
      <c r="SHB40" s="10"/>
      <c r="SHC40" s="11"/>
      <c r="SHD40" s="12"/>
      <c r="SHE40" s="12"/>
      <c r="SHF40" s="12"/>
      <c r="SHG40" s="13"/>
      <c r="SHH40" s="9"/>
      <c r="SHI40" s="9"/>
      <c r="SHJ40" s="9"/>
      <c r="SHK40" s="9"/>
      <c r="SHL40" s="10"/>
      <c r="SHM40" s="11"/>
      <c r="SHN40" s="12"/>
      <c r="SHO40" s="12"/>
      <c r="SHP40" s="12"/>
      <c r="SHQ40" s="13"/>
      <c r="SHR40" s="9"/>
      <c r="SHS40" s="9"/>
      <c r="SHT40" s="9"/>
      <c r="SHU40" s="9"/>
      <c r="SHV40" s="10"/>
      <c r="SHW40" s="11"/>
      <c r="SHX40" s="12"/>
      <c r="SHY40" s="12"/>
      <c r="SHZ40" s="12"/>
      <c r="SIA40" s="13"/>
      <c r="SIB40" s="9"/>
      <c r="SIC40" s="9"/>
      <c r="SID40" s="9"/>
      <c r="SIE40" s="9"/>
      <c r="SIF40" s="10"/>
      <c r="SIG40" s="11"/>
      <c r="SIH40" s="12"/>
      <c r="SII40" s="12"/>
      <c r="SIJ40" s="12"/>
      <c r="SIK40" s="13"/>
      <c r="SIL40" s="9"/>
      <c r="SIM40" s="9"/>
      <c r="SIN40" s="9"/>
      <c r="SIO40" s="9"/>
      <c r="SIP40" s="10"/>
      <c r="SIQ40" s="11"/>
      <c r="SIR40" s="12"/>
      <c r="SIS40" s="12"/>
      <c r="SIT40" s="12"/>
      <c r="SIU40" s="13"/>
      <c r="SIV40" s="9"/>
      <c r="SIW40" s="9"/>
      <c r="SIX40" s="9"/>
      <c r="SIY40" s="9"/>
      <c r="SIZ40" s="10"/>
      <c r="SJA40" s="11"/>
      <c r="SJB40" s="12"/>
      <c r="SJC40" s="12"/>
      <c r="SJD40" s="12"/>
      <c r="SJE40" s="13"/>
      <c r="SJF40" s="9"/>
      <c r="SJG40" s="9"/>
      <c r="SJH40" s="9"/>
      <c r="SJI40" s="9"/>
      <c r="SJJ40" s="10"/>
      <c r="SJK40" s="11"/>
      <c r="SJL40" s="12"/>
      <c r="SJM40" s="12"/>
      <c r="SJN40" s="12"/>
      <c r="SJO40" s="13"/>
      <c r="SJP40" s="9"/>
      <c r="SJQ40" s="9"/>
      <c r="SJR40" s="9"/>
      <c r="SJS40" s="9"/>
      <c r="SJT40" s="10"/>
      <c r="SJU40" s="11"/>
      <c r="SJV40" s="12"/>
      <c r="SJW40" s="12"/>
      <c r="SJX40" s="12"/>
      <c r="SJY40" s="13"/>
      <c r="SJZ40" s="9"/>
      <c r="SKA40" s="9"/>
      <c r="SKB40" s="9"/>
      <c r="SKC40" s="9"/>
      <c r="SKD40" s="10"/>
      <c r="SKE40" s="11"/>
      <c r="SKF40" s="12"/>
      <c r="SKG40" s="12"/>
      <c r="SKH40" s="12"/>
      <c r="SKI40" s="13"/>
      <c r="SKJ40" s="9"/>
      <c r="SKK40" s="9"/>
      <c r="SKL40" s="9"/>
      <c r="SKM40" s="9"/>
      <c r="SKN40" s="10"/>
      <c r="SKO40" s="11"/>
      <c r="SKP40" s="12"/>
      <c r="SKQ40" s="12"/>
      <c r="SKR40" s="12"/>
      <c r="SKS40" s="13"/>
      <c r="SKT40" s="9"/>
      <c r="SKU40" s="9"/>
      <c r="SKV40" s="9"/>
      <c r="SKW40" s="9"/>
      <c r="SKX40" s="10"/>
      <c r="SKY40" s="11"/>
      <c r="SKZ40" s="12"/>
      <c r="SLA40" s="12"/>
      <c r="SLB40" s="12"/>
      <c r="SLC40" s="13"/>
      <c r="SLD40" s="9"/>
      <c r="SLE40" s="9"/>
      <c r="SLF40" s="9"/>
      <c r="SLG40" s="9"/>
      <c r="SLH40" s="10"/>
      <c r="SLI40" s="11"/>
      <c r="SLJ40" s="12"/>
      <c r="SLK40" s="12"/>
      <c r="SLL40" s="12"/>
      <c r="SLM40" s="13"/>
      <c r="SLN40" s="9"/>
      <c r="SLO40" s="9"/>
      <c r="SLP40" s="9"/>
      <c r="SLQ40" s="9"/>
      <c r="SLR40" s="10"/>
      <c r="SLS40" s="11"/>
      <c r="SLT40" s="12"/>
      <c r="SLU40" s="12"/>
      <c r="SLV40" s="12"/>
      <c r="SLW40" s="13"/>
      <c r="SLX40" s="9"/>
      <c r="SLY40" s="9"/>
      <c r="SLZ40" s="9"/>
      <c r="SMA40" s="9"/>
      <c r="SMB40" s="10"/>
      <c r="SMC40" s="11"/>
      <c r="SMD40" s="12"/>
      <c r="SME40" s="12"/>
      <c r="SMF40" s="12"/>
      <c r="SMG40" s="13"/>
      <c r="SMH40" s="9"/>
      <c r="SMI40" s="9"/>
      <c r="SMJ40" s="9"/>
      <c r="SMK40" s="9"/>
      <c r="SML40" s="10"/>
      <c r="SMM40" s="11"/>
      <c r="SMN40" s="12"/>
      <c r="SMO40" s="12"/>
      <c r="SMP40" s="12"/>
      <c r="SMQ40" s="13"/>
      <c r="SMR40" s="9"/>
      <c r="SMS40" s="9"/>
      <c r="SMT40" s="9"/>
      <c r="SMU40" s="9"/>
      <c r="SMV40" s="10"/>
      <c r="SMW40" s="11"/>
      <c r="SMX40" s="12"/>
      <c r="SMY40" s="12"/>
      <c r="SMZ40" s="12"/>
      <c r="SNA40" s="13"/>
      <c r="SNB40" s="9"/>
      <c r="SNC40" s="9"/>
      <c r="SND40" s="9"/>
      <c r="SNE40" s="9"/>
      <c r="SNF40" s="10"/>
      <c r="SNG40" s="11"/>
      <c r="SNH40" s="12"/>
      <c r="SNI40" s="12"/>
      <c r="SNJ40" s="12"/>
      <c r="SNK40" s="13"/>
      <c r="SNL40" s="9"/>
      <c r="SNM40" s="9"/>
      <c r="SNN40" s="9"/>
      <c r="SNO40" s="9"/>
      <c r="SNP40" s="10"/>
      <c r="SNQ40" s="11"/>
      <c r="SNR40" s="12"/>
      <c r="SNS40" s="12"/>
      <c r="SNT40" s="12"/>
      <c r="SNU40" s="13"/>
      <c r="SNV40" s="9"/>
      <c r="SNW40" s="9"/>
      <c r="SNX40" s="9"/>
      <c r="SNY40" s="9"/>
      <c r="SNZ40" s="10"/>
      <c r="SOA40" s="11"/>
      <c r="SOB40" s="12"/>
      <c r="SOC40" s="12"/>
      <c r="SOD40" s="12"/>
      <c r="SOE40" s="13"/>
      <c r="SOF40" s="9"/>
      <c r="SOG40" s="9"/>
      <c r="SOH40" s="9"/>
      <c r="SOI40" s="9"/>
      <c r="SOJ40" s="10"/>
      <c r="SOK40" s="11"/>
      <c r="SOL40" s="12"/>
      <c r="SOM40" s="12"/>
      <c r="SON40" s="12"/>
      <c r="SOO40" s="13"/>
      <c r="SOP40" s="9"/>
      <c r="SOQ40" s="9"/>
      <c r="SOR40" s="9"/>
      <c r="SOS40" s="9"/>
      <c r="SOT40" s="10"/>
      <c r="SOU40" s="11"/>
      <c r="SOV40" s="12"/>
      <c r="SOW40" s="12"/>
      <c r="SOX40" s="12"/>
      <c r="SOY40" s="13"/>
      <c r="SOZ40" s="9"/>
      <c r="SPA40" s="9"/>
      <c r="SPB40" s="9"/>
      <c r="SPC40" s="9"/>
      <c r="SPD40" s="10"/>
      <c r="SPE40" s="11"/>
      <c r="SPF40" s="12"/>
      <c r="SPG40" s="12"/>
      <c r="SPH40" s="12"/>
      <c r="SPI40" s="13"/>
      <c r="SPJ40" s="9"/>
      <c r="SPK40" s="9"/>
      <c r="SPL40" s="9"/>
      <c r="SPM40" s="9"/>
      <c r="SPN40" s="10"/>
      <c r="SPO40" s="11"/>
      <c r="SPP40" s="12"/>
      <c r="SPQ40" s="12"/>
      <c r="SPR40" s="12"/>
      <c r="SPS40" s="13"/>
      <c r="SPT40" s="9"/>
      <c r="SPU40" s="9"/>
      <c r="SPV40" s="9"/>
      <c r="SPW40" s="9"/>
      <c r="SPX40" s="10"/>
      <c r="SPY40" s="11"/>
      <c r="SPZ40" s="12"/>
      <c r="SQA40" s="12"/>
      <c r="SQB40" s="12"/>
      <c r="SQC40" s="13"/>
      <c r="SQD40" s="9"/>
      <c r="SQE40" s="9"/>
      <c r="SQF40" s="9"/>
      <c r="SQG40" s="9"/>
      <c r="SQH40" s="10"/>
      <c r="SQI40" s="11"/>
      <c r="SQJ40" s="12"/>
      <c r="SQK40" s="12"/>
      <c r="SQL40" s="12"/>
      <c r="SQM40" s="13"/>
      <c r="SQN40" s="9"/>
      <c r="SQO40" s="9"/>
      <c r="SQP40" s="9"/>
      <c r="SQQ40" s="9"/>
      <c r="SQR40" s="10"/>
      <c r="SQS40" s="11"/>
      <c r="SQT40" s="12"/>
      <c r="SQU40" s="12"/>
      <c r="SQV40" s="12"/>
      <c r="SQW40" s="13"/>
      <c r="SQX40" s="9"/>
      <c r="SQY40" s="9"/>
      <c r="SQZ40" s="9"/>
      <c r="SRA40" s="9"/>
      <c r="SRB40" s="10"/>
      <c r="SRC40" s="11"/>
      <c r="SRD40" s="12"/>
      <c r="SRE40" s="12"/>
      <c r="SRF40" s="12"/>
      <c r="SRG40" s="13"/>
      <c r="SRH40" s="9"/>
      <c r="SRI40" s="9"/>
      <c r="SRJ40" s="9"/>
      <c r="SRK40" s="9"/>
      <c r="SRL40" s="10"/>
      <c r="SRM40" s="11"/>
      <c r="SRN40" s="12"/>
      <c r="SRO40" s="12"/>
      <c r="SRP40" s="12"/>
      <c r="SRQ40" s="13"/>
      <c r="SRR40" s="9"/>
      <c r="SRS40" s="9"/>
      <c r="SRT40" s="9"/>
      <c r="SRU40" s="9"/>
      <c r="SRV40" s="10"/>
      <c r="SRW40" s="11"/>
      <c r="SRX40" s="12"/>
      <c r="SRY40" s="12"/>
      <c r="SRZ40" s="12"/>
      <c r="SSA40" s="13"/>
      <c r="SSB40" s="9"/>
      <c r="SSC40" s="9"/>
      <c r="SSD40" s="9"/>
      <c r="SSE40" s="9"/>
      <c r="SSF40" s="10"/>
      <c r="SSG40" s="11"/>
      <c r="SSH40" s="12"/>
      <c r="SSI40" s="12"/>
      <c r="SSJ40" s="12"/>
      <c r="SSK40" s="13"/>
      <c r="SSL40" s="9"/>
      <c r="SSM40" s="9"/>
      <c r="SSN40" s="9"/>
      <c r="SSO40" s="9"/>
      <c r="SSP40" s="10"/>
      <c r="SSQ40" s="11"/>
      <c r="SSR40" s="12"/>
      <c r="SSS40" s="12"/>
      <c r="SST40" s="12"/>
      <c r="SSU40" s="13"/>
      <c r="SSV40" s="9"/>
      <c r="SSW40" s="9"/>
      <c r="SSX40" s="9"/>
      <c r="SSY40" s="9"/>
      <c r="SSZ40" s="10"/>
      <c r="STA40" s="11"/>
      <c r="STB40" s="12"/>
      <c r="STC40" s="12"/>
      <c r="STD40" s="12"/>
      <c r="STE40" s="13"/>
      <c r="STF40" s="9"/>
      <c r="STG40" s="9"/>
      <c r="STH40" s="9"/>
      <c r="STI40" s="9"/>
      <c r="STJ40" s="10"/>
      <c r="STK40" s="11"/>
      <c r="STL40" s="12"/>
      <c r="STM40" s="12"/>
      <c r="STN40" s="12"/>
      <c r="STO40" s="13"/>
      <c r="STP40" s="9"/>
      <c r="STQ40" s="9"/>
      <c r="STR40" s="9"/>
      <c r="STS40" s="9"/>
      <c r="STT40" s="10"/>
      <c r="STU40" s="11"/>
      <c r="STV40" s="12"/>
      <c r="STW40" s="12"/>
      <c r="STX40" s="12"/>
      <c r="STY40" s="13"/>
      <c r="STZ40" s="9"/>
      <c r="SUA40" s="9"/>
      <c r="SUB40" s="9"/>
      <c r="SUC40" s="9"/>
      <c r="SUD40" s="10"/>
      <c r="SUE40" s="11"/>
      <c r="SUF40" s="12"/>
      <c r="SUG40" s="12"/>
      <c r="SUH40" s="12"/>
      <c r="SUI40" s="13"/>
      <c r="SUJ40" s="9"/>
      <c r="SUK40" s="9"/>
      <c r="SUL40" s="9"/>
      <c r="SUM40" s="9"/>
      <c r="SUN40" s="10"/>
      <c r="SUO40" s="11"/>
      <c r="SUP40" s="12"/>
      <c r="SUQ40" s="12"/>
      <c r="SUR40" s="12"/>
      <c r="SUS40" s="13"/>
      <c r="SUT40" s="9"/>
      <c r="SUU40" s="9"/>
      <c r="SUV40" s="9"/>
      <c r="SUW40" s="9"/>
      <c r="SUX40" s="10"/>
      <c r="SUY40" s="11"/>
      <c r="SUZ40" s="12"/>
      <c r="SVA40" s="12"/>
      <c r="SVB40" s="12"/>
      <c r="SVC40" s="13"/>
      <c r="SVD40" s="9"/>
      <c r="SVE40" s="9"/>
      <c r="SVF40" s="9"/>
      <c r="SVG40" s="9"/>
      <c r="SVH40" s="10"/>
      <c r="SVI40" s="11"/>
      <c r="SVJ40" s="12"/>
      <c r="SVK40" s="12"/>
      <c r="SVL40" s="12"/>
      <c r="SVM40" s="13"/>
      <c r="SVN40" s="9"/>
      <c r="SVO40" s="9"/>
      <c r="SVP40" s="9"/>
      <c r="SVQ40" s="9"/>
      <c r="SVR40" s="10"/>
      <c r="SVS40" s="11"/>
      <c r="SVT40" s="12"/>
      <c r="SVU40" s="12"/>
      <c r="SVV40" s="12"/>
      <c r="SVW40" s="13"/>
      <c r="SVX40" s="9"/>
      <c r="SVY40" s="9"/>
      <c r="SVZ40" s="9"/>
      <c r="SWA40" s="9"/>
      <c r="SWB40" s="10"/>
      <c r="SWC40" s="11"/>
      <c r="SWD40" s="12"/>
      <c r="SWE40" s="12"/>
      <c r="SWF40" s="12"/>
      <c r="SWG40" s="13"/>
      <c r="SWH40" s="9"/>
      <c r="SWI40" s="9"/>
      <c r="SWJ40" s="9"/>
      <c r="SWK40" s="9"/>
      <c r="SWL40" s="10"/>
      <c r="SWM40" s="11"/>
      <c r="SWN40" s="12"/>
      <c r="SWO40" s="12"/>
      <c r="SWP40" s="12"/>
      <c r="SWQ40" s="13"/>
      <c r="SWR40" s="9"/>
      <c r="SWS40" s="9"/>
      <c r="SWT40" s="9"/>
      <c r="SWU40" s="9"/>
      <c r="SWV40" s="10"/>
      <c r="SWW40" s="11"/>
      <c r="SWX40" s="12"/>
      <c r="SWY40" s="12"/>
      <c r="SWZ40" s="12"/>
      <c r="SXA40" s="13"/>
      <c r="SXB40" s="9"/>
      <c r="SXC40" s="9"/>
      <c r="SXD40" s="9"/>
      <c r="SXE40" s="9"/>
      <c r="SXF40" s="10"/>
      <c r="SXG40" s="11"/>
      <c r="SXH40" s="12"/>
      <c r="SXI40" s="12"/>
      <c r="SXJ40" s="12"/>
      <c r="SXK40" s="13"/>
      <c r="SXL40" s="9"/>
      <c r="SXM40" s="9"/>
      <c r="SXN40" s="9"/>
      <c r="SXO40" s="9"/>
      <c r="SXP40" s="10"/>
      <c r="SXQ40" s="11"/>
      <c r="SXR40" s="12"/>
      <c r="SXS40" s="12"/>
      <c r="SXT40" s="12"/>
      <c r="SXU40" s="13"/>
      <c r="SXV40" s="9"/>
      <c r="SXW40" s="9"/>
      <c r="SXX40" s="9"/>
      <c r="SXY40" s="9"/>
      <c r="SXZ40" s="10"/>
      <c r="SYA40" s="11"/>
      <c r="SYB40" s="12"/>
      <c r="SYC40" s="12"/>
      <c r="SYD40" s="12"/>
      <c r="SYE40" s="13"/>
      <c r="SYF40" s="9"/>
      <c r="SYG40" s="9"/>
      <c r="SYH40" s="9"/>
      <c r="SYI40" s="9"/>
      <c r="SYJ40" s="10"/>
      <c r="SYK40" s="11"/>
      <c r="SYL40" s="12"/>
      <c r="SYM40" s="12"/>
      <c r="SYN40" s="12"/>
      <c r="SYO40" s="13"/>
      <c r="SYP40" s="9"/>
      <c r="SYQ40" s="9"/>
      <c r="SYR40" s="9"/>
      <c r="SYS40" s="9"/>
      <c r="SYT40" s="10"/>
      <c r="SYU40" s="11"/>
      <c r="SYV40" s="12"/>
      <c r="SYW40" s="12"/>
      <c r="SYX40" s="12"/>
      <c r="SYY40" s="13"/>
      <c r="SYZ40" s="9"/>
      <c r="SZA40" s="9"/>
      <c r="SZB40" s="9"/>
      <c r="SZC40" s="9"/>
      <c r="SZD40" s="10"/>
      <c r="SZE40" s="11"/>
      <c r="SZF40" s="12"/>
      <c r="SZG40" s="12"/>
      <c r="SZH40" s="12"/>
      <c r="SZI40" s="13"/>
      <c r="SZJ40" s="9"/>
      <c r="SZK40" s="9"/>
      <c r="SZL40" s="9"/>
      <c r="SZM40" s="9"/>
      <c r="SZN40" s="10"/>
      <c r="SZO40" s="11"/>
      <c r="SZP40" s="12"/>
      <c r="SZQ40" s="12"/>
      <c r="SZR40" s="12"/>
      <c r="SZS40" s="13"/>
      <c r="SZT40" s="9"/>
      <c r="SZU40" s="9"/>
      <c r="SZV40" s="9"/>
      <c r="SZW40" s="9"/>
      <c r="SZX40" s="10"/>
      <c r="SZY40" s="11"/>
      <c r="SZZ40" s="12"/>
      <c r="TAA40" s="12"/>
      <c r="TAB40" s="12"/>
      <c r="TAC40" s="13"/>
      <c r="TAD40" s="9"/>
      <c r="TAE40" s="9"/>
      <c r="TAF40" s="9"/>
      <c r="TAG40" s="9"/>
      <c r="TAH40" s="10"/>
      <c r="TAI40" s="11"/>
      <c r="TAJ40" s="12"/>
      <c r="TAK40" s="12"/>
      <c r="TAL40" s="12"/>
      <c r="TAM40" s="13"/>
      <c r="TAN40" s="9"/>
      <c r="TAO40" s="9"/>
      <c r="TAP40" s="9"/>
      <c r="TAQ40" s="9"/>
      <c r="TAR40" s="10"/>
      <c r="TAS40" s="11"/>
      <c r="TAT40" s="12"/>
      <c r="TAU40" s="12"/>
      <c r="TAV40" s="12"/>
      <c r="TAW40" s="13"/>
      <c r="TAX40" s="9"/>
      <c r="TAY40" s="9"/>
      <c r="TAZ40" s="9"/>
      <c r="TBA40" s="9"/>
      <c r="TBB40" s="10"/>
      <c r="TBC40" s="11"/>
      <c r="TBD40" s="12"/>
      <c r="TBE40" s="12"/>
      <c r="TBF40" s="12"/>
      <c r="TBG40" s="13"/>
      <c r="TBH40" s="9"/>
      <c r="TBI40" s="9"/>
      <c r="TBJ40" s="9"/>
      <c r="TBK40" s="9"/>
      <c r="TBL40" s="10"/>
      <c r="TBM40" s="11"/>
      <c r="TBN40" s="12"/>
      <c r="TBO40" s="12"/>
      <c r="TBP40" s="12"/>
      <c r="TBQ40" s="13"/>
      <c r="TBR40" s="9"/>
      <c r="TBS40" s="9"/>
      <c r="TBT40" s="9"/>
      <c r="TBU40" s="9"/>
      <c r="TBV40" s="10"/>
      <c r="TBW40" s="11"/>
      <c r="TBX40" s="12"/>
      <c r="TBY40" s="12"/>
      <c r="TBZ40" s="12"/>
      <c r="TCA40" s="13"/>
      <c r="TCB40" s="9"/>
      <c r="TCC40" s="9"/>
      <c r="TCD40" s="9"/>
      <c r="TCE40" s="9"/>
      <c r="TCF40" s="10"/>
      <c r="TCG40" s="11"/>
      <c r="TCH40" s="12"/>
      <c r="TCI40" s="12"/>
      <c r="TCJ40" s="12"/>
      <c r="TCK40" s="13"/>
      <c r="TCL40" s="9"/>
      <c r="TCM40" s="9"/>
      <c r="TCN40" s="9"/>
      <c r="TCO40" s="9"/>
      <c r="TCP40" s="10"/>
      <c r="TCQ40" s="11"/>
      <c r="TCR40" s="12"/>
      <c r="TCS40" s="12"/>
      <c r="TCT40" s="12"/>
      <c r="TCU40" s="13"/>
      <c r="TCV40" s="9"/>
      <c r="TCW40" s="9"/>
      <c r="TCX40" s="9"/>
      <c r="TCY40" s="9"/>
      <c r="TCZ40" s="10"/>
      <c r="TDA40" s="11"/>
      <c r="TDB40" s="12"/>
      <c r="TDC40" s="12"/>
      <c r="TDD40" s="12"/>
      <c r="TDE40" s="13"/>
      <c r="TDF40" s="9"/>
      <c r="TDG40" s="9"/>
      <c r="TDH40" s="9"/>
      <c r="TDI40" s="9"/>
      <c r="TDJ40" s="10"/>
      <c r="TDK40" s="11"/>
      <c r="TDL40" s="12"/>
      <c r="TDM40" s="12"/>
      <c r="TDN40" s="12"/>
      <c r="TDO40" s="13"/>
      <c r="TDP40" s="9"/>
      <c r="TDQ40" s="9"/>
      <c r="TDR40" s="9"/>
      <c r="TDS40" s="9"/>
      <c r="TDT40" s="10"/>
      <c r="TDU40" s="11"/>
      <c r="TDV40" s="12"/>
      <c r="TDW40" s="12"/>
      <c r="TDX40" s="12"/>
      <c r="TDY40" s="13"/>
      <c r="TDZ40" s="9"/>
      <c r="TEA40" s="9"/>
      <c r="TEB40" s="9"/>
      <c r="TEC40" s="9"/>
      <c r="TED40" s="10"/>
      <c r="TEE40" s="11"/>
      <c r="TEF40" s="12"/>
      <c r="TEG40" s="12"/>
      <c r="TEH40" s="12"/>
      <c r="TEI40" s="13"/>
      <c r="TEJ40" s="9"/>
      <c r="TEK40" s="9"/>
      <c r="TEL40" s="9"/>
      <c r="TEM40" s="9"/>
      <c r="TEN40" s="10"/>
      <c r="TEO40" s="11"/>
      <c r="TEP40" s="12"/>
      <c r="TEQ40" s="12"/>
      <c r="TER40" s="12"/>
      <c r="TES40" s="13"/>
      <c r="TET40" s="9"/>
      <c r="TEU40" s="9"/>
      <c r="TEV40" s="9"/>
      <c r="TEW40" s="9"/>
      <c r="TEX40" s="10"/>
      <c r="TEY40" s="11"/>
      <c r="TEZ40" s="12"/>
      <c r="TFA40" s="12"/>
      <c r="TFB40" s="12"/>
      <c r="TFC40" s="13"/>
      <c r="TFD40" s="9"/>
      <c r="TFE40" s="9"/>
      <c r="TFF40" s="9"/>
      <c r="TFG40" s="9"/>
      <c r="TFH40" s="10"/>
      <c r="TFI40" s="11"/>
      <c r="TFJ40" s="12"/>
      <c r="TFK40" s="12"/>
      <c r="TFL40" s="12"/>
      <c r="TFM40" s="13"/>
      <c r="TFN40" s="9"/>
      <c r="TFO40" s="9"/>
      <c r="TFP40" s="9"/>
      <c r="TFQ40" s="9"/>
      <c r="TFR40" s="10"/>
      <c r="TFS40" s="11"/>
      <c r="TFT40" s="12"/>
      <c r="TFU40" s="12"/>
      <c r="TFV40" s="12"/>
      <c r="TFW40" s="13"/>
      <c r="TFX40" s="9"/>
      <c r="TFY40" s="9"/>
      <c r="TFZ40" s="9"/>
      <c r="TGA40" s="9"/>
      <c r="TGB40" s="10"/>
      <c r="TGC40" s="11"/>
      <c r="TGD40" s="12"/>
      <c r="TGE40" s="12"/>
      <c r="TGF40" s="12"/>
      <c r="TGG40" s="13"/>
      <c r="TGH40" s="9"/>
      <c r="TGI40" s="9"/>
      <c r="TGJ40" s="9"/>
      <c r="TGK40" s="9"/>
      <c r="TGL40" s="10"/>
      <c r="TGM40" s="11"/>
      <c r="TGN40" s="12"/>
      <c r="TGO40" s="12"/>
      <c r="TGP40" s="12"/>
      <c r="TGQ40" s="13"/>
      <c r="TGR40" s="9"/>
      <c r="TGS40" s="9"/>
      <c r="TGT40" s="9"/>
      <c r="TGU40" s="9"/>
      <c r="TGV40" s="10"/>
      <c r="TGW40" s="11"/>
      <c r="TGX40" s="12"/>
      <c r="TGY40" s="12"/>
      <c r="TGZ40" s="12"/>
      <c r="THA40" s="13"/>
      <c r="THB40" s="9"/>
      <c r="THC40" s="9"/>
      <c r="THD40" s="9"/>
      <c r="THE40" s="9"/>
      <c r="THF40" s="10"/>
      <c r="THG40" s="11"/>
      <c r="THH40" s="12"/>
      <c r="THI40" s="12"/>
      <c r="THJ40" s="12"/>
      <c r="THK40" s="13"/>
      <c r="THL40" s="9"/>
      <c r="THM40" s="9"/>
      <c r="THN40" s="9"/>
      <c r="THO40" s="9"/>
      <c r="THP40" s="10"/>
      <c r="THQ40" s="11"/>
      <c r="THR40" s="12"/>
      <c r="THS40" s="12"/>
      <c r="THT40" s="12"/>
      <c r="THU40" s="13"/>
      <c r="THV40" s="9"/>
      <c r="THW40" s="9"/>
      <c r="THX40" s="9"/>
      <c r="THY40" s="9"/>
      <c r="THZ40" s="10"/>
      <c r="TIA40" s="11"/>
      <c r="TIB40" s="12"/>
      <c r="TIC40" s="12"/>
      <c r="TID40" s="12"/>
      <c r="TIE40" s="13"/>
      <c r="TIF40" s="9"/>
      <c r="TIG40" s="9"/>
      <c r="TIH40" s="9"/>
      <c r="TII40" s="9"/>
      <c r="TIJ40" s="10"/>
      <c r="TIK40" s="11"/>
      <c r="TIL40" s="12"/>
      <c r="TIM40" s="12"/>
      <c r="TIN40" s="12"/>
      <c r="TIO40" s="13"/>
      <c r="TIP40" s="9"/>
      <c r="TIQ40" s="9"/>
      <c r="TIR40" s="9"/>
      <c r="TIS40" s="9"/>
      <c r="TIT40" s="10"/>
      <c r="TIU40" s="11"/>
      <c r="TIV40" s="12"/>
      <c r="TIW40" s="12"/>
      <c r="TIX40" s="12"/>
      <c r="TIY40" s="13"/>
      <c r="TIZ40" s="9"/>
      <c r="TJA40" s="9"/>
      <c r="TJB40" s="9"/>
      <c r="TJC40" s="9"/>
      <c r="TJD40" s="10"/>
      <c r="TJE40" s="11"/>
      <c r="TJF40" s="12"/>
      <c r="TJG40" s="12"/>
      <c r="TJH40" s="12"/>
      <c r="TJI40" s="13"/>
      <c r="TJJ40" s="9"/>
      <c r="TJK40" s="9"/>
      <c r="TJL40" s="9"/>
      <c r="TJM40" s="9"/>
      <c r="TJN40" s="10"/>
      <c r="TJO40" s="11"/>
      <c r="TJP40" s="12"/>
      <c r="TJQ40" s="12"/>
      <c r="TJR40" s="12"/>
      <c r="TJS40" s="13"/>
      <c r="TJT40" s="9"/>
      <c r="TJU40" s="9"/>
      <c r="TJV40" s="9"/>
      <c r="TJW40" s="9"/>
      <c r="TJX40" s="10"/>
      <c r="TJY40" s="11"/>
      <c r="TJZ40" s="12"/>
      <c r="TKA40" s="12"/>
      <c r="TKB40" s="12"/>
      <c r="TKC40" s="13"/>
      <c r="TKD40" s="9"/>
      <c r="TKE40" s="9"/>
      <c r="TKF40" s="9"/>
      <c r="TKG40" s="9"/>
      <c r="TKH40" s="10"/>
      <c r="TKI40" s="11"/>
      <c r="TKJ40" s="12"/>
      <c r="TKK40" s="12"/>
      <c r="TKL40" s="12"/>
      <c r="TKM40" s="13"/>
      <c r="TKN40" s="9"/>
      <c r="TKO40" s="9"/>
      <c r="TKP40" s="9"/>
      <c r="TKQ40" s="9"/>
      <c r="TKR40" s="10"/>
      <c r="TKS40" s="11"/>
      <c r="TKT40" s="12"/>
      <c r="TKU40" s="12"/>
      <c r="TKV40" s="12"/>
      <c r="TKW40" s="13"/>
      <c r="TKX40" s="9"/>
      <c r="TKY40" s="9"/>
      <c r="TKZ40" s="9"/>
      <c r="TLA40" s="9"/>
      <c r="TLB40" s="10"/>
      <c r="TLC40" s="11"/>
      <c r="TLD40" s="12"/>
      <c r="TLE40" s="12"/>
      <c r="TLF40" s="12"/>
      <c r="TLG40" s="13"/>
      <c r="TLH40" s="9"/>
      <c r="TLI40" s="9"/>
      <c r="TLJ40" s="9"/>
      <c r="TLK40" s="9"/>
      <c r="TLL40" s="10"/>
      <c r="TLM40" s="11"/>
      <c r="TLN40" s="12"/>
      <c r="TLO40" s="12"/>
      <c r="TLP40" s="12"/>
      <c r="TLQ40" s="13"/>
      <c r="TLR40" s="9"/>
      <c r="TLS40" s="9"/>
      <c r="TLT40" s="9"/>
      <c r="TLU40" s="9"/>
      <c r="TLV40" s="10"/>
      <c r="TLW40" s="11"/>
      <c r="TLX40" s="12"/>
      <c r="TLY40" s="12"/>
      <c r="TLZ40" s="12"/>
      <c r="TMA40" s="13"/>
      <c r="TMB40" s="9"/>
      <c r="TMC40" s="9"/>
      <c r="TMD40" s="9"/>
      <c r="TME40" s="9"/>
      <c r="TMF40" s="10"/>
      <c r="TMG40" s="11"/>
      <c r="TMH40" s="12"/>
      <c r="TMI40" s="12"/>
      <c r="TMJ40" s="12"/>
      <c r="TMK40" s="13"/>
      <c r="TML40" s="9"/>
      <c r="TMM40" s="9"/>
      <c r="TMN40" s="9"/>
      <c r="TMO40" s="9"/>
      <c r="TMP40" s="10"/>
      <c r="TMQ40" s="11"/>
      <c r="TMR40" s="12"/>
      <c r="TMS40" s="12"/>
      <c r="TMT40" s="12"/>
      <c r="TMU40" s="13"/>
      <c r="TMV40" s="9"/>
      <c r="TMW40" s="9"/>
      <c r="TMX40" s="9"/>
      <c r="TMY40" s="9"/>
      <c r="TMZ40" s="10"/>
      <c r="TNA40" s="11"/>
      <c r="TNB40" s="12"/>
      <c r="TNC40" s="12"/>
      <c r="TND40" s="12"/>
      <c r="TNE40" s="13"/>
      <c r="TNF40" s="9"/>
      <c r="TNG40" s="9"/>
      <c r="TNH40" s="9"/>
      <c r="TNI40" s="9"/>
      <c r="TNJ40" s="10"/>
      <c r="TNK40" s="11"/>
      <c r="TNL40" s="12"/>
      <c r="TNM40" s="12"/>
      <c r="TNN40" s="12"/>
      <c r="TNO40" s="13"/>
      <c r="TNP40" s="9"/>
      <c r="TNQ40" s="9"/>
      <c r="TNR40" s="9"/>
      <c r="TNS40" s="9"/>
      <c r="TNT40" s="10"/>
      <c r="TNU40" s="11"/>
      <c r="TNV40" s="12"/>
      <c r="TNW40" s="12"/>
      <c r="TNX40" s="12"/>
      <c r="TNY40" s="13"/>
      <c r="TNZ40" s="9"/>
      <c r="TOA40" s="9"/>
      <c r="TOB40" s="9"/>
      <c r="TOC40" s="9"/>
      <c r="TOD40" s="10"/>
      <c r="TOE40" s="11"/>
      <c r="TOF40" s="12"/>
      <c r="TOG40" s="12"/>
      <c r="TOH40" s="12"/>
      <c r="TOI40" s="13"/>
      <c r="TOJ40" s="9"/>
      <c r="TOK40" s="9"/>
      <c r="TOL40" s="9"/>
      <c r="TOM40" s="9"/>
      <c r="TON40" s="10"/>
      <c r="TOO40" s="11"/>
      <c r="TOP40" s="12"/>
      <c r="TOQ40" s="12"/>
      <c r="TOR40" s="12"/>
      <c r="TOS40" s="13"/>
      <c r="TOT40" s="9"/>
      <c r="TOU40" s="9"/>
      <c r="TOV40" s="9"/>
      <c r="TOW40" s="9"/>
      <c r="TOX40" s="10"/>
      <c r="TOY40" s="11"/>
      <c r="TOZ40" s="12"/>
      <c r="TPA40" s="12"/>
      <c r="TPB40" s="12"/>
      <c r="TPC40" s="13"/>
      <c r="TPD40" s="9"/>
      <c r="TPE40" s="9"/>
      <c r="TPF40" s="9"/>
      <c r="TPG40" s="9"/>
      <c r="TPH40" s="10"/>
      <c r="TPI40" s="11"/>
      <c r="TPJ40" s="12"/>
      <c r="TPK40" s="12"/>
      <c r="TPL40" s="12"/>
      <c r="TPM40" s="13"/>
      <c r="TPN40" s="9"/>
      <c r="TPO40" s="9"/>
      <c r="TPP40" s="9"/>
      <c r="TPQ40" s="9"/>
      <c r="TPR40" s="10"/>
      <c r="TPS40" s="11"/>
      <c r="TPT40" s="12"/>
      <c r="TPU40" s="12"/>
      <c r="TPV40" s="12"/>
      <c r="TPW40" s="13"/>
      <c r="TPX40" s="9"/>
      <c r="TPY40" s="9"/>
      <c r="TPZ40" s="9"/>
      <c r="TQA40" s="9"/>
      <c r="TQB40" s="10"/>
      <c r="TQC40" s="11"/>
      <c r="TQD40" s="12"/>
      <c r="TQE40" s="12"/>
      <c r="TQF40" s="12"/>
      <c r="TQG40" s="13"/>
      <c r="TQH40" s="9"/>
      <c r="TQI40" s="9"/>
      <c r="TQJ40" s="9"/>
      <c r="TQK40" s="9"/>
      <c r="TQL40" s="10"/>
      <c r="TQM40" s="11"/>
      <c r="TQN40" s="12"/>
      <c r="TQO40" s="12"/>
      <c r="TQP40" s="12"/>
      <c r="TQQ40" s="13"/>
      <c r="TQR40" s="9"/>
      <c r="TQS40" s="9"/>
      <c r="TQT40" s="9"/>
      <c r="TQU40" s="9"/>
      <c r="TQV40" s="10"/>
      <c r="TQW40" s="11"/>
      <c r="TQX40" s="12"/>
      <c r="TQY40" s="12"/>
      <c r="TQZ40" s="12"/>
      <c r="TRA40" s="13"/>
      <c r="TRB40" s="9"/>
      <c r="TRC40" s="9"/>
      <c r="TRD40" s="9"/>
      <c r="TRE40" s="9"/>
      <c r="TRF40" s="10"/>
      <c r="TRG40" s="11"/>
      <c r="TRH40" s="12"/>
      <c r="TRI40" s="12"/>
      <c r="TRJ40" s="12"/>
      <c r="TRK40" s="13"/>
      <c r="TRL40" s="9"/>
      <c r="TRM40" s="9"/>
      <c r="TRN40" s="9"/>
      <c r="TRO40" s="9"/>
      <c r="TRP40" s="10"/>
      <c r="TRQ40" s="11"/>
      <c r="TRR40" s="12"/>
      <c r="TRS40" s="12"/>
      <c r="TRT40" s="12"/>
      <c r="TRU40" s="13"/>
      <c r="TRV40" s="9"/>
      <c r="TRW40" s="9"/>
      <c r="TRX40" s="9"/>
      <c r="TRY40" s="9"/>
      <c r="TRZ40" s="10"/>
      <c r="TSA40" s="11"/>
      <c r="TSB40" s="12"/>
      <c r="TSC40" s="12"/>
      <c r="TSD40" s="12"/>
      <c r="TSE40" s="13"/>
      <c r="TSF40" s="9"/>
      <c r="TSG40" s="9"/>
      <c r="TSH40" s="9"/>
      <c r="TSI40" s="9"/>
      <c r="TSJ40" s="10"/>
      <c r="TSK40" s="11"/>
      <c r="TSL40" s="12"/>
      <c r="TSM40" s="12"/>
      <c r="TSN40" s="12"/>
      <c r="TSO40" s="13"/>
      <c r="TSP40" s="9"/>
      <c r="TSQ40" s="9"/>
      <c r="TSR40" s="9"/>
      <c r="TSS40" s="9"/>
      <c r="TST40" s="10"/>
      <c r="TSU40" s="11"/>
      <c r="TSV40" s="12"/>
      <c r="TSW40" s="12"/>
      <c r="TSX40" s="12"/>
      <c r="TSY40" s="13"/>
      <c r="TSZ40" s="9"/>
      <c r="TTA40" s="9"/>
      <c r="TTB40" s="9"/>
      <c r="TTC40" s="9"/>
      <c r="TTD40" s="10"/>
      <c r="TTE40" s="11"/>
      <c r="TTF40" s="12"/>
      <c r="TTG40" s="12"/>
      <c r="TTH40" s="12"/>
      <c r="TTI40" s="13"/>
      <c r="TTJ40" s="9"/>
      <c r="TTK40" s="9"/>
      <c r="TTL40" s="9"/>
      <c r="TTM40" s="9"/>
      <c r="TTN40" s="10"/>
      <c r="TTO40" s="11"/>
      <c r="TTP40" s="12"/>
      <c r="TTQ40" s="12"/>
      <c r="TTR40" s="12"/>
      <c r="TTS40" s="13"/>
      <c r="TTT40" s="9"/>
      <c r="TTU40" s="9"/>
      <c r="TTV40" s="9"/>
      <c r="TTW40" s="9"/>
      <c r="TTX40" s="10"/>
      <c r="TTY40" s="11"/>
      <c r="TTZ40" s="12"/>
      <c r="TUA40" s="12"/>
      <c r="TUB40" s="12"/>
      <c r="TUC40" s="13"/>
      <c r="TUD40" s="9"/>
      <c r="TUE40" s="9"/>
      <c r="TUF40" s="9"/>
      <c r="TUG40" s="9"/>
      <c r="TUH40" s="10"/>
      <c r="TUI40" s="11"/>
      <c r="TUJ40" s="12"/>
      <c r="TUK40" s="12"/>
      <c r="TUL40" s="12"/>
      <c r="TUM40" s="13"/>
      <c r="TUN40" s="9"/>
      <c r="TUO40" s="9"/>
      <c r="TUP40" s="9"/>
      <c r="TUQ40" s="9"/>
      <c r="TUR40" s="10"/>
      <c r="TUS40" s="11"/>
      <c r="TUT40" s="12"/>
      <c r="TUU40" s="12"/>
      <c r="TUV40" s="12"/>
      <c r="TUW40" s="13"/>
      <c r="TUX40" s="9"/>
      <c r="TUY40" s="9"/>
      <c r="TUZ40" s="9"/>
      <c r="TVA40" s="9"/>
      <c r="TVB40" s="10"/>
      <c r="TVC40" s="11"/>
      <c r="TVD40" s="12"/>
      <c r="TVE40" s="12"/>
      <c r="TVF40" s="12"/>
      <c r="TVG40" s="13"/>
      <c r="TVH40" s="9"/>
      <c r="TVI40" s="9"/>
      <c r="TVJ40" s="9"/>
      <c r="TVK40" s="9"/>
      <c r="TVL40" s="10"/>
      <c r="TVM40" s="11"/>
      <c r="TVN40" s="12"/>
      <c r="TVO40" s="12"/>
      <c r="TVP40" s="12"/>
      <c r="TVQ40" s="13"/>
      <c r="TVR40" s="9"/>
      <c r="TVS40" s="9"/>
      <c r="TVT40" s="9"/>
      <c r="TVU40" s="9"/>
      <c r="TVV40" s="10"/>
      <c r="TVW40" s="11"/>
      <c r="TVX40" s="12"/>
      <c r="TVY40" s="12"/>
      <c r="TVZ40" s="12"/>
      <c r="TWA40" s="13"/>
      <c r="TWB40" s="9"/>
      <c r="TWC40" s="9"/>
      <c r="TWD40" s="9"/>
      <c r="TWE40" s="9"/>
      <c r="TWF40" s="10"/>
      <c r="TWG40" s="11"/>
      <c r="TWH40" s="12"/>
      <c r="TWI40" s="12"/>
      <c r="TWJ40" s="12"/>
      <c r="TWK40" s="13"/>
      <c r="TWL40" s="9"/>
      <c r="TWM40" s="9"/>
      <c r="TWN40" s="9"/>
      <c r="TWO40" s="9"/>
      <c r="TWP40" s="10"/>
      <c r="TWQ40" s="11"/>
      <c r="TWR40" s="12"/>
      <c r="TWS40" s="12"/>
      <c r="TWT40" s="12"/>
      <c r="TWU40" s="13"/>
      <c r="TWV40" s="9"/>
      <c r="TWW40" s="9"/>
      <c r="TWX40" s="9"/>
      <c r="TWY40" s="9"/>
      <c r="TWZ40" s="10"/>
      <c r="TXA40" s="11"/>
      <c r="TXB40" s="12"/>
      <c r="TXC40" s="12"/>
      <c r="TXD40" s="12"/>
      <c r="TXE40" s="13"/>
      <c r="TXF40" s="9"/>
      <c r="TXG40" s="9"/>
      <c r="TXH40" s="9"/>
      <c r="TXI40" s="9"/>
      <c r="TXJ40" s="10"/>
      <c r="TXK40" s="11"/>
      <c r="TXL40" s="12"/>
      <c r="TXM40" s="12"/>
      <c r="TXN40" s="12"/>
      <c r="TXO40" s="13"/>
      <c r="TXP40" s="9"/>
      <c r="TXQ40" s="9"/>
      <c r="TXR40" s="9"/>
      <c r="TXS40" s="9"/>
      <c r="TXT40" s="10"/>
      <c r="TXU40" s="11"/>
      <c r="TXV40" s="12"/>
      <c r="TXW40" s="12"/>
      <c r="TXX40" s="12"/>
      <c r="TXY40" s="13"/>
      <c r="TXZ40" s="9"/>
      <c r="TYA40" s="9"/>
      <c r="TYB40" s="9"/>
      <c r="TYC40" s="9"/>
      <c r="TYD40" s="10"/>
      <c r="TYE40" s="11"/>
      <c r="TYF40" s="12"/>
      <c r="TYG40" s="12"/>
      <c r="TYH40" s="12"/>
      <c r="TYI40" s="13"/>
      <c r="TYJ40" s="9"/>
      <c r="TYK40" s="9"/>
      <c r="TYL40" s="9"/>
      <c r="TYM40" s="9"/>
      <c r="TYN40" s="10"/>
      <c r="TYO40" s="11"/>
      <c r="TYP40" s="12"/>
      <c r="TYQ40" s="12"/>
      <c r="TYR40" s="12"/>
      <c r="TYS40" s="13"/>
      <c r="TYT40" s="9"/>
      <c r="TYU40" s="9"/>
      <c r="TYV40" s="9"/>
      <c r="TYW40" s="9"/>
      <c r="TYX40" s="10"/>
      <c r="TYY40" s="11"/>
      <c r="TYZ40" s="12"/>
      <c r="TZA40" s="12"/>
      <c r="TZB40" s="12"/>
      <c r="TZC40" s="13"/>
      <c r="TZD40" s="9"/>
      <c r="TZE40" s="9"/>
      <c r="TZF40" s="9"/>
      <c r="TZG40" s="9"/>
      <c r="TZH40" s="10"/>
      <c r="TZI40" s="11"/>
      <c r="TZJ40" s="12"/>
      <c r="TZK40" s="12"/>
      <c r="TZL40" s="12"/>
      <c r="TZM40" s="13"/>
      <c r="TZN40" s="9"/>
      <c r="TZO40" s="9"/>
      <c r="TZP40" s="9"/>
      <c r="TZQ40" s="9"/>
      <c r="TZR40" s="10"/>
      <c r="TZS40" s="11"/>
      <c r="TZT40" s="12"/>
      <c r="TZU40" s="12"/>
      <c r="TZV40" s="12"/>
      <c r="TZW40" s="13"/>
      <c r="TZX40" s="9"/>
      <c r="TZY40" s="9"/>
      <c r="TZZ40" s="9"/>
      <c r="UAA40" s="9"/>
      <c r="UAB40" s="10"/>
      <c r="UAC40" s="11"/>
      <c r="UAD40" s="12"/>
      <c r="UAE40" s="12"/>
      <c r="UAF40" s="12"/>
      <c r="UAG40" s="13"/>
      <c r="UAH40" s="9"/>
      <c r="UAI40" s="9"/>
      <c r="UAJ40" s="9"/>
      <c r="UAK40" s="9"/>
      <c r="UAL40" s="10"/>
      <c r="UAM40" s="11"/>
      <c r="UAN40" s="12"/>
      <c r="UAO40" s="12"/>
      <c r="UAP40" s="12"/>
      <c r="UAQ40" s="13"/>
      <c r="UAR40" s="9"/>
      <c r="UAS40" s="9"/>
      <c r="UAT40" s="9"/>
      <c r="UAU40" s="9"/>
      <c r="UAV40" s="10"/>
      <c r="UAW40" s="11"/>
      <c r="UAX40" s="12"/>
      <c r="UAY40" s="12"/>
      <c r="UAZ40" s="12"/>
      <c r="UBA40" s="13"/>
      <c r="UBB40" s="9"/>
      <c r="UBC40" s="9"/>
      <c r="UBD40" s="9"/>
      <c r="UBE40" s="9"/>
      <c r="UBF40" s="10"/>
      <c r="UBG40" s="11"/>
      <c r="UBH40" s="12"/>
      <c r="UBI40" s="12"/>
      <c r="UBJ40" s="12"/>
      <c r="UBK40" s="13"/>
      <c r="UBL40" s="9"/>
      <c r="UBM40" s="9"/>
      <c r="UBN40" s="9"/>
      <c r="UBO40" s="9"/>
      <c r="UBP40" s="10"/>
      <c r="UBQ40" s="11"/>
      <c r="UBR40" s="12"/>
      <c r="UBS40" s="12"/>
      <c r="UBT40" s="12"/>
      <c r="UBU40" s="13"/>
      <c r="UBV40" s="9"/>
      <c r="UBW40" s="9"/>
      <c r="UBX40" s="9"/>
      <c r="UBY40" s="9"/>
      <c r="UBZ40" s="10"/>
      <c r="UCA40" s="11"/>
      <c r="UCB40" s="12"/>
      <c r="UCC40" s="12"/>
      <c r="UCD40" s="12"/>
      <c r="UCE40" s="13"/>
      <c r="UCF40" s="9"/>
      <c r="UCG40" s="9"/>
      <c r="UCH40" s="9"/>
      <c r="UCI40" s="9"/>
      <c r="UCJ40" s="10"/>
      <c r="UCK40" s="11"/>
      <c r="UCL40" s="12"/>
      <c r="UCM40" s="12"/>
      <c r="UCN40" s="12"/>
      <c r="UCO40" s="13"/>
      <c r="UCP40" s="9"/>
      <c r="UCQ40" s="9"/>
      <c r="UCR40" s="9"/>
      <c r="UCS40" s="9"/>
      <c r="UCT40" s="10"/>
      <c r="UCU40" s="11"/>
      <c r="UCV40" s="12"/>
      <c r="UCW40" s="12"/>
      <c r="UCX40" s="12"/>
      <c r="UCY40" s="13"/>
      <c r="UCZ40" s="9"/>
      <c r="UDA40" s="9"/>
      <c r="UDB40" s="9"/>
      <c r="UDC40" s="9"/>
      <c r="UDD40" s="10"/>
      <c r="UDE40" s="11"/>
      <c r="UDF40" s="12"/>
      <c r="UDG40" s="12"/>
      <c r="UDH40" s="12"/>
      <c r="UDI40" s="13"/>
      <c r="UDJ40" s="9"/>
      <c r="UDK40" s="9"/>
      <c r="UDL40" s="9"/>
      <c r="UDM40" s="9"/>
      <c r="UDN40" s="10"/>
      <c r="UDO40" s="11"/>
      <c r="UDP40" s="12"/>
      <c r="UDQ40" s="12"/>
      <c r="UDR40" s="12"/>
      <c r="UDS40" s="13"/>
      <c r="UDT40" s="9"/>
      <c r="UDU40" s="9"/>
      <c r="UDV40" s="9"/>
      <c r="UDW40" s="9"/>
      <c r="UDX40" s="10"/>
      <c r="UDY40" s="11"/>
      <c r="UDZ40" s="12"/>
      <c r="UEA40" s="12"/>
      <c r="UEB40" s="12"/>
      <c r="UEC40" s="13"/>
      <c r="UED40" s="9"/>
      <c r="UEE40" s="9"/>
      <c r="UEF40" s="9"/>
      <c r="UEG40" s="9"/>
      <c r="UEH40" s="10"/>
      <c r="UEI40" s="11"/>
      <c r="UEJ40" s="12"/>
      <c r="UEK40" s="12"/>
      <c r="UEL40" s="12"/>
      <c r="UEM40" s="13"/>
      <c r="UEN40" s="9"/>
      <c r="UEO40" s="9"/>
      <c r="UEP40" s="9"/>
      <c r="UEQ40" s="9"/>
      <c r="UER40" s="10"/>
      <c r="UES40" s="11"/>
      <c r="UET40" s="12"/>
      <c r="UEU40" s="12"/>
      <c r="UEV40" s="12"/>
      <c r="UEW40" s="13"/>
      <c r="UEX40" s="9"/>
      <c r="UEY40" s="9"/>
      <c r="UEZ40" s="9"/>
      <c r="UFA40" s="9"/>
      <c r="UFB40" s="10"/>
      <c r="UFC40" s="11"/>
      <c r="UFD40" s="12"/>
      <c r="UFE40" s="12"/>
      <c r="UFF40" s="12"/>
      <c r="UFG40" s="13"/>
      <c r="UFH40" s="9"/>
      <c r="UFI40" s="9"/>
      <c r="UFJ40" s="9"/>
      <c r="UFK40" s="9"/>
      <c r="UFL40" s="10"/>
      <c r="UFM40" s="11"/>
      <c r="UFN40" s="12"/>
      <c r="UFO40" s="12"/>
      <c r="UFP40" s="12"/>
      <c r="UFQ40" s="13"/>
      <c r="UFR40" s="9"/>
      <c r="UFS40" s="9"/>
      <c r="UFT40" s="9"/>
      <c r="UFU40" s="9"/>
      <c r="UFV40" s="10"/>
      <c r="UFW40" s="11"/>
      <c r="UFX40" s="12"/>
      <c r="UFY40" s="12"/>
      <c r="UFZ40" s="12"/>
      <c r="UGA40" s="13"/>
      <c r="UGB40" s="9"/>
      <c r="UGC40" s="9"/>
      <c r="UGD40" s="9"/>
      <c r="UGE40" s="9"/>
      <c r="UGF40" s="10"/>
      <c r="UGG40" s="11"/>
      <c r="UGH40" s="12"/>
      <c r="UGI40" s="12"/>
      <c r="UGJ40" s="12"/>
      <c r="UGK40" s="13"/>
      <c r="UGL40" s="9"/>
      <c r="UGM40" s="9"/>
      <c r="UGN40" s="9"/>
      <c r="UGO40" s="9"/>
      <c r="UGP40" s="10"/>
      <c r="UGQ40" s="11"/>
      <c r="UGR40" s="12"/>
      <c r="UGS40" s="12"/>
      <c r="UGT40" s="12"/>
      <c r="UGU40" s="13"/>
      <c r="UGV40" s="9"/>
      <c r="UGW40" s="9"/>
      <c r="UGX40" s="9"/>
      <c r="UGY40" s="9"/>
      <c r="UGZ40" s="10"/>
      <c r="UHA40" s="11"/>
      <c r="UHB40" s="12"/>
      <c r="UHC40" s="12"/>
      <c r="UHD40" s="12"/>
      <c r="UHE40" s="13"/>
      <c r="UHF40" s="9"/>
      <c r="UHG40" s="9"/>
      <c r="UHH40" s="9"/>
      <c r="UHI40" s="9"/>
      <c r="UHJ40" s="10"/>
      <c r="UHK40" s="11"/>
      <c r="UHL40" s="12"/>
      <c r="UHM40" s="12"/>
      <c r="UHN40" s="12"/>
      <c r="UHO40" s="13"/>
      <c r="UHP40" s="9"/>
      <c r="UHQ40" s="9"/>
      <c r="UHR40" s="9"/>
      <c r="UHS40" s="9"/>
      <c r="UHT40" s="10"/>
      <c r="UHU40" s="11"/>
      <c r="UHV40" s="12"/>
      <c r="UHW40" s="12"/>
      <c r="UHX40" s="12"/>
      <c r="UHY40" s="13"/>
      <c r="UHZ40" s="9"/>
      <c r="UIA40" s="9"/>
      <c r="UIB40" s="9"/>
      <c r="UIC40" s="9"/>
      <c r="UID40" s="10"/>
      <c r="UIE40" s="11"/>
      <c r="UIF40" s="12"/>
      <c r="UIG40" s="12"/>
      <c r="UIH40" s="12"/>
      <c r="UII40" s="13"/>
      <c r="UIJ40" s="9"/>
      <c r="UIK40" s="9"/>
      <c r="UIL40" s="9"/>
      <c r="UIM40" s="9"/>
      <c r="UIN40" s="10"/>
      <c r="UIO40" s="11"/>
      <c r="UIP40" s="12"/>
      <c r="UIQ40" s="12"/>
      <c r="UIR40" s="12"/>
      <c r="UIS40" s="13"/>
      <c r="UIT40" s="9"/>
      <c r="UIU40" s="9"/>
      <c r="UIV40" s="9"/>
      <c r="UIW40" s="9"/>
      <c r="UIX40" s="10"/>
      <c r="UIY40" s="11"/>
      <c r="UIZ40" s="12"/>
      <c r="UJA40" s="12"/>
      <c r="UJB40" s="12"/>
      <c r="UJC40" s="13"/>
      <c r="UJD40" s="9"/>
      <c r="UJE40" s="9"/>
      <c r="UJF40" s="9"/>
      <c r="UJG40" s="9"/>
      <c r="UJH40" s="10"/>
      <c r="UJI40" s="11"/>
      <c r="UJJ40" s="12"/>
      <c r="UJK40" s="12"/>
      <c r="UJL40" s="12"/>
      <c r="UJM40" s="13"/>
      <c r="UJN40" s="9"/>
      <c r="UJO40" s="9"/>
      <c r="UJP40" s="9"/>
      <c r="UJQ40" s="9"/>
      <c r="UJR40" s="10"/>
      <c r="UJS40" s="11"/>
      <c r="UJT40" s="12"/>
      <c r="UJU40" s="12"/>
      <c r="UJV40" s="12"/>
      <c r="UJW40" s="13"/>
      <c r="UJX40" s="9"/>
      <c r="UJY40" s="9"/>
      <c r="UJZ40" s="9"/>
      <c r="UKA40" s="9"/>
      <c r="UKB40" s="10"/>
      <c r="UKC40" s="11"/>
      <c r="UKD40" s="12"/>
      <c r="UKE40" s="12"/>
      <c r="UKF40" s="12"/>
      <c r="UKG40" s="13"/>
      <c r="UKH40" s="9"/>
      <c r="UKI40" s="9"/>
      <c r="UKJ40" s="9"/>
      <c r="UKK40" s="9"/>
      <c r="UKL40" s="10"/>
      <c r="UKM40" s="11"/>
      <c r="UKN40" s="12"/>
      <c r="UKO40" s="12"/>
      <c r="UKP40" s="12"/>
      <c r="UKQ40" s="13"/>
      <c r="UKR40" s="9"/>
      <c r="UKS40" s="9"/>
      <c r="UKT40" s="9"/>
      <c r="UKU40" s="9"/>
      <c r="UKV40" s="10"/>
      <c r="UKW40" s="11"/>
      <c r="UKX40" s="12"/>
      <c r="UKY40" s="12"/>
      <c r="UKZ40" s="12"/>
      <c r="ULA40" s="13"/>
      <c r="ULB40" s="9"/>
      <c r="ULC40" s="9"/>
      <c r="ULD40" s="9"/>
      <c r="ULE40" s="9"/>
      <c r="ULF40" s="10"/>
      <c r="ULG40" s="11"/>
      <c r="ULH40" s="12"/>
      <c r="ULI40" s="12"/>
      <c r="ULJ40" s="12"/>
      <c r="ULK40" s="13"/>
      <c r="ULL40" s="9"/>
      <c r="ULM40" s="9"/>
      <c r="ULN40" s="9"/>
      <c r="ULO40" s="9"/>
      <c r="ULP40" s="10"/>
      <c r="ULQ40" s="11"/>
      <c r="ULR40" s="12"/>
      <c r="ULS40" s="12"/>
      <c r="ULT40" s="12"/>
      <c r="ULU40" s="13"/>
      <c r="ULV40" s="9"/>
      <c r="ULW40" s="9"/>
      <c r="ULX40" s="9"/>
      <c r="ULY40" s="9"/>
      <c r="ULZ40" s="10"/>
      <c r="UMA40" s="11"/>
      <c r="UMB40" s="12"/>
      <c r="UMC40" s="12"/>
      <c r="UMD40" s="12"/>
      <c r="UME40" s="13"/>
      <c r="UMF40" s="9"/>
      <c r="UMG40" s="9"/>
      <c r="UMH40" s="9"/>
      <c r="UMI40" s="9"/>
      <c r="UMJ40" s="10"/>
      <c r="UMK40" s="11"/>
      <c r="UML40" s="12"/>
      <c r="UMM40" s="12"/>
      <c r="UMN40" s="12"/>
      <c r="UMO40" s="13"/>
      <c r="UMP40" s="9"/>
      <c r="UMQ40" s="9"/>
      <c r="UMR40" s="9"/>
      <c r="UMS40" s="9"/>
      <c r="UMT40" s="10"/>
      <c r="UMU40" s="11"/>
      <c r="UMV40" s="12"/>
      <c r="UMW40" s="12"/>
      <c r="UMX40" s="12"/>
      <c r="UMY40" s="13"/>
      <c r="UMZ40" s="9"/>
      <c r="UNA40" s="9"/>
      <c r="UNB40" s="9"/>
      <c r="UNC40" s="9"/>
      <c r="UND40" s="10"/>
      <c r="UNE40" s="11"/>
      <c r="UNF40" s="12"/>
      <c r="UNG40" s="12"/>
      <c r="UNH40" s="12"/>
      <c r="UNI40" s="13"/>
      <c r="UNJ40" s="9"/>
      <c r="UNK40" s="9"/>
      <c r="UNL40" s="9"/>
      <c r="UNM40" s="9"/>
      <c r="UNN40" s="10"/>
      <c r="UNO40" s="11"/>
      <c r="UNP40" s="12"/>
      <c r="UNQ40" s="12"/>
      <c r="UNR40" s="12"/>
      <c r="UNS40" s="13"/>
      <c r="UNT40" s="9"/>
      <c r="UNU40" s="9"/>
      <c r="UNV40" s="9"/>
      <c r="UNW40" s="9"/>
      <c r="UNX40" s="10"/>
      <c r="UNY40" s="11"/>
      <c r="UNZ40" s="12"/>
      <c r="UOA40" s="12"/>
      <c r="UOB40" s="12"/>
      <c r="UOC40" s="13"/>
      <c r="UOD40" s="9"/>
      <c r="UOE40" s="9"/>
      <c r="UOF40" s="9"/>
      <c r="UOG40" s="9"/>
      <c r="UOH40" s="10"/>
      <c r="UOI40" s="11"/>
      <c r="UOJ40" s="12"/>
      <c r="UOK40" s="12"/>
      <c r="UOL40" s="12"/>
      <c r="UOM40" s="13"/>
      <c r="UON40" s="9"/>
      <c r="UOO40" s="9"/>
      <c r="UOP40" s="9"/>
      <c r="UOQ40" s="9"/>
      <c r="UOR40" s="10"/>
      <c r="UOS40" s="11"/>
      <c r="UOT40" s="12"/>
      <c r="UOU40" s="12"/>
      <c r="UOV40" s="12"/>
      <c r="UOW40" s="13"/>
      <c r="UOX40" s="9"/>
      <c r="UOY40" s="9"/>
      <c r="UOZ40" s="9"/>
      <c r="UPA40" s="9"/>
      <c r="UPB40" s="10"/>
      <c r="UPC40" s="11"/>
      <c r="UPD40" s="12"/>
      <c r="UPE40" s="12"/>
      <c r="UPF40" s="12"/>
      <c r="UPG40" s="13"/>
      <c r="UPH40" s="9"/>
      <c r="UPI40" s="9"/>
      <c r="UPJ40" s="9"/>
      <c r="UPK40" s="9"/>
      <c r="UPL40" s="10"/>
      <c r="UPM40" s="11"/>
      <c r="UPN40" s="12"/>
      <c r="UPO40" s="12"/>
      <c r="UPP40" s="12"/>
      <c r="UPQ40" s="13"/>
      <c r="UPR40" s="9"/>
      <c r="UPS40" s="9"/>
      <c r="UPT40" s="9"/>
      <c r="UPU40" s="9"/>
      <c r="UPV40" s="10"/>
      <c r="UPW40" s="11"/>
      <c r="UPX40" s="12"/>
      <c r="UPY40" s="12"/>
      <c r="UPZ40" s="12"/>
      <c r="UQA40" s="13"/>
      <c r="UQB40" s="9"/>
      <c r="UQC40" s="9"/>
      <c r="UQD40" s="9"/>
      <c r="UQE40" s="9"/>
      <c r="UQF40" s="10"/>
      <c r="UQG40" s="11"/>
      <c r="UQH40" s="12"/>
      <c r="UQI40" s="12"/>
      <c r="UQJ40" s="12"/>
      <c r="UQK40" s="13"/>
      <c r="UQL40" s="9"/>
      <c r="UQM40" s="9"/>
      <c r="UQN40" s="9"/>
      <c r="UQO40" s="9"/>
      <c r="UQP40" s="10"/>
      <c r="UQQ40" s="11"/>
      <c r="UQR40" s="12"/>
      <c r="UQS40" s="12"/>
      <c r="UQT40" s="12"/>
      <c r="UQU40" s="13"/>
      <c r="UQV40" s="9"/>
      <c r="UQW40" s="9"/>
      <c r="UQX40" s="9"/>
      <c r="UQY40" s="9"/>
      <c r="UQZ40" s="10"/>
      <c r="URA40" s="11"/>
      <c r="URB40" s="12"/>
      <c r="URC40" s="12"/>
      <c r="URD40" s="12"/>
      <c r="URE40" s="13"/>
      <c r="URF40" s="9"/>
      <c r="URG40" s="9"/>
      <c r="URH40" s="9"/>
      <c r="URI40" s="9"/>
      <c r="URJ40" s="10"/>
      <c r="URK40" s="11"/>
      <c r="URL40" s="12"/>
      <c r="URM40" s="12"/>
      <c r="URN40" s="12"/>
      <c r="URO40" s="13"/>
      <c r="URP40" s="9"/>
      <c r="URQ40" s="9"/>
      <c r="URR40" s="9"/>
      <c r="URS40" s="9"/>
      <c r="URT40" s="10"/>
      <c r="URU40" s="11"/>
      <c r="URV40" s="12"/>
      <c r="URW40" s="12"/>
      <c r="URX40" s="12"/>
      <c r="URY40" s="13"/>
      <c r="URZ40" s="9"/>
      <c r="USA40" s="9"/>
      <c r="USB40" s="9"/>
      <c r="USC40" s="9"/>
      <c r="USD40" s="10"/>
      <c r="USE40" s="11"/>
      <c r="USF40" s="12"/>
      <c r="USG40" s="12"/>
      <c r="USH40" s="12"/>
      <c r="USI40" s="13"/>
      <c r="USJ40" s="9"/>
      <c r="USK40" s="9"/>
      <c r="USL40" s="9"/>
      <c r="USM40" s="9"/>
      <c r="USN40" s="10"/>
      <c r="USO40" s="11"/>
      <c r="USP40" s="12"/>
      <c r="USQ40" s="12"/>
      <c r="USR40" s="12"/>
      <c r="USS40" s="13"/>
      <c r="UST40" s="9"/>
      <c r="USU40" s="9"/>
      <c r="USV40" s="9"/>
      <c r="USW40" s="9"/>
      <c r="USX40" s="10"/>
      <c r="USY40" s="11"/>
      <c r="USZ40" s="12"/>
      <c r="UTA40" s="12"/>
      <c r="UTB40" s="12"/>
      <c r="UTC40" s="13"/>
      <c r="UTD40" s="9"/>
      <c r="UTE40" s="9"/>
      <c r="UTF40" s="9"/>
      <c r="UTG40" s="9"/>
      <c r="UTH40" s="10"/>
      <c r="UTI40" s="11"/>
      <c r="UTJ40" s="12"/>
      <c r="UTK40" s="12"/>
      <c r="UTL40" s="12"/>
      <c r="UTM40" s="13"/>
      <c r="UTN40" s="9"/>
      <c r="UTO40" s="9"/>
      <c r="UTP40" s="9"/>
      <c r="UTQ40" s="9"/>
      <c r="UTR40" s="10"/>
      <c r="UTS40" s="11"/>
      <c r="UTT40" s="12"/>
      <c r="UTU40" s="12"/>
      <c r="UTV40" s="12"/>
      <c r="UTW40" s="13"/>
      <c r="UTX40" s="9"/>
      <c r="UTY40" s="9"/>
      <c r="UTZ40" s="9"/>
      <c r="UUA40" s="9"/>
      <c r="UUB40" s="10"/>
      <c r="UUC40" s="11"/>
      <c r="UUD40" s="12"/>
      <c r="UUE40" s="12"/>
      <c r="UUF40" s="12"/>
      <c r="UUG40" s="13"/>
      <c r="UUH40" s="9"/>
      <c r="UUI40" s="9"/>
      <c r="UUJ40" s="9"/>
      <c r="UUK40" s="9"/>
      <c r="UUL40" s="10"/>
      <c r="UUM40" s="11"/>
      <c r="UUN40" s="12"/>
      <c r="UUO40" s="12"/>
      <c r="UUP40" s="12"/>
      <c r="UUQ40" s="13"/>
      <c r="UUR40" s="9"/>
      <c r="UUS40" s="9"/>
      <c r="UUT40" s="9"/>
      <c r="UUU40" s="9"/>
      <c r="UUV40" s="10"/>
      <c r="UUW40" s="11"/>
      <c r="UUX40" s="12"/>
      <c r="UUY40" s="12"/>
      <c r="UUZ40" s="12"/>
      <c r="UVA40" s="13"/>
      <c r="UVB40" s="9"/>
      <c r="UVC40" s="9"/>
      <c r="UVD40" s="9"/>
      <c r="UVE40" s="9"/>
      <c r="UVF40" s="10"/>
      <c r="UVG40" s="11"/>
      <c r="UVH40" s="12"/>
      <c r="UVI40" s="12"/>
      <c r="UVJ40" s="12"/>
      <c r="UVK40" s="13"/>
      <c r="UVL40" s="9"/>
      <c r="UVM40" s="9"/>
      <c r="UVN40" s="9"/>
      <c r="UVO40" s="9"/>
      <c r="UVP40" s="10"/>
      <c r="UVQ40" s="11"/>
      <c r="UVR40" s="12"/>
      <c r="UVS40" s="12"/>
      <c r="UVT40" s="12"/>
      <c r="UVU40" s="13"/>
      <c r="UVV40" s="9"/>
      <c r="UVW40" s="9"/>
      <c r="UVX40" s="9"/>
      <c r="UVY40" s="9"/>
      <c r="UVZ40" s="10"/>
      <c r="UWA40" s="11"/>
      <c r="UWB40" s="12"/>
      <c r="UWC40" s="12"/>
      <c r="UWD40" s="12"/>
      <c r="UWE40" s="13"/>
      <c r="UWF40" s="9"/>
      <c r="UWG40" s="9"/>
      <c r="UWH40" s="9"/>
      <c r="UWI40" s="9"/>
      <c r="UWJ40" s="10"/>
      <c r="UWK40" s="11"/>
      <c r="UWL40" s="12"/>
      <c r="UWM40" s="12"/>
      <c r="UWN40" s="12"/>
      <c r="UWO40" s="13"/>
      <c r="UWP40" s="9"/>
      <c r="UWQ40" s="9"/>
      <c r="UWR40" s="9"/>
      <c r="UWS40" s="9"/>
      <c r="UWT40" s="10"/>
      <c r="UWU40" s="11"/>
      <c r="UWV40" s="12"/>
      <c r="UWW40" s="12"/>
      <c r="UWX40" s="12"/>
      <c r="UWY40" s="13"/>
      <c r="UWZ40" s="9"/>
      <c r="UXA40" s="9"/>
      <c r="UXB40" s="9"/>
      <c r="UXC40" s="9"/>
      <c r="UXD40" s="10"/>
      <c r="UXE40" s="11"/>
      <c r="UXF40" s="12"/>
      <c r="UXG40" s="12"/>
      <c r="UXH40" s="12"/>
      <c r="UXI40" s="13"/>
      <c r="UXJ40" s="9"/>
      <c r="UXK40" s="9"/>
      <c r="UXL40" s="9"/>
      <c r="UXM40" s="9"/>
      <c r="UXN40" s="10"/>
      <c r="UXO40" s="11"/>
      <c r="UXP40" s="12"/>
      <c r="UXQ40" s="12"/>
      <c r="UXR40" s="12"/>
      <c r="UXS40" s="13"/>
      <c r="UXT40" s="9"/>
      <c r="UXU40" s="9"/>
      <c r="UXV40" s="9"/>
      <c r="UXW40" s="9"/>
      <c r="UXX40" s="10"/>
      <c r="UXY40" s="11"/>
      <c r="UXZ40" s="12"/>
      <c r="UYA40" s="12"/>
      <c r="UYB40" s="12"/>
      <c r="UYC40" s="13"/>
      <c r="UYD40" s="9"/>
      <c r="UYE40" s="9"/>
      <c r="UYF40" s="9"/>
      <c r="UYG40" s="9"/>
      <c r="UYH40" s="10"/>
      <c r="UYI40" s="11"/>
      <c r="UYJ40" s="12"/>
      <c r="UYK40" s="12"/>
      <c r="UYL40" s="12"/>
      <c r="UYM40" s="13"/>
      <c r="UYN40" s="9"/>
      <c r="UYO40" s="9"/>
      <c r="UYP40" s="9"/>
      <c r="UYQ40" s="9"/>
      <c r="UYR40" s="10"/>
      <c r="UYS40" s="11"/>
      <c r="UYT40" s="12"/>
      <c r="UYU40" s="12"/>
      <c r="UYV40" s="12"/>
      <c r="UYW40" s="13"/>
      <c r="UYX40" s="9"/>
      <c r="UYY40" s="9"/>
      <c r="UYZ40" s="9"/>
      <c r="UZA40" s="9"/>
      <c r="UZB40" s="10"/>
      <c r="UZC40" s="11"/>
      <c r="UZD40" s="12"/>
      <c r="UZE40" s="12"/>
      <c r="UZF40" s="12"/>
      <c r="UZG40" s="13"/>
      <c r="UZH40" s="9"/>
      <c r="UZI40" s="9"/>
      <c r="UZJ40" s="9"/>
      <c r="UZK40" s="9"/>
      <c r="UZL40" s="10"/>
      <c r="UZM40" s="11"/>
      <c r="UZN40" s="12"/>
      <c r="UZO40" s="12"/>
      <c r="UZP40" s="12"/>
      <c r="UZQ40" s="13"/>
      <c r="UZR40" s="9"/>
      <c r="UZS40" s="9"/>
      <c r="UZT40" s="9"/>
      <c r="UZU40" s="9"/>
      <c r="UZV40" s="10"/>
      <c r="UZW40" s="11"/>
      <c r="UZX40" s="12"/>
      <c r="UZY40" s="12"/>
      <c r="UZZ40" s="12"/>
      <c r="VAA40" s="13"/>
      <c r="VAB40" s="9"/>
      <c r="VAC40" s="9"/>
      <c r="VAD40" s="9"/>
      <c r="VAE40" s="9"/>
      <c r="VAF40" s="10"/>
      <c r="VAG40" s="11"/>
      <c r="VAH40" s="12"/>
      <c r="VAI40" s="12"/>
      <c r="VAJ40" s="12"/>
      <c r="VAK40" s="13"/>
      <c r="VAL40" s="9"/>
      <c r="VAM40" s="9"/>
      <c r="VAN40" s="9"/>
      <c r="VAO40" s="9"/>
      <c r="VAP40" s="10"/>
      <c r="VAQ40" s="11"/>
      <c r="VAR40" s="12"/>
      <c r="VAS40" s="12"/>
      <c r="VAT40" s="12"/>
      <c r="VAU40" s="13"/>
      <c r="VAV40" s="9"/>
      <c r="VAW40" s="9"/>
      <c r="VAX40" s="9"/>
      <c r="VAY40" s="9"/>
      <c r="VAZ40" s="10"/>
      <c r="VBA40" s="11"/>
      <c r="VBB40" s="12"/>
      <c r="VBC40" s="12"/>
      <c r="VBD40" s="12"/>
      <c r="VBE40" s="13"/>
      <c r="VBF40" s="9"/>
      <c r="VBG40" s="9"/>
      <c r="VBH40" s="9"/>
      <c r="VBI40" s="9"/>
      <c r="VBJ40" s="10"/>
      <c r="VBK40" s="11"/>
      <c r="VBL40" s="12"/>
      <c r="VBM40" s="12"/>
      <c r="VBN40" s="12"/>
      <c r="VBO40" s="13"/>
      <c r="VBP40" s="9"/>
      <c r="VBQ40" s="9"/>
      <c r="VBR40" s="9"/>
      <c r="VBS40" s="9"/>
      <c r="VBT40" s="10"/>
      <c r="VBU40" s="11"/>
      <c r="VBV40" s="12"/>
      <c r="VBW40" s="12"/>
      <c r="VBX40" s="12"/>
      <c r="VBY40" s="13"/>
      <c r="VBZ40" s="9"/>
      <c r="VCA40" s="9"/>
      <c r="VCB40" s="9"/>
      <c r="VCC40" s="9"/>
      <c r="VCD40" s="10"/>
      <c r="VCE40" s="11"/>
      <c r="VCF40" s="12"/>
      <c r="VCG40" s="12"/>
      <c r="VCH40" s="12"/>
      <c r="VCI40" s="13"/>
      <c r="VCJ40" s="9"/>
      <c r="VCK40" s="9"/>
      <c r="VCL40" s="9"/>
      <c r="VCM40" s="9"/>
      <c r="VCN40" s="10"/>
      <c r="VCO40" s="11"/>
      <c r="VCP40" s="12"/>
      <c r="VCQ40" s="12"/>
      <c r="VCR40" s="12"/>
      <c r="VCS40" s="13"/>
      <c r="VCT40" s="9"/>
      <c r="VCU40" s="9"/>
      <c r="VCV40" s="9"/>
      <c r="VCW40" s="9"/>
      <c r="VCX40" s="10"/>
      <c r="VCY40" s="11"/>
      <c r="VCZ40" s="12"/>
      <c r="VDA40" s="12"/>
      <c r="VDB40" s="12"/>
      <c r="VDC40" s="13"/>
      <c r="VDD40" s="9"/>
      <c r="VDE40" s="9"/>
      <c r="VDF40" s="9"/>
      <c r="VDG40" s="9"/>
      <c r="VDH40" s="10"/>
      <c r="VDI40" s="11"/>
      <c r="VDJ40" s="12"/>
      <c r="VDK40" s="12"/>
      <c r="VDL40" s="12"/>
      <c r="VDM40" s="13"/>
      <c r="VDN40" s="9"/>
      <c r="VDO40" s="9"/>
      <c r="VDP40" s="9"/>
      <c r="VDQ40" s="9"/>
      <c r="VDR40" s="10"/>
      <c r="VDS40" s="11"/>
      <c r="VDT40" s="12"/>
      <c r="VDU40" s="12"/>
      <c r="VDV40" s="12"/>
      <c r="VDW40" s="13"/>
      <c r="VDX40" s="9"/>
      <c r="VDY40" s="9"/>
      <c r="VDZ40" s="9"/>
      <c r="VEA40" s="9"/>
      <c r="VEB40" s="10"/>
      <c r="VEC40" s="11"/>
      <c r="VED40" s="12"/>
      <c r="VEE40" s="12"/>
      <c r="VEF40" s="12"/>
      <c r="VEG40" s="13"/>
      <c r="VEH40" s="9"/>
      <c r="VEI40" s="9"/>
      <c r="VEJ40" s="9"/>
      <c r="VEK40" s="9"/>
      <c r="VEL40" s="10"/>
      <c r="VEM40" s="11"/>
      <c r="VEN40" s="12"/>
      <c r="VEO40" s="12"/>
      <c r="VEP40" s="12"/>
      <c r="VEQ40" s="13"/>
      <c r="VER40" s="9"/>
      <c r="VES40" s="9"/>
      <c r="VET40" s="9"/>
      <c r="VEU40" s="9"/>
      <c r="VEV40" s="10"/>
      <c r="VEW40" s="11"/>
      <c r="VEX40" s="12"/>
      <c r="VEY40" s="12"/>
      <c r="VEZ40" s="12"/>
      <c r="VFA40" s="13"/>
      <c r="VFB40" s="9"/>
      <c r="VFC40" s="9"/>
      <c r="VFD40" s="9"/>
      <c r="VFE40" s="9"/>
      <c r="VFF40" s="10"/>
      <c r="VFG40" s="11"/>
      <c r="VFH40" s="12"/>
      <c r="VFI40" s="12"/>
      <c r="VFJ40" s="12"/>
      <c r="VFK40" s="13"/>
      <c r="VFL40" s="9"/>
      <c r="VFM40" s="9"/>
      <c r="VFN40" s="9"/>
      <c r="VFO40" s="9"/>
      <c r="VFP40" s="10"/>
      <c r="VFQ40" s="11"/>
      <c r="VFR40" s="12"/>
      <c r="VFS40" s="12"/>
      <c r="VFT40" s="12"/>
      <c r="VFU40" s="13"/>
      <c r="VFV40" s="9"/>
      <c r="VFW40" s="9"/>
      <c r="VFX40" s="9"/>
      <c r="VFY40" s="9"/>
      <c r="VFZ40" s="10"/>
      <c r="VGA40" s="11"/>
      <c r="VGB40" s="12"/>
      <c r="VGC40" s="12"/>
      <c r="VGD40" s="12"/>
      <c r="VGE40" s="13"/>
      <c r="VGF40" s="9"/>
      <c r="VGG40" s="9"/>
      <c r="VGH40" s="9"/>
      <c r="VGI40" s="9"/>
      <c r="VGJ40" s="10"/>
      <c r="VGK40" s="11"/>
      <c r="VGL40" s="12"/>
      <c r="VGM40" s="12"/>
      <c r="VGN40" s="12"/>
      <c r="VGO40" s="13"/>
      <c r="VGP40" s="9"/>
      <c r="VGQ40" s="9"/>
      <c r="VGR40" s="9"/>
      <c r="VGS40" s="9"/>
      <c r="VGT40" s="10"/>
      <c r="VGU40" s="11"/>
      <c r="VGV40" s="12"/>
      <c r="VGW40" s="12"/>
      <c r="VGX40" s="12"/>
      <c r="VGY40" s="13"/>
      <c r="VGZ40" s="9"/>
      <c r="VHA40" s="9"/>
      <c r="VHB40" s="9"/>
      <c r="VHC40" s="9"/>
      <c r="VHD40" s="10"/>
      <c r="VHE40" s="11"/>
      <c r="VHF40" s="12"/>
      <c r="VHG40" s="12"/>
      <c r="VHH40" s="12"/>
      <c r="VHI40" s="13"/>
      <c r="VHJ40" s="9"/>
      <c r="VHK40" s="9"/>
      <c r="VHL40" s="9"/>
      <c r="VHM40" s="9"/>
      <c r="VHN40" s="10"/>
      <c r="VHO40" s="11"/>
      <c r="VHP40" s="12"/>
      <c r="VHQ40" s="12"/>
      <c r="VHR40" s="12"/>
      <c r="VHS40" s="13"/>
      <c r="VHT40" s="9"/>
      <c r="VHU40" s="9"/>
      <c r="VHV40" s="9"/>
      <c r="VHW40" s="9"/>
      <c r="VHX40" s="10"/>
      <c r="VHY40" s="11"/>
      <c r="VHZ40" s="12"/>
      <c r="VIA40" s="12"/>
      <c r="VIB40" s="12"/>
      <c r="VIC40" s="13"/>
      <c r="VID40" s="9"/>
      <c r="VIE40" s="9"/>
      <c r="VIF40" s="9"/>
      <c r="VIG40" s="9"/>
      <c r="VIH40" s="10"/>
      <c r="VII40" s="11"/>
      <c r="VIJ40" s="12"/>
      <c r="VIK40" s="12"/>
      <c r="VIL40" s="12"/>
      <c r="VIM40" s="13"/>
      <c r="VIN40" s="9"/>
      <c r="VIO40" s="9"/>
      <c r="VIP40" s="9"/>
      <c r="VIQ40" s="9"/>
      <c r="VIR40" s="10"/>
      <c r="VIS40" s="11"/>
      <c r="VIT40" s="12"/>
      <c r="VIU40" s="12"/>
      <c r="VIV40" s="12"/>
      <c r="VIW40" s="13"/>
      <c r="VIX40" s="9"/>
      <c r="VIY40" s="9"/>
      <c r="VIZ40" s="9"/>
      <c r="VJA40" s="9"/>
      <c r="VJB40" s="10"/>
      <c r="VJC40" s="11"/>
      <c r="VJD40" s="12"/>
      <c r="VJE40" s="12"/>
      <c r="VJF40" s="12"/>
      <c r="VJG40" s="13"/>
      <c r="VJH40" s="9"/>
      <c r="VJI40" s="9"/>
      <c r="VJJ40" s="9"/>
      <c r="VJK40" s="9"/>
      <c r="VJL40" s="10"/>
      <c r="VJM40" s="11"/>
      <c r="VJN40" s="12"/>
      <c r="VJO40" s="12"/>
      <c r="VJP40" s="12"/>
      <c r="VJQ40" s="13"/>
      <c r="VJR40" s="9"/>
      <c r="VJS40" s="9"/>
      <c r="VJT40" s="9"/>
      <c r="VJU40" s="9"/>
      <c r="VJV40" s="10"/>
      <c r="VJW40" s="11"/>
      <c r="VJX40" s="12"/>
      <c r="VJY40" s="12"/>
      <c r="VJZ40" s="12"/>
      <c r="VKA40" s="13"/>
      <c r="VKB40" s="9"/>
      <c r="VKC40" s="9"/>
      <c r="VKD40" s="9"/>
      <c r="VKE40" s="9"/>
      <c r="VKF40" s="10"/>
      <c r="VKG40" s="11"/>
      <c r="VKH40" s="12"/>
      <c r="VKI40" s="12"/>
      <c r="VKJ40" s="12"/>
      <c r="VKK40" s="13"/>
      <c r="VKL40" s="9"/>
      <c r="VKM40" s="9"/>
      <c r="VKN40" s="9"/>
      <c r="VKO40" s="9"/>
      <c r="VKP40" s="10"/>
      <c r="VKQ40" s="11"/>
      <c r="VKR40" s="12"/>
      <c r="VKS40" s="12"/>
      <c r="VKT40" s="12"/>
      <c r="VKU40" s="13"/>
      <c r="VKV40" s="9"/>
      <c r="VKW40" s="9"/>
      <c r="VKX40" s="9"/>
      <c r="VKY40" s="9"/>
      <c r="VKZ40" s="10"/>
      <c r="VLA40" s="11"/>
      <c r="VLB40" s="12"/>
      <c r="VLC40" s="12"/>
      <c r="VLD40" s="12"/>
      <c r="VLE40" s="13"/>
      <c r="VLF40" s="9"/>
      <c r="VLG40" s="9"/>
      <c r="VLH40" s="9"/>
      <c r="VLI40" s="9"/>
      <c r="VLJ40" s="10"/>
      <c r="VLK40" s="11"/>
      <c r="VLL40" s="12"/>
      <c r="VLM40" s="12"/>
      <c r="VLN40" s="12"/>
      <c r="VLO40" s="13"/>
      <c r="VLP40" s="9"/>
      <c r="VLQ40" s="9"/>
      <c r="VLR40" s="9"/>
      <c r="VLS40" s="9"/>
      <c r="VLT40" s="10"/>
      <c r="VLU40" s="11"/>
      <c r="VLV40" s="12"/>
      <c r="VLW40" s="12"/>
      <c r="VLX40" s="12"/>
      <c r="VLY40" s="13"/>
      <c r="VLZ40" s="9"/>
      <c r="VMA40" s="9"/>
      <c r="VMB40" s="9"/>
      <c r="VMC40" s="9"/>
      <c r="VMD40" s="10"/>
      <c r="VME40" s="11"/>
      <c r="VMF40" s="12"/>
      <c r="VMG40" s="12"/>
      <c r="VMH40" s="12"/>
      <c r="VMI40" s="13"/>
      <c r="VMJ40" s="9"/>
      <c r="VMK40" s="9"/>
      <c r="VML40" s="9"/>
      <c r="VMM40" s="9"/>
      <c r="VMN40" s="10"/>
      <c r="VMO40" s="11"/>
      <c r="VMP40" s="12"/>
      <c r="VMQ40" s="12"/>
      <c r="VMR40" s="12"/>
      <c r="VMS40" s="13"/>
      <c r="VMT40" s="9"/>
      <c r="VMU40" s="9"/>
      <c r="VMV40" s="9"/>
      <c r="VMW40" s="9"/>
      <c r="VMX40" s="10"/>
      <c r="VMY40" s="11"/>
      <c r="VMZ40" s="12"/>
      <c r="VNA40" s="12"/>
      <c r="VNB40" s="12"/>
      <c r="VNC40" s="13"/>
      <c r="VND40" s="9"/>
      <c r="VNE40" s="9"/>
      <c r="VNF40" s="9"/>
      <c r="VNG40" s="9"/>
      <c r="VNH40" s="10"/>
      <c r="VNI40" s="11"/>
      <c r="VNJ40" s="12"/>
      <c r="VNK40" s="12"/>
      <c r="VNL40" s="12"/>
      <c r="VNM40" s="13"/>
      <c r="VNN40" s="9"/>
      <c r="VNO40" s="9"/>
      <c r="VNP40" s="9"/>
      <c r="VNQ40" s="9"/>
      <c r="VNR40" s="10"/>
      <c r="VNS40" s="11"/>
      <c r="VNT40" s="12"/>
      <c r="VNU40" s="12"/>
      <c r="VNV40" s="12"/>
      <c r="VNW40" s="13"/>
      <c r="VNX40" s="9"/>
      <c r="VNY40" s="9"/>
      <c r="VNZ40" s="9"/>
      <c r="VOA40" s="9"/>
      <c r="VOB40" s="10"/>
      <c r="VOC40" s="11"/>
      <c r="VOD40" s="12"/>
      <c r="VOE40" s="12"/>
      <c r="VOF40" s="12"/>
      <c r="VOG40" s="13"/>
      <c r="VOH40" s="9"/>
      <c r="VOI40" s="9"/>
      <c r="VOJ40" s="9"/>
      <c r="VOK40" s="9"/>
      <c r="VOL40" s="10"/>
      <c r="VOM40" s="11"/>
      <c r="VON40" s="12"/>
      <c r="VOO40" s="12"/>
      <c r="VOP40" s="12"/>
      <c r="VOQ40" s="13"/>
      <c r="VOR40" s="9"/>
      <c r="VOS40" s="9"/>
      <c r="VOT40" s="9"/>
      <c r="VOU40" s="9"/>
      <c r="VOV40" s="10"/>
      <c r="VOW40" s="11"/>
      <c r="VOX40" s="12"/>
      <c r="VOY40" s="12"/>
      <c r="VOZ40" s="12"/>
      <c r="VPA40" s="13"/>
      <c r="VPB40" s="9"/>
      <c r="VPC40" s="9"/>
      <c r="VPD40" s="9"/>
      <c r="VPE40" s="9"/>
      <c r="VPF40" s="10"/>
      <c r="VPG40" s="11"/>
      <c r="VPH40" s="12"/>
      <c r="VPI40" s="12"/>
      <c r="VPJ40" s="12"/>
      <c r="VPK40" s="13"/>
      <c r="VPL40" s="9"/>
      <c r="VPM40" s="9"/>
      <c r="VPN40" s="9"/>
      <c r="VPO40" s="9"/>
      <c r="VPP40" s="10"/>
      <c r="VPQ40" s="11"/>
      <c r="VPR40" s="12"/>
      <c r="VPS40" s="12"/>
      <c r="VPT40" s="12"/>
      <c r="VPU40" s="13"/>
      <c r="VPV40" s="9"/>
      <c r="VPW40" s="9"/>
      <c r="VPX40" s="9"/>
      <c r="VPY40" s="9"/>
      <c r="VPZ40" s="10"/>
      <c r="VQA40" s="11"/>
      <c r="VQB40" s="12"/>
      <c r="VQC40" s="12"/>
      <c r="VQD40" s="12"/>
      <c r="VQE40" s="13"/>
      <c r="VQF40" s="9"/>
      <c r="VQG40" s="9"/>
      <c r="VQH40" s="9"/>
      <c r="VQI40" s="9"/>
      <c r="VQJ40" s="10"/>
      <c r="VQK40" s="11"/>
      <c r="VQL40" s="12"/>
      <c r="VQM40" s="12"/>
      <c r="VQN40" s="12"/>
      <c r="VQO40" s="13"/>
      <c r="VQP40" s="9"/>
      <c r="VQQ40" s="9"/>
      <c r="VQR40" s="9"/>
      <c r="VQS40" s="9"/>
      <c r="VQT40" s="10"/>
      <c r="VQU40" s="11"/>
      <c r="VQV40" s="12"/>
      <c r="VQW40" s="12"/>
      <c r="VQX40" s="12"/>
      <c r="VQY40" s="13"/>
      <c r="VQZ40" s="9"/>
      <c r="VRA40" s="9"/>
      <c r="VRB40" s="9"/>
      <c r="VRC40" s="9"/>
      <c r="VRD40" s="10"/>
      <c r="VRE40" s="11"/>
      <c r="VRF40" s="12"/>
      <c r="VRG40" s="12"/>
      <c r="VRH40" s="12"/>
      <c r="VRI40" s="13"/>
      <c r="VRJ40" s="9"/>
      <c r="VRK40" s="9"/>
      <c r="VRL40" s="9"/>
      <c r="VRM40" s="9"/>
      <c r="VRN40" s="10"/>
      <c r="VRO40" s="11"/>
      <c r="VRP40" s="12"/>
      <c r="VRQ40" s="12"/>
      <c r="VRR40" s="12"/>
      <c r="VRS40" s="13"/>
      <c r="VRT40" s="9"/>
      <c r="VRU40" s="9"/>
      <c r="VRV40" s="9"/>
      <c r="VRW40" s="9"/>
      <c r="VRX40" s="10"/>
      <c r="VRY40" s="11"/>
      <c r="VRZ40" s="12"/>
      <c r="VSA40" s="12"/>
      <c r="VSB40" s="12"/>
      <c r="VSC40" s="13"/>
      <c r="VSD40" s="9"/>
      <c r="VSE40" s="9"/>
      <c r="VSF40" s="9"/>
      <c r="VSG40" s="9"/>
      <c r="VSH40" s="10"/>
      <c r="VSI40" s="11"/>
      <c r="VSJ40" s="12"/>
      <c r="VSK40" s="12"/>
      <c r="VSL40" s="12"/>
      <c r="VSM40" s="13"/>
      <c r="VSN40" s="9"/>
      <c r="VSO40" s="9"/>
      <c r="VSP40" s="9"/>
      <c r="VSQ40" s="9"/>
      <c r="VSR40" s="10"/>
      <c r="VSS40" s="11"/>
      <c r="VST40" s="12"/>
      <c r="VSU40" s="12"/>
      <c r="VSV40" s="12"/>
      <c r="VSW40" s="13"/>
      <c r="VSX40" s="9"/>
      <c r="VSY40" s="9"/>
      <c r="VSZ40" s="9"/>
      <c r="VTA40" s="9"/>
      <c r="VTB40" s="10"/>
      <c r="VTC40" s="11"/>
      <c r="VTD40" s="12"/>
      <c r="VTE40" s="12"/>
      <c r="VTF40" s="12"/>
      <c r="VTG40" s="13"/>
      <c r="VTH40" s="9"/>
      <c r="VTI40" s="9"/>
      <c r="VTJ40" s="9"/>
      <c r="VTK40" s="9"/>
      <c r="VTL40" s="10"/>
      <c r="VTM40" s="11"/>
      <c r="VTN40" s="12"/>
      <c r="VTO40" s="12"/>
      <c r="VTP40" s="12"/>
      <c r="VTQ40" s="13"/>
      <c r="VTR40" s="9"/>
      <c r="VTS40" s="9"/>
      <c r="VTT40" s="9"/>
      <c r="VTU40" s="9"/>
      <c r="VTV40" s="10"/>
      <c r="VTW40" s="11"/>
      <c r="VTX40" s="12"/>
      <c r="VTY40" s="12"/>
      <c r="VTZ40" s="12"/>
      <c r="VUA40" s="13"/>
      <c r="VUB40" s="9"/>
      <c r="VUC40" s="9"/>
      <c r="VUD40" s="9"/>
      <c r="VUE40" s="9"/>
      <c r="VUF40" s="10"/>
      <c r="VUG40" s="11"/>
      <c r="VUH40" s="12"/>
      <c r="VUI40" s="12"/>
      <c r="VUJ40" s="12"/>
      <c r="VUK40" s="13"/>
      <c r="VUL40" s="9"/>
      <c r="VUM40" s="9"/>
      <c r="VUN40" s="9"/>
      <c r="VUO40" s="9"/>
      <c r="VUP40" s="10"/>
      <c r="VUQ40" s="11"/>
      <c r="VUR40" s="12"/>
      <c r="VUS40" s="12"/>
      <c r="VUT40" s="12"/>
      <c r="VUU40" s="13"/>
      <c r="VUV40" s="9"/>
      <c r="VUW40" s="9"/>
      <c r="VUX40" s="9"/>
      <c r="VUY40" s="9"/>
      <c r="VUZ40" s="10"/>
      <c r="VVA40" s="11"/>
      <c r="VVB40" s="12"/>
      <c r="VVC40" s="12"/>
      <c r="VVD40" s="12"/>
      <c r="VVE40" s="13"/>
      <c r="VVF40" s="9"/>
      <c r="VVG40" s="9"/>
      <c r="VVH40" s="9"/>
      <c r="VVI40" s="9"/>
      <c r="VVJ40" s="10"/>
      <c r="VVK40" s="11"/>
      <c r="VVL40" s="12"/>
      <c r="VVM40" s="12"/>
      <c r="VVN40" s="12"/>
      <c r="VVO40" s="13"/>
      <c r="VVP40" s="9"/>
      <c r="VVQ40" s="9"/>
      <c r="VVR40" s="9"/>
      <c r="VVS40" s="9"/>
      <c r="VVT40" s="10"/>
      <c r="VVU40" s="11"/>
      <c r="VVV40" s="12"/>
      <c r="VVW40" s="12"/>
      <c r="VVX40" s="12"/>
      <c r="VVY40" s="13"/>
      <c r="VVZ40" s="9"/>
      <c r="VWA40" s="9"/>
      <c r="VWB40" s="9"/>
      <c r="VWC40" s="9"/>
      <c r="VWD40" s="10"/>
      <c r="VWE40" s="11"/>
      <c r="VWF40" s="12"/>
      <c r="VWG40" s="12"/>
      <c r="VWH40" s="12"/>
      <c r="VWI40" s="13"/>
      <c r="VWJ40" s="9"/>
      <c r="VWK40" s="9"/>
      <c r="VWL40" s="9"/>
      <c r="VWM40" s="9"/>
      <c r="VWN40" s="10"/>
      <c r="VWO40" s="11"/>
      <c r="VWP40" s="12"/>
      <c r="VWQ40" s="12"/>
      <c r="VWR40" s="12"/>
      <c r="VWS40" s="13"/>
      <c r="VWT40" s="9"/>
      <c r="VWU40" s="9"/>
      <c r="VWV40" s="9"/>
      <c r="VWW40" s="9"/>
      <c r="VWX40" s="10"/>
      <c r="VWY40" s="11"/>
      <c r="VWZ40" s="12"/>
      <c r="VXA40" s="12"/>
      <c r="VXB40" s="12"/>
      <c r="VXC40" s="13"/>
      <c r="VXD40" s="9"/>
      <c r="VXE40" s="9"/>
      <c r="VXF40" s="9"/>
      <c r="VXG40" s="9"/>
      <c r="VXH40" s="10"/>
      <c r="VXI40" s="11"/>
      <c r="VXJ40" s="12"/>
      <c r="VXK40" s="12"/>
      <c r="VXL40" s="12"/>
      <c r="VXM40" s="13"/>
      <c r="VXN40" s="9"/>
      <c r="VXO40" s="9"/>
      <c r="VXP40" s="9"/>
      <c r="VXQ40" s="9"/>
      <c r="VXR40" s="10"/>
      <c r="VXS40" s="11"/>
      <c r="VXT40" s="12"/>
      <c r="VXU40" s="12"/>
      <c r="VXV40" s="12"/>
      <c r="VXW40" s="13"/>
      <c r="VXX40" s="9"/>
      <c r="VXY40" s="9"/>
      <c r="VXZ40" s="9"/>
      <c r="VYA40" s="9"/>
      <c r="VYB40" s="10"/>
      <c r="VYC40" s="11"/>
      <c r="VYD40" s="12"/>
      <c r="VYE40" s="12"/>
      <c r="VYF40" s="12"/>
      <c r="VYG40" s="13"/>
      <c r="VYH40" s="9"/>
      <c r="VYI40" s="9"/>
      <c r="VYJ40" s="9"/>
      <c r="VYK40" s="9"/>
      <c r="VYL40" s="10"/>
      <c r="VYM40" s="11"/>
      <c r="VYN40" s="12"/>
      <c r="VYO40" s="12"/>
      <c r="VYP40" s="12"/>
      <c r="VYQ40" s="13"/>
      <c r="VYR40" s="9"/>
      <c r="VYS40" s="9"/>
      <c r="VYT40" s="9"/>
      <c r="VYU40" s="9"/>
      <c r="VYV40" s="10"/>
      <c r="VYW40" s="11"/>
      <c r="VYX40" s="12"/>
      <c r="VYY40" s="12"/>
      <c r="VYZ40" s="12"/>
      <c r="VZA40" s="13"/>
      <c r="VZB40" s="9"/>
      <c r="VZC40" s="9"/>
      <c r="VZD40" s="9"/>
      <c r="VZE40" s="9"/>
      <c r="VZF40" s="10"/>
      <c r="VZG40" s="11"/>
      <c r="VZH40" s="12"/>
      <c r="VZI40" s="12"/>
      <c r="VZJ40" s="12"/>
      <c r="VZK40" s="13"/>
      <c r="VZL40" s="9"/>
      <c r="VZM40" s="9"/>
      <c r="VZN40" s="9"/>
      <c r="VZO40" s="9"/>
      <c r="VZP40" s="10"/>
      <c r="VZQ40" s="11"/>
      <c r="VZR40" s="12"/>
      <c r="VZS40" s="12"/>
      <c r="VZT40" s="12"/>
      <c r="VZU40" s="13"/>
      <c r="VZV40" s="9"/>
      <c r="VZW40" s="9"/>
      <c r="VZX40" s="9"/>
      <c r="VZY40" s="9"/>
      <c r="VZZ40" s="10"/>
      <c r="WAA40" s="11"/>
      <c r="WAB40" s="12"/>
      <c r="WAC40" s="12"/>
      <c r="WAD40" s="12"/>
      <c r="WAE40" s="13"/>
      <c r="WAF40" s="9"/>
      <c r="WAG40" s="9"/>
      <c r="WAH40" s="9"/>
      <c r="WAI40" s="9"/>
      <c r="WAJ40" s="10"/>
      <c r="WAK40" s="11"/>
      <c r="WAL40" s="12"/>
      <c r="WAM40" s="12"/>
      <c r="WAN40" s="12"/>
      <c r="WAO40" s="13"/>
      <c r="WAP40" s="9"/>
      <c r="WAQ40" s="9"/>
      <c r="WAR40" s="9"/>
      <c r="WAS40" s="9"/>
      <c r="WAT40" s="10"/>
      <c r="WAU40" s="11"/>
      <c r="WAV40" s="12"/>
      <c r="WAW40" s="12"/>
      <c r="WAX40" s="12"/>
      <c r="WAY40" s="13"/>
      <c r="WAZ40" s="9"/>
      <c r="WBA40" s="9"/>
      <c r="WBB40" s="9"/>
      <c r="WBC40" s="9"/>
      <c r="WBD40" s="10"/>
      <c r="WBE40" s="11"/>
      <c r="WBF40" s="12"/>
      <c r="WBG40" s="12"/>
      <c r="WBH40" s="12"/>
      <c r="WBI40" s="13"/>
      <c r="WBJ40" s="9"/>
      <c r="WBK40" s="9"/>
      <c r="WBL40" s="9"/>
      <c r="WBM40" s="9"/>
      <c r="WBN40" s="10"/>
      <c r="WBO40" s="11"/>
      <c r="WBP40" s="12"/>
      <c r="WBQ40" s="12"/>
      <c r="WBR40" s="12"/>
      <c r="WBS40" s="13"/>
      <c r="WBT40" s="9"/>
      <c r="WBU40" s="9"/>
      <c r="WBV40" s="9"/>
      <c r="WBW40" s="9"/>
      <c r="WBX40" s="10"/>
      <c r="WBY40" s="11"/>
      <c r="WBZ40" s="12"/>
      <c r="WCA40" s="12"/>
      <c r="WCB40" s="12"/>
      <c r="WCC40" s="13"/>
      <c r="WCD40" s="9"/>
      <c r="WCE40" s="9"/>
      <c r="WCF40" s="9"/>
      <c r="WCG40" s="9"/>
      <c r="WCH40" s="10"/>
      <c r="WCI40" s="11"/>
      <c r="WCJ40" s="12"/>
      <c r="WCK40" s="12"/>
      <c r="WCL40" s="12"/>
      <c r="WCM40" s="13"/>
      <c r="WCN40" s="9"/>
      <c r="WCO40" s="9"/>
      <c r="WCP40" s="9"/>
      <c r="WCQ40" s="9"/>
      <c r="WCR40" s="10"/>
      <c r="WCS40" s="11"/>
      <c r="WCT40" s="12"/>
      <c r="WCU40" s="12"/>
      <c r="WCV40" s="12"/>
      <c r="WCW40" s="13"/>
      <c r="WCX40" s="9"/>
      <c r="WCY40" s="9"/>
      <c r="WCZ40" s="9"/>
      <c r="WDA40" s="9"/>
      <c r="WDB40" s="10"/>
      <c r="WDC40" s="11"/>
      <c r="WDD40" s="12"/>
      <c r="WDE40" s="12"/>
      <c r="WDF40" s="12"/>
      <c r="WDG40" s="13"/>
      <c r="WDH40" s="9"/>
      <c r="WDI40" s="9"/>
      <c r="WDJ40" s="9"/>
      <c r="WDK40" s="9"/>
      <c r="WDL40" s="10"/>
      <c r="WDM40" s="11"/>
      <c r="WDN40" s="12"/>
      <c r="WDO40" s="12"/>
      <c r="WDP40" s="12"/>
      <c r="WDQ40" s="13"/>
      <c r="WDR40" s="9"/>
      <c r="WDS40" s="9"/>
      <c r="WDT40" s="9"/>
      <c r="WDU40" s="9"/>
      <c r="WDV40" s="10"/>
      <c r="WDW40" s="11"/>
      <c r="WDX40" s="12"/>
      <c r="WDY40" s="12"/>
      <c r="WDZ40" s="12"/>
      <c r="WEA40" s="13"/>
      <c r="WEB40" s="9"/>
      <c r="WEC40" s="9"/>
      <c r="WED40" s="9"/>
      <c r="WEE40" s="9"/>
      <c r="WEF40" s="10"/>
      <c r="WEG40" s="11"/>
      <c r="WEH40" s="12"/>
      <c r="WEI40" s="12"/>
      <c r="WEJ40" s="12"/>
      <c r="WEK40" s="13"/>
      <c r="WEL40" s="9"/>
      <c r="WEM40" s="9"/>
      <c r="WEN40" s="9"/>
      <c r="WEO40" s="9"/>
      <c r="WEP40" s="10"/>
      <c r="WEQ40" s="11"/>
      <c r="WER40" s="12"/>
      <c r="WES40" s="12"/>
      <c r="WET40" s="12"/>
      <c r="WEU40" s="13"/>
      <c r="WEV40" s="9"/>
      <c r="WEW40" s="9"/>
      <c r="WEX40" s="9"/>
      <c r="WEY40" s="9"/>
      <c r="WEZ40" s="10"/>
      <c r="WFA40" s="11"/>
      <c r="WFB40" s="12"/>
      <c r="WFC40" s="12"/>
      <c r="WFD40" s="12"/>
      <c r="WFE40" s="13"/>
      <c r="WFF40" s="9"/>
      <c r="WFG40" s="9"/>
      <c r="WFH40" s="9"/>
      <c r="WFI40" s="9"/>
      <c r="WFJ40" s="10"/>
      <c r="WFK40" s="11"/>
      <c r="WFL40" s="12"/>
      <c r="WFM40" s="12"/>
      <c r="WFN40" s="12"/>
      <c r="WFO40" s="13"/>
      <c r="WFP40" s="9"/>
      <c r="WFQ40" s="9"/>
      <c r="WFR40" s="9"/>
      <c r="WFS40" s="9"/>
      <c r="WFT40" s="10"/>
      <c r="WFU40" s="11"/>
      <c r="WFV40" s="12"/>
      <c r="WFW40" s="12"/>
      <c r="WFX40" s="12"/>
      <c r="WFY40" s="13"/>
      <c r="WFZ40" s="9"/>
      <c r="WGA40" s="9"/>
      <c r="WGB40" s="9"/>
      <c r="WGC40" s="9"/>
      <c r="WGD40" s="10"/>
      <c r="WGE40" s="11"/>
      <c r="WGF40" s="12"/>
      <c r="WGG40" s="12"/>
      <c r="WGH40" s="12"/>
      <c r="WGI40" s="13"/>
      <c r="WGJ40" s="9"/>
      <c r="WGK40" s="9"/>
      <c r="WGL40" s="9"/>
      <c r="WGM40" s="9"/>
      <c r="WGN40" s="10"/>
      <c r="WGO40" s="11"/>
      <c r="WGP40" s="12"/>
      <c r="WGQ40" s="12"/>
      <c r="WGR40" s="12"/>
      <c r="WGS40" s="13"/>
      <c r="WGT40" s="9"/>
      <c r="WGU40" s="9"/>
      <c r="WGV40" s="9"/>
      <c r="WGW40" s="9"/>
      <c r="WGX40" s="10"/>
      <c r="WGY40" s="11"/>
      <c r="WGZ40" s="12"/>
      <c r="WHA40" s="12"/>
      <c r="WHB40" s="12"/>
      <c r="WHC40" s="13"/>
      <c r="WHD40" s="9"/>
      <c r="WHE40" s="9"/>
      <c r="WHF40" s="9"/>
      <c r="WHG40" s="9"/>
      <c r="WHH40" s="10"/>
      <c r="WHI40" s="11"/>
      <c r="WHJ40" s="12"/>
      <c r="WHK40" s="12"/>
      <c r="WHL40" s="12"/>
      <c r="WHM40" s="13"/>
      <c r="WHN40" s="9"/>
      <c r="WHO40" s="9"/>
      <c r="WHP40" s="9"/>
      <c r="WHQ40" s="9"/>
      <c r="WHR40" s="10"/>
      <c r="WHS40" s="11"/>
      <c r="WHT40" s="12"/>
      <c r="WHU40" s="12"/>
      <c r="WHV40" s="12"/>
      <c r="WHW40" s="13"/>
      <c r="WHX40" s="9"/>
      <c r="WHY40" s="9"/>
      <c r="WHZ40" s="9"/>
      <c r="WIA40" s="9"/>
      <c r="WIB40" s="10"/>
      <c r="WIC40" s="11"/>
      <c r="WID40" s="12"/>
      <c r="WIE40" s="12"/>
      <c r="WIF40" s="12"/>
      <c r="WIG40" s="13"/>
      <c r="WIH40" s="9"/>
      <c r="WII40" s="9"/>
      <c r="WIJ40" s="9"/>
      <c r="WIK40" s="9"/>
      <c r="WIL40" s="10"/>
      <c r="WIM40" s="11"/>
      <c r="WIN40" s="12"/>
      <c r="WIO40" s="12"/>
      <c r="WIP40" s="12"/>
      <c r="WIQ40" s="13"/>
      <c r="WIR40" s="9"/>
      <c r="WIS40" s="9"/>
      <c r="WIT40" s="9"/>
      <c r="WIU40" s="9"/>
      <c r="WIV40" s="10"/>
      <c r="WIW40" s="11"/>
      <c r="WIX40" s="12"/>
      <c r="WIY40" s="12"/>
      <c r="WIZ40" s="12"/>
      <c r="WJA40" s="13"/>
      <c r="WJB40" s="9"/>
      <c r="WJC40" s="9"/>
      <c r="WJD40" s="9"/>
      <c r="WJE40" s="9"/>
      <c r="WJF40" s="10"/>
      <c r="WJG40" s="11"/>
      <c r="WJH40" s="12"/>
      <c r="WJI40" s="12"/>
      <c r="WJJ40" s="12"/>
      <c r="WJK40" s="13"/>
      <c r="WJL40" s="9"/>
      <c r="WJM40" s="9"/>
      <c r="WJN40" s="9"/>
      <c r="WJO40" s="9"/>
      <c r="WJP40" s="10"/>
      <c r="WJQ40" s="11"/>
      <c r="WJR40" s="12"/>
      <c r="WJS40" s="12"/>
      <c r="WJT40" s="12"/>
      <c r="WJU40" s="13"/>
      <c r="WJV40" s="9"/>
      <c r="WJW40" s="9"/>
      <c r="WJX40" s="9"/>
      <c r="WJY40" s="9"/>
      <c r="WJZ40" s="10"/>
      <c r="WKA40" s="11"/>
      <c r="WKB40" s="12"/>
      <c r="WKC40" s="12"/>
      <c r="WKD40" s="12"/>
      <c r="WKE40" s="13"/>
      <c r="WKF40" s="9"/>
      <c r="WKG40" s="9"/>
      <c r="WKH40" s="9"/>
      <c r="WKI40" s="9"/>
      <c r="WKJ40" s="10"/>
      <c r="WKK40" s="11"/>
      <c r="WKL40" s="12"/>
      <c r="WKM40" s="12"/>
      <c r="WKN40" s="12"/>
      <c r="WKO40" s="13"/>
      <c r="WKP40" s="9"/>
      <c r="WKQ40" s="9"/>
      <c r="WKR40" s="9"/>
      <c r="WKS40" s="9"/>
      <c r="WKT40" s="10"/>
      <c r="WKU40" s="11"/>
      <c r="WKV40" s="12"/>
      <c r="WKW40" s="12"/>
      <c r="WKX40" s="12"/>
      <c r="WKY40" s="13"/>
      <c r="WKZ40" s="9"/>
      <c r="WLA40" s="9"/>
      <c r="WLB40" s="9"/>
      <c r="WLC40" s="9"/>
      <c r="WLD40" s="10"/>
      <c r="WLE40" s="11"/>
      <c r="WLF40" s="12"/>
      <c r="WLG40" s="12"/>
      <c r="WLH40" s="12"/>
      <c r="WLI40" s="13"/>
      <c r="WLJ40" s="9"/>
      <c r="WLK40" s="9"/>
      <c r="WLL40" s="9"/>
      <c r="WLM40" s="9"/>
      <c r="WLN40" s="10"/>
      <c r="WLO40" s="11"/>
      <c r="WLP40" s="12"/>
      <c r="WLQ40" s="12"/>
      <c r="WLR40" s="12"/>
      <c r="WLS40" s="13"/>
      <c r="WLT40" s="9"/>
      <c r="WLU40" s="9"/>
      <c r="WLV40" s="9"/>
      <c r="WLW40" s="9"/>
      <c r="WLX40" s="10"/>
      <c r="WLY40" s="11"/>
      <c r="WLZ40" s="12"/>
      <c r="WMA40" s="12"/>
      <c r="WMB40" s="12"/>
      <c r="WMC40" s="13"/>
      <c r="WMD40" s="9"/>
      <c r="WME40" s="9"/>
      <c r="WMF40" s="9"/>
      <c r="WMG40" s="9"/>
      <c r="WMH40" s="10"/>
      <c r="WMI40" s="11"/>
      <c r="WMJ40" s="12"/>
      <c r="WMK40" s="12"/>
      <c r="WML40" s="12"/>
      <c r="WMM40" s="13"/>
      <c r="WMN40" s="9"/>
      <c r="WMO40" s="9"/>
      <c r="WMP40" s="9"/>
      <c r="WMQ40" s="9"/>
      <c r="WMR40" s="10"/>
      <c r="WMS40" s="11"/>
      <c r="WMT40" s="12"/>
      <c r="WMU40" s="12"/>
      <c r="WMV40" s="12"/>
      <c r="WMW40" s="13"/>
      <c r="WMX40" s="9"/>
      <c r="WMY40" s="9"/>
      <c r="WMZ40" s="9"/>
      <c r="WNA40" s="9"/>
      <c r="WNB40" s="10"/>
      <c r="WNC40" s="11"/>
      <c r="WND40" s="12"/>
      <c r="WNE40" s="12"/>
      <c r="WNF40" s="12"/>
      <c r="WNG40" s="13"/>
      <c r="WNH40" s="9"/>
      <c r="WNI40" s="9"/>
      <c r="WNJ40" s="9"/>
      <c r="WNK40" s="9"/>
      <c r="WNL40" s="10"/>
      <c r="WNM40" s="11"/>
      <c r="WNN40" s="12"/>
      <c r="WNO40" s="12"/>
      <c r="WNP40" s="12"/>
      <c r="WNQ40" s="13"/>
      <c r="WNR40" s="9"/>
      <c r="WNS40" s="9"/>
      <c r="WNT40" s="9"/>
      <c r="WNU40" s="9"/>
      <c r="WNV40" s="10"/>
      <c r="WNW40" s="11"/>
      <c r="WNX40" s="12"/>
      <c r="WNY40" s="12"/>
      <c r="WNZ40" s="12"/>
      <c r="WOA40" s="13"/>
      <c r="WOB40" s="9"/>
      <c r="WOC40" s="9"/>
      <c r="WOD40" s="9"/>
      <c r="WOE40" s="9"/>
      <c r="WOF40" s="10"/>
      <c r="WOG40" s="11"/>
      <c r="WOH40" s="12"/>
      <c r="WOI40" s="12"/>
      <c r="WOJ40" s="12"/>
      <c r="WOK40" s="13"/>
      <c r="WOL40" s="9"/>
      <c r="WOM40" s="9"/>
      <c r="WON40" s="9"/>
      <c r="WOO40" s="9"/>
      <c r="WOP40" s="10"/>
      <c r="WOQ40" s="11"/>
      <c r="WOR40" s="12"/>
      <c r="WOS40" s="12"/>
      <c r="WOT40" s="12"/>
      <c r="WOU40" s="13"/>
      <c r="WOV40" s="9"/>
      <c r="WOW40" s="9"/>
      <c r="WOX40" s="9"/>
      <c r="WOY40" s="9"/>
      <c r="WOZ40" s="10"/>
      <c r="WPA40" s="11"/>
      <c r="WPB40" s="12"/>
      <c r="WPC40" s="12"/>
      <c r="WPD40" s="12"/>
      <c r="WPE40" s="13"/>
      <c r="WPF40" s="9"/>
      <c r="WPG40" s="9"/>
      <c r="WPH40" s="9"/>
      <c r="WPI40" s="9"/>
      <c r="WPJ40" s="10"/>
      <c r="WPK40" s="11"/>
      <c r="WPL40" s="12"/>
      <c r="WPM40" s="12"/>
      <c r="WPN40" s="12"/>
      <c r="WPO40" s="13"/>
      <c r="WPP40" s="9"/>
      <c r="WPQ40" s="9"/>
      <c r="WPR40" s="9"/>
      <c r="WPS40" s="9"/>
      <c r="WPT40" s="10"/>
      <c r="WPU40" s="11"/>
      <c r="WPV40" s="12"/>
      <c r="WPW40" s="12"/>
      <c r="WPX40" s="12"/>
      <c r="WPY40" s="13"/>
      <c r="WPZ40" s="9"/>
      <c r="WQA40" s="9"/>
      <c r="WQB40" s="9"/>
      <c r="WQC40" s="9"/>
      <c r="WQD40" s="10"/>
      <c r="WQE40" s="11"/>
      <c r="WQF40" s="12"/>
      <c r="WQG40" s="12"/>
      <c r="WQH40" s="12"/>
      <c r="WQI40" s="13"/>
      <c r="WQJ40" s="9"/>
      <c r="WQK40" s="9"/>
      <c r="WQL40" s="9"/>
      <c r="WQM40" s="9"/>
      <c r="WQN40" s="10"/>
      <c r="WQO40" s="11"/>
      <c r="WQP40" s="12"/>
      <c r="WQQ40" s="12"/>
      <c r="WQR40" s="12"/>
      <c r="WQS40" s="13"/>
      <c r="WQT40" s="9"/>
      <c r="WQU40" s="9"/>
      <c r="WQV40" s="9"/>
      <c r="WQW40" s="9"/>
      <c r="WQX40" s="10"/>
      <c r="WQY40" s="11"/>
      <c r="WQZ40" s="12"/>
      <c r="WRA40" s="12"/>
      <c r="WRB40" s="12"/>
      <c r="WRC40" s="13"/>
      <c r="WRD40" s="9"/>
      <c r="WRE40" s="9"/>
      <c r="WRF40" s="9"/>
      <c r="WRG40" s="9"/>
      <c r="WRH40" s="10"/>
      <c r="WRI40" s="11"/>
      <c r="WRJ40" s="12"/>
      <c r="WRK40" s="12"/>
      <c r="WRL40" s="12"/>
      <c r="WRM40" s="13"/>
      <c r="WRN40" s="9"/>
      <c r="WRO40" s="9"/>
      <c r="WRP40" s="9"/>
      <c r="WRQ40" s="9"/>
      <c r="WRR40" s="10"/>
      <c r="WRS40" s="11"/>
      <c r="WRT40" s="12"/>
      <c r="WRU40" s="12"/>
      <c r="WRV40" s="12"/>
      <c r="WRW40" s="13"/>
      <c r="WRX40" s="9"/>
      <c r="WRY40" s="9"/>
      <c r="WRZ40" s="9"/>
      <c r="WSA40" s="9"/>
      <c r="WSB40" s="10"/>
      <c r="WSC40" s="11"/>
      <c r="WSD40" s="12"/>
      <c r="WSE40" s="12"/>
      <c r="WSF40" s="12"/>
      <c r="WSG40" s="13"/>
      <c r="WSH40" s="9"/>
      <c r="WSI40" s="9"/>
      <c r="WSJ40" s="9"/>
      <c r="WSK40" s="9"/>
      <c r="WSL40" s="10"/>
      <c r="WSM40" s="11"/>
      <c r="WSN40" s="12"/>
      <c r="WSO40" s="12"/>
      <c r="WSP40" s="12"/>
      <c r="WSQ40" s="13"/>
      <c r="WSR40" s="9"/>
      <c r="WSS40" s="9"/>
      <c r="WST40" s="9"/>
      <c r="WSU40" s="9"/>
      <c r="WSV40" s="10"/>
      <c r="WSW40" s="11"/>
      <c r="WSX40" s="12"/>
      <c r="WSY40" s="12"/>
      <c r="WSZ40" s="12"/>
      <c r="WTA40" s="13"/>
      <c r="WTB40" s="9"/>
      <c r="WTC40" s="9"/>
      <c r="WTD40" s="9"/>
      <c r="WTE40" s="9"/>
      <c r="WTF40" s="10"/>
      <c r="WTG40" s="11"/>
      <c r="WTH40" s="12"/>
      <c r="WTI40" s="12"/>
      <c r="WTJ40" s="12"/>
      <c r="WTK40" s="13"/>
      <c r="WTL40" s="9"/>
      <c r="WTM40" s="9"/>
      <c r="WTN40" s="9"/>
      <c r="WTO40" s="9"/>
      <c r="WTP40" s="10"/>
      <c r="WTQ40" s="11"/>
      <c r="WTR40" s="12"/>
      <c r="WTS40" s="12"/>
      <c r="WTT40" s="12"/>
      <c r="WTU40" s="13"/>
      <c r="WTV40" s="9"/>
      <c r="WTW40" s="9"/>
      <c r="WTX40" s="9"/>
      <c r="WTY40" s="9"/>
      <c r="WTZ40" s="10"/>
      <c r="WUA40" s="11"/>
      <c r="WUB40" s="12"/>
      <c r="WUC40" s="12"/>
      <c r="WUD40" s="12"/>
      <c r="WUE40" s="13"/>
      <c r="WUF40" s="9"/>
      <c r="WUG40" s="9"/>
      <c r="WUH40" s="9"/>
      <c r="WUI40" s="9"/>
      <c r="WUJ40" s="10"/>
      <c r="WUK40" s="11"/>
      <c r="WUL40" s="12"/>
      <c r="WUM40" s="12"/>
      <c r="WUN40" s="12"/>
      <c r="WUO40" s="13"/>
      <c r="WUP40" s="9"/>
      <c r="WUQ40" s="9"/>
      <c r="WUR40" s="9"/>
      <c r="WUS40" s="9"/>
      <c r="WUT40" s="10"/>
      <c r="WUU40" s="11"/>
      <c r="WUV40" s="12"/>
      <c r="WUW40" s="12"/>
      <c r="WUX40" s="12"/>
      <c r="WUY40" s="13"/>
      <c r="WUZ40" s="9"/>
      <c r="WVA40" s="9"/>
      <c r="WVB40" s="9"/>
      <c r="WVC40" s="9"/>
      <c r="WVD40" s="10"/>
      <c r="WVE40" s="11"/>
      <c r="WVF40" s="12"/>
      <c r="WVG40" s="12"/>
      <c r="WVH40" s="12"/>
      <c r="WVI40" s="13"/>
      <c r="WVJ40" s="9"/>
      <c r="WVK40" s="9"/>
      <c r="WVL40" s="9"/>
      <c r="WVM40" s="9"/>
      <c r="WVN40" s="10"/>
      <c r="WVO40" s="11"/>
      <c r="WVP40" s="12"/>
      <c r="WVQ40" s="12"/>
      <c r="WVR40" s="12"/>
      <c r="WVS40" s="13"/>
      <c r="WVT40" s="9"/>
      <c r="WVU40" s="9"/>
      <c r="WVV40" s="9"/>
      <c r="WVW40" s="9"/>
      <c r="WVX40" s="10"/>
      <c r="WVY40" s="11"/>
      <c r="WVZ40" s="12"/>
      <c r="WWA40" s="12"/>
      <c r="WWB40" s="12"/>
      <c r="WWC40" s="13"/>
      <c r="WWD40" s="9"/>
      <c r="WWE40" s="9"/>
      <c r="WWF40" s="9"/>
      <c r="WWG40" s="9"/>
      <c r="WWH40" s="10"/>
      <c r="WWI40" s="11"/>
      <c r="WWJ40" s="12"/>
      <c r="WWK40" s="12"/>
      <c r="WWL40" s="12"/>
      <c r="WWM40" s="13"/>
      <c r="WWN40" s="9"/>
      <c r="WWO40" s="9"/>
      <c r="WWP40" s="9"/>
      <c r="WWQ40" s="9"/>
      <c r="WWR40" s="10"/>
      <c r="WWS40" s="11"/>
      <c r="WWT40" s="12"/>
      <c r="WWU40" s="12"/>
      <c r="WWV40" s="12"/>
      <c r="WWW40" s="13"/>
      <c r="WWX40" s="9"/>
      <c r="WWY40" s="9"/>
      <c r="WWZ40" s="9"/>
      <c r="WXA40" s="9"/>
      <c r="WXB40" s="10"/>
      <c r="WXC40" s="11"/>
      <c r="WXD40" s="12"/>
      <c r="WXE40" s="12"/>
      <c r="WXF40" s="12"/>
      <c r="WXG40" s="13"/>
      <c r="WXH40" s="9"/>
      <c r="WXI40" s="9"/>
      <c r="WXJ40" s="9"/>
      <c r="WXK40" s="9"/>
      <c r="WXL40" s="10"/>
      <c r="WXM40" s="11"/>
      <c r="WXN40" s="12"/>
      <c r="WXO40" s="12"/>
      <c r="WXP40" s="12"/>
      <c r="WXQ40" s="13"/>
      <c r="WXR40" s="9"/>
      <c r="WXS40" s="9"/>
      <c r="WXT40" s="9"/>
      <c r="WXU40" s="9"/>
      <c r="WXV40" s="10"/>
      <c r="WXW40" s="11"/>
      <c r="WXX40" s="12"/>
      <c r="WXY40" s="12"/>
      <c r="WXZ40" s="12"/>
      <c r="WYA40" s="13"/>
      <c r="WYB40" s="9"/>
      <c r="WYC40" s="9"/>
      <c r="WYD40" s="9"/>
      <c r="WYE40" s="9"/>
      <c r="WYF40" s="10"/>
      <c r="WYG40" s="11"/>
      <c r="WYH40" s="12"/>
      <c r="WYI40" s="12"/>
      <c r="WYJ40" s="12"/>
      <c r="WYK40" s="13"/>
      <c r="WYL40" s="9"/>
      <c r="WYM40" s="9"/>
      <c r="WYN40" s="9"/>
      <c r="WYO40" s="9"/>
      <c r="WYP40" s="10"/>
      <c r="WYQ40" s="11"/>
      <c r="WYR40" s="12"/>
      <c r="WYS40" s="12"/>
      <c r="WYT40" s="12"/>
      <c r="WYU40" s="13"/>
      <c r="WYV40" s="9"/>
      <c r="WYW40" s="9"/>
      <c r="WYX40" s="9"/>
      <c r="WYY40" s="9"/>
      <c r="WYZ40" s="10"/>
      <c r="WZA40" s="11"/>
      <c r="WZB40" s="12"/>
      <c r="WZC40" s="12"/>
      <c r="WZD40" s="12"/>
      <c r="WZE40" s="13"/>
      <c r="WZF40" s="9"/>
      <c r="WZG40" s="9"/>
      <c r="WZH40" s="9"/>
      <c r="WZI40" s="9"/>
      <c r="WZJ40" s="10"/>
      <c r="WZK40" s="11"/>
      <c r="WZL40" s="12"/>
      <c r="WZM40" s="12"/>
      <c r="WZN40" s="12"/>
      <c r="WZO40" s="13"/>
      <c r="WZP40" s="9"/>
      <c r="WZQ40" s="9"/>
      <c r="WZR40" s="9"/>
      <c r="WZS40" s="9"/>
      <c r="WZT40" s="10"/>
      <c r="WZU40" s="11"/>
      <c r="WZV40" s="12"/>
      <c r="WZW40" s="12"/>
      <c r="WZX40" s="12"/>
      <c r="WZY40" s="13"/>
      <c r="WZZ40" s="9"/>
      <c r="XAA40" s="9"/>
      <c r="XAB40" s="9"/>
      <c r="XAC40" s="9"/>
      <c r="XAD40" s="10"/>
      <c r="XAE40" s="11"/>
      <c r="XAF40" s="12"/>
      <c r="XAG40" s="12"/>
      <c r="XAH40" s="12"/>
      <c r="XAI40" s="13"/>
      <c r="XAJ40" s="9"/>
      <c r="XAK40" s="9"/>
      <c r="XAL40" s="9"/>
      <c r="XAM40" s="9"/>
      <c r="XAN40" s="10"/>
      <c r="XAO40" s="11"/>
      <c r="XAP40" s="12"/>
      <c r="XAQ40" s="12"/>
      <c r="XAR40" s="12"/>
      <c r="XAS40" s="13"/>
      <c r="XAT40" s="9"/>
      <c r="XAU40" s="9"/>
      <c r="XAV40" s="9"/>
      <c r="XAW40" s="9"/>
      <c r="XAX40" s="10"/>
      <c r="XAY40" s="11"/>
      <c r="XAZ40" s="12"/>
      <c r="XBA40" s="12"/>
      <c r="XBB40" s="12"/>
      <c r="XBC40" s="13"/>
      <c r="XBD40" s="9"/>
      <c r="XBE40" s="9"/>
      <c r="XBF40" s="9"/>
      <c r="XBG40" s="9"/>
      <c r="XBH40" s="10"/>
      <c r="XBI40" s="11"/>
      <c r="XBJ40" s="12"/>
      <c r="XBK40" s="12"/>
      <c r="XBL40" s="12"/>
      <c r="XBM40" s="13"/>
      <c r="XBN40" s="9"/>
      <c r="XBO40" s="9"/>
      <c r="XBP40" s="9"/>
      <c r="XBQ40" s="9"/>
      <c r="XBR40" s="10"/>
      <c r="XBS40" s="11"/>
      <c r="XBT40" s="12"/>
      <c r="XBU40" s="12"/>
      <c r="XBV40" s="12"/>
      <c r="XBW40" s="13"/>
      <c r="XBX40" s="9"/>
      <c r="XBY40" s="9"/>
      <c r="XBZ40" s="9"/>
      <c r="XCA40" s="9"/>
      <c r="XCB40" s="10"/>
      <c r="XCC40" s="11"/>
      <c r="XCD40" s="12"/>
      <c r="XCE40" s="12"/>
      <c r="XCF40" s="12"/>
      <c r="XCG40" s="13"/>
      <c r="XCH40" s="9"/>
      <c r="XCI40" s="9"/>
      <c r="XCJ40" s="9"/>
      <c r="XCK40" s="9"/>
      <c r="XCL40" s="10"/>
      <c r="XCM40" s="11"/>
      <c r="XCN40" s="12"/>
      <c r="XCO40" s="12"/>
      <c r="XCP40" s="12"/>
      <c r="XCQ40" s="13"/>
      <c r="XCR40" s="9"/>
      <c r="XCS40" s="9"/>
      <c r="XCT40" s="9"/>
      <c r="XCU40" s="9"/>
      <c r="XCV40" s="10"/>
      <c r="XCW40" s="11"/>
      <c r="XCX40" s="12"/>
      <c r="XCY40" s="12"/>
      <c r="XCZ40" s="12"/>
      <c r="XDA40" s="13"/>
      <c r="XDB40" s="9"/>
      <c r="XDC40" s="9"/>
      <c r="XDD40" s="9"/>
      <c r="XDE40" s="9"/>
      <c r="XDF40" s="10"/>
      <c r="XDG40" s="11"/>
      <c r="XDH40" s="12"/>
      <c r="XDI40" s="12"/>
      <c r="XDJ40" s="12"/>
      <c r="XDK40" s="13"/>
      <c r="XDL40" s="9"/>
      <c r="XDM40" s="9"/>
      <c r="XDN40" s="9"/>
      <c r="XDO40" s="9"/>
      <c r="XDP40" s="10"/>
      <c r="XDQ40" s="11"/>
      <c r="XDR40" s="12"/>
      <c r="XDS40" s="12"/>
      <c r="XDT40" s="12"/>
      <c r="XDU40" s="13"/>
      <c r="XDV40" s="9"/>
      <c r="XDW40" s="9"/>
      <c r="XDX40" s="9"/>
      <c r="XDY40" s="9"/>
      <c r="XDZ40" s="10"/>
      <c r="XEA40" s="11"/>
      <c r="XEB40" s="12"/>
      <c r="XEC40" s="12"/>
      <c r="XED40" s="12"/>
      <c r="XEE40" s="13"/>
      <c r="XEF40" s="9"/>
      <c r="XEG40" s="9"/>
      <c r="XEH40" s="9"/>
      <c r="XEI40" s="9"/>
      <c r="XEJ40" s="10"/>
      <c r="XEK40" s="11"/>
      <c r="XEL40" s="12"/>
      <c r="XEM40" s="12"/>
      <c r="XEN40" s="12"/>
      <c r="XEO40" s="13"/>
      <c r="XEP40" s="9"/>
      <c r="XEQ40" s="9"/>
      <c r="XER40" s="9"/>
      <c r="XES40" s="9"/>
      <c r="XET40" s="10"/>
      <c r="XEU40" s="11"/>
      <c r="XEV40" s="12"/>
      <c r="XEW40" s="12"/>
      <c r="XEX40" s="12"/>
      <c r="XEY40" s="13"/>
      <c r="XEZ40" s="9"/>
      <c r="XFA40" s="9"/>
      <c r="XFB40" s="9"/>
      <c r="XFC40" s="9"/>
      <c r="XFD40" s="10"/>
    </row>
  </sheetData>
  <autoFilter ref="A1:K41" xr:uid="{0CCA0C0B-A3E1-4CF1-8680-D3183339E84E}"/>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ECC1-A250-494D-9BC3-454467328A5A}">
  <dimension ref="A1:B40"/>
  <sheetViews>
    <sheetView topLeftCell="A9" workbookViewId="0">
      <selection sqref="A1:B40"/>
    </sheetView>
  </sheetViews>
  <sheetFormatPr defaultRowHeight="15" x14ac:dyDescent="0.25"/>
  <cols>
    <col min="1" max="1" width="31.85546875" bestFit="1" customWidth="1"/>
    <col min="2" max="2" width="9.140625" style="1"/>
  </cols>
  <sheetData>
    <row r="1" spans="1:2" x14ac:dyDescent="0.25">
      <c r="A1" t="s">
        <v>105</v>
      </c>
      <c r="B1" s="1" t="s">
        <v>80</v>
      </c>
    </row>
    <row r="2" spans="1:2" x14ac:dyDescent="0.25">
      <c r="A2" t="s">
        <v>96</v>
      </c>
      <c r="B2" s="1">
        <v>10</v>
      </c>
    </row>
    <row r="3" spans="1:2" x14ac:dyDescent="0.25">
      <c r="A3" t="s">
        <v>5</v>
      </c>
      <c r="B3" s="1">
        <v>7</v>
      </c>
    </row>
    <row r="4" spans="1:2" x14ac:dyDescent="0.25">
      <c r="A4" t="s">
        <v>7</v>
      </c>
      <c r="B4" s="1">
        <v>6</v>
      </c>
    </row>
    <row r="5" spans="1:2" x14ac:dyDescent="0.25">
      <c r="A5" t="s">
        <v>9</v>
      </c>
      <c r="B5" s="1">
        <v>10</v>
      </c>
    </row>
    <row r="6" spans="1:2" x14ac:dyDescent="0.25">
      <c r="A6" t="s">
        <v>11</v>
      </c>
      <c r="B6" s="1">
        <v>10</v>
      </c>
    </row>
    <row r="7" spans="1:2" x14ac:dyDescent="0.25">
      <c r="A7" t="s">
        <v>13</v>
      </c>
      <c r="B7" s="1">
        <v>6</v>
      </c>
    </row>
    <row r="8" spans="1:2" x14ac:dyDescent="0.25">
      <c r="A8" t="s">
        <v>15</v>
      </c>
      <c r="B8" s="1">
        <v>9</v>
      </c>
    </row>
    <row r="9" spans="1:2" x14ac:dyDescent="0.25">
      <c r="A9" t="s">
        <v>17</v>
      </c>
      <c r="B9" s="1">
        <v>9</v>
      </c>
    </row>
    <row r="10" spans="1:2" x14ac:dyDescent="0.25">
      <c r="A10" t="s">
        <v>100</v>
      </c>
      <c r="B10" s="1">
        <v>8</v>
      </c>
    </row>
    <row r="11" spans="1:2" x14ac:dyDescent="0.25">
      <c r="A11" t="s">
        <v>95</v>
      </c>
      <c r="B11" s="1">
        <v>9</v>
      </c>
    </row>
    <row r="12" spans="1:2" x14ac:dyDescent="0.25">
      <c r="A12" t="s">
        <v>25</v>
      </c>
      <c r="B12" s="1">
        <v>3</v>
      </c>
    </row>
    <row r="13" spans="1:2" x14ac:dyDescent="0.25">
      <c r="A13" t="s">
        <v>97</v>
      </c>
      <c r="B13" s="1">
        <v>10</v>
      </c>
    </row>
    <row r="14" spans="1:2" x14ac:dyDescent="0.25">
      <c r="A14" t="s">
        <v>83</v>
      </c>
      <c r="B14" s="1">
        <v>2</v>
      </c>
    </row>
    <row r="15" spans="1:2" x14ac:dyDescent="0.25">
      <c r="A15" t="s">
        <v>29</v>
      </c>
      <c r="B15" s="1">
        <v>8</v>
      </c>
    </row>
    <row r="16" spans="1:2" x14ac:dyDescent="0.25">
      <c r="A16" t="s">
        <v>101</v>
      </c>
      <c r="B16" s="1">
        <v>8</v>
      </c>
    </row>
    <row r="17" spans="1:2" x14ac:dyDescent="0.25">
      <c r="A17" t="s">
        <v>33</v>
      </c>
      <c r="B17" s="1">
        <v>6</v>
      </c>
    </row>
    <row r="18" spans="1:2" x14ac:dyDescent="0.25">
      <c r="A18" t="s">
        <v>84</v>
      </c>
      <c r="B18" s="1">
        <v>2</v>
      </c>
    </row>
    <row r="19" spans="1:2" x14ac:dyDescent="0.25">
      <c r="A19" t="s">
        <v>91</v>
      </c>
      <c r="B19" s="1">
        <v>4</v>
      </c>
    </row>
    <row r="20" spans="1:2" x14ac:dyDescent="0.25">
      <c r="A20" t="s">
        <v>85</v>
      </c>
      <c r="B20" s="1">
        <v>2</v>
      </c>
    </row>
    <row r="21" spans="1:2" x14ac:dyDescent="0.25">
      <c r="A21" t="s">
        <v>41</v>
      </c>
      <c r="B21" s="1">
        <v>1</v>
      </c>
    </row>
    <row r="22" spans="1:2" x14ac:dyDescent="0.25">
      <c r="A22" t="s">
        <v>88</v>
      </c>
      <c r="B22" s="1">
        <v>3</v>
      </c>
    </row>
    <row r="23" spans="1:2" x14ac:dyDescent="0.25">
      <c r="A23" t="s">
        <v>43</v>
      </c>
      <c r="B23" s="1">
        <v>4</v>
      </c>
    </row>
    <row r="24" spans="1:2" x14ac:dyDescent="0.25">
      <c r="A24" t="s">
        <v>92</v>
      </c>
      <c r="B24" s="1">
        <v>4</v>
      </c>
    </row>
    <row r="25" spans="1:2" x14ac:dyDescent="0.25">
      <c r="A25" t="s">
        <v>49</v>
      </c>
      <c r="B25" s="1">
        <v>1</v>
      </c>
    </row>
    <row r="26" spans="1:2" x14ac:dyDescent="0.25">
      <c r="A26" t="s">
        <v>102</v>
      </c>
      <c r="B26" s="1">
        <v>8</v>
      </c>
    </row>
    <row r="27" spans="1:2" x14ac:dyDescent="0.25">
      <c r="A27" t="s">
        <v>53</v>
      </c>
      <c r="B27" s="1">
        <v>5</v>
      </c>
    </row>
    <row r="28" spans="1:2" x14ac:dyDescent="0.25">
      <c r="A28" t="s">
        <v>55</v>
      </c>
      <c r="B28" s="1">
        <v>5</v>
      </c>
    </row>
    <row r="29" spans="1:2" x14ac:dyDescent="0.25">
      <c r="A29" t="s">
        <v>57</v>
      </c>
      <c r="B29" s="1">
        <v>7</v>
      </c>
    </row>
    <row r="30" spans="1:2" x14ac:dyDescent="0.25">
      <c r="A30" t="s">
        <v>59</v>
      </c>
      <c r="B30" s="1">
        <v>5</v>
      </c>
    </row>
    <row r="31" spans="1:2" x14ac:dyDescent="0.25">
      <c r="A31" t="s">
        <v>93</v>
      </c>
      <c r="B31" s="1">
        <v>4</v>
      </c>
    </row>
    <row r="32" spans="1:2" x14ac:dyDescent="0.25">
      <c r="A32" t="s">
        <v>103</v>
      </c>
      <c r="B32" s="1">
        <v>8</v>
      </c>
    </row>
    <row r="33" spans="1:2" x14ac:dyDescent="0.25">
      <c r="A33" t="s">
        <v>98</v>
      </c>
      <c r="B33" s="1">
        <v>10</v>
      </c>
    </row>
    <row r="34" spans="1:2" x14ac:dyDescent="0.25">
      <c r="A34" t="s">
        <v>89</v>
      </c>
      <c r="B34" s="1">
        <v>3</v>
      </c>
    </row>
    <row r="35" spans="1:2" x14ac:dyDescent="0.25">
      <c r="A35" t="s">
        <v>69</v>
      </c>
      <c r="B35" s="1">
        <v>3</v>
      </c>
    </row>
    <row r="36" spans="1:2" x14ac:dyDescent="0.25">
      <c r="A36" t="s">
        <v>104</v>
      </c>
      <c r="B36" s="1">
        <v>8</v>
      </c>
    </row>
    <row r="37" spans="1:2" x14ac:dyDescent="0.25">
      <c r="A37" t="s">
        <v>86</v>
      </c>
      <c r="B37" s="1">
        <v>2</v>
      </c>
    </row>
    <row r="38" spans="1:2" x14ac:dyDescent="0.25">
      <c r="A38" t="s">
        <v>87</v>
      </c>
      <c r="B38" s="1">
        <v>2</v>
      </c>
    </row>
    <row r="39" spans="1:2" x14ac:dyDescent="0.25">
      <c r="A39" t="s">
        <v>94</v>
      </c>
      <c r="B39" s="1">
        <v>5</v>
      </c>
    </row>
    <row r="40" spans="1:2" x14ac:dyDescent="0.25">
      <c r="A40" t="s">
        <v>90</v>
      </c>
      <c r="B40" s="1">
        <v>3</v>
      </c>
    </row>
  </sheetData>
  <autoFilter ref="A1:B40" xr:uid="{A7EBECC1-A250-494D-9BC3-454467328A5A}">
    <sortState xmlns:xlrd2="http://schemas.microsoft.com/office/spreadsheetml/2017/richdata2" ref="A2:B40">
      <sortCondition ref="A1:A40"/>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8B14A-B0C1-4DDC-8D1A-06D3BCD5EECB}">
  <dimension ref="A1:C40"/>
  <sheetViews>
    <sheetView workbookViewId="0">
      <selection sqref="A1:C1048576"/>
    </sheetView>
  </sheetViews>
  <sheetFormatPr defaultRowHeight="15" x14ac:dyDescent="0.25"/>
  <cols>
    <col min="1" max="1" width="11.42578125" bestFit="1" customWidth="1"/>
    <col min="2" max="2" width="9.140625" style="52"/>
  </cols>
  <sheetData>
    <row r="1" spans="1:3" x14ac:dyDescent="0.25">
      <c r="A1" t="s">
        <v>410</v>
      </c>
      <c r="B1" s="52" t="s">
        <v>413</v>
      </c>
      <c r="C1" t="s">
        <v>105</v>
      </c>
    </row>
    <row r="2" spans="1:3" ht="15.75" x14ac:dyDescent="0.25">
      <c r="A2" s="53" t="s">
        <v>40</v>
      </c>
      <c r="B2" s="52">
        <v>1</v>
      </c>
      <c r="C2" t="s">
        <v>389</v>
      </c>
    </row>
    <row r="3" spans="1:3" ht="15.75" x14ac:dyDescent="0.25">
      <c r="A3" s="53" t="s">
        <v>54</v>
      </c>
      <c r="B3" s="52">
        <v>2</v>
      </c>
      <c r="C3" t="s">
        <v>390</v>
      </c>
    </row>
    <row r="4" spans="1:3" ht="15.75" x14ac:dyDescent="0.25">
      <c r="A4" s="53" t="s">
        <v>52</v>
      </c>
      <c r="B4" s="52">
        <v>3</v>
      </c>
      <c r="C4" t="s">
        <v>53</v>
      </c>
    </row>
    <row r="5" spans="1:3" ht="15.75" x14ac:dyDescent="0.25">
      <c r="A5" s="53" t="s">
        <v>8</v>
      </c>
      <c r="B5" s="52">
        <v>4</v>
      </c>
      <c r="C5" t="s">
        <v>9</v>
      </c>
    </row>
    <row r="6" spans="1:3" ht="15.75" x14ac:dyDescent="0.25">
      <c r="A6" s="53" t="s">
        <v>76</v>
      </c>
      <c r="B6" s="52">
        <v>5</v>
      </c>
      <c r="C6" t="s">
        <v>94</v>
      </c>
    </row>
    <row r="7" spans="1:3" ht="15.75" x14ac:dyDescent="0.25">
      <c r="A7" s="53" t="s">
        <v>32</v>
      </c>
      <c r="B7" s="52">
        <v>6</v>
      </c>
      <c r="C7" t="s">
        <v>33</v>
      </c>
    </row>
    <row r="8" spans="1:3" ht="15.75" x14ac:dyDescent="0.25">
      <c r="A8" s="53" t="s">
        <v>12</v>
      </c>
      <c r="B8" s="52">
        <v>7</v>
      </c>
      <c r="C8" t="s">
        <v>391</v>
      </c>
    </row>
    <row r="9" spans="1:3" ht="15.75" x14ac:dyDescent="0.25">
      <c r="A9" s="53" t="s">
        <v>58</v>
      </c>
      <c r="B9" s="52">
        <v>8</v>
      </c>
      <c r="C9" t="s">
        <v>59</v>
      </c>
    </row>
    <row r="10" spans="1:3" ht="15.75" x14ac:dyDescent="0.25">
      <c r="A10" s="53" t="s">
        <v>18</v>
      </c>
      <c r="B10" s="52">
        <v>9</v>
      </c>
      <c r="C10" t="s">
        <v>19</v>
      </c>
    </row>
    <row r="11" spans="1:3" ht="15.75" x14ac:dyDescent="0.25">
      <c r="A11" s="53" t="s">
        <v>50</v>
      </c>
      <c r="B11" s="52">
        <v>10</v>
      </c>
      <c r="C11" t="s">
        <v>51</v>
      </c>
    </row>
    <row r="12" spans="1:3" ht="15.75" x14ac:dyDescent="0.25">
      <c r="A12" s="53" t="s">
        <v>6</v>
      </c>
      <c r="B12" s="52">
        <v>11</v>
      </c>
      <c r="C12" t="s">
        <v>7</v>
      </c>
    </row>
    <row r="13" spans="1:3" ht="15.75" x14ac:dyDescent="0.25">
      <c r="A13" s="53" t="s">
        <v>28</v>
      </c>
      <c r="B13" s="52">
        <v>12</v>
      </c>
      <c r="C13" t="s">
        <v>392</v>
      </c>
    </row>
    <row r="14" spans="1:3" ht="15.75" x14ac:dyDescent="0.25">
      <c r="A14" s="53" t="s">
        <v>24</v>
      </c>
      <c r="B14" s="52">
        <v>13</v>
      </c>
      <c r="C14" t="s">
        <v>393</v>
      </c>
    </row>
    <row r="15" spans="1:3" ht="15.75" x14ac:dyDescent="0.25">
      <c r="A15" s="53" t="s">
        <v>56</v>
      </c>
      <c r="B15" s="52">
        <v>14</v>
      </c>
      <c r="C15" t="s">
        <v>57</v>
      </c>
    </row>
    <row r="16" spans="1:3" ht="15.75" x14ac:dyDescent="0.25">
      <c r="A16" s="53" t="s">
        <v>70</v>
      </c>
      <c r="B16" s="52">
        <v>15</v>
      </c>
      <c r="C16" t="s">
        <v>71</v>
      </c>
    </row>
    <row r="17" spans="1:3" ht="15.75" x14ac:dyDescent="0.25">
      <c r="A17" s="53" t="s">
        <v>62</v>
      </c>
      <c r="B17" s="52">
        <v>16</v>
      </c>
      <c r="C17" t="s">
        <v>63</v>
      </c>
    </row>
    <row r="18" spans="1:3" ht="15.75" x14ac:dyDescent="0.25">
      <c r="A18" s="53" t="s">
        <v>44</v>
      </c>
      <c r="B18" s="52">
        <v>17</v>
      </c>
      <c r="C18" t="s">
        <v>394</v>
      </c>
    </row>
    <row r="19" spans="1:3" ht="15.75" x14ac:dyDescent="0.25">
      <c r="A19" s="53" t="s">
        <v>68</v>
      </c>
      <c r="B19" s="52">
        <v>18</v>
      </c>
      <c r="C19" t="s">
        <v>395</v>
      </c>
    </row>
    <row r="20" spans="1:3" ht="15.75" x14ac:dyDescent="0.25">
      <c r="A20" s="53" t="s">
        <v>16</v>
      </c>
      <c r="B20" s="52">
        <v>19</v>
      </c>
      <c r="C20" t="s">
        <v>17</v>
      </c>
    </row>
    <row r="21" spans="1:3" ht="15.75" x14ac:dyDescent="0.25">
      <c r="A21" s="53" t="s">
        <v>4</v>
      </c>
      <c r="B21" s="52">
        <v>20</v>
      </c>
      <c r="C21" t="s">
        <v>5</v>
      </c>
    </row>
    <row r="22" spans="1:3" ht="15.75" x14ac:dyDescent="0.25">
      <c r="A22" s="53" t="s">
        <v>26</v>
      </c>
      <c r="B22" s="52">
        <v>21</v>
      </c>
      <c r="C22" t="s">
        <v>27</v>
      </c>
    </row>
    <row r="23" spans="1:3" ht="15.75" x14ac:dyDescent="0.25">
      <c r="A23" s="53" t="s">
        <v>72</v>
      </c>
      <c r="B23" s="52">
        <v>22</v>
      </c>
      <c r="C23" t="s">
        <v>73</v>
      </c>
    </row>
    <row r="24" spans="1:3" ht="15.75" x14ac:dyDescent="0.25">
      <c r="A24" s="53" t="s">
        <v>14</v>
      </c>
      <c r="B24" s="52">
        <v>23</v>
      </c>
      <c r="C24" t="s">
        <v>396</v>
      </c>
    </row>
    <row r="25" spans="1:3" ht="15.75" x14ac:dyDescent="0.25">
      <c r="A25" s="53" t="s">
        <v>64</v>
      </c>
      <c r="B25" s="52">
        <v>24</v>
      </c>
      <c r="C25" t="s">
        <v>397</v>
      </c>
    </row>
    <row r="26" spans="1:3" ht="15.75" x14ac:dyDescent="0.25">
      <c r="A26" s="53" t="s">
        <v>38</v>
      </c>
      <c r="B26" s="52">
        <v>25</v>
      </c>
      <c r="C26" t="s">
        <v>398</v>
      </c>
    </row>
    <row r="27" spans="1:3" ht="15.75" x14ac:dyDescent="0.25">
      <c r="A27" s="53" t="s">
        <v>10</v>
      </c>
      <c r="B27" s="52">
        <v>26</v>
      </c>
      <c r="C27" t="s">
        <v>11</v>
      </c>
    </row>
    <row r="28" spans="1:3" ht="15.75" x14ac:dyDescent="0.25">
      <c r="A28" s="53" t="s">
        <v>46</v>
      </c>
      <c r="B28" s="52">
        <v>27</v>
      </c>
      <c r="C28" t="s">
        <v>399</v>
      </c>
    </row>
    <row r="29" spans="1:3" ht="15.75" x14ac:dyDescent="0.25">
      <c r="A29" s="53" t="s">
        <v>30</v>
      </c>
      <c r="B29" s="52">
        <v>28</v>
      </c>
      <c r="C29" t="s">
        <v>31</v>
      </c>
    </row>
    <row r="30" spans="1:3" ht="15.75" x14ac:dyDescent="0.25">
      <c r="A30" s="53" t="s">
        <v>60</v>
      </c>
      <c r="B30" s="52">
        <v>29</v>
      </c>
      <c r="C30" t="s">
        <v>93</v>
      </c>
    </row>
    <row r="31" spans="1:3" ht="15.75" x14ac:dyDescent="0.25">
      <c r="A31" s="53" t="s">
        <v>74</v>
      </c>
      <c r="B31" s="52">
        <v>30</v>
      </c>
      <c r="C31" t="s">
        <v>400</v>
      </c>
    </row>
    <row r="32" spans="1:3" ht="15.75" x14ac:dyDescent="0.25">
      <c r="A32" s="53" t="s">
        <v>34</v>
      </c>
      <c r="B32" s="52">
        <v>31</v>
      </c>
      <c r="C32" t="s">
        <v>35</v>
      </c>
    </row>
    <row r="33" spans="1:3" ht="15.75" x14ac:dyDescent="0.25">
      <c r="A33" s="53" t="s">
        <v>36</v>
      </c>
      <c r="B33" s="52">
        <v>32</v>
      </c>
      <c r="C33" t="s">
        <v>37</v>
      </c>
    </row>
    <row r="34" spans="1:3" ht="15.75" x14ac:dyDescent="0.25">
      <c r="A34" s="53" t="s">
        <v>78</v>
      </c>
      <c r="B34" s="52">
        <v>33</v>
      </c>
      <c r="C34" t="s">
        <v>401</v>
      </c>
    </row>
    <row r="35" spans="1:3" ht="15.75" x14ac:dyDescent="0.25">
      <c r="A35" s="53" t="s">
        <v>20</v>
      </c>
      <c r="B35" s="52">
        <v>34</v>
      </c>
      <c r="C35" t="s">
        <v>402</v>
      </c>
    </row>
    <row r="36" spans="1:3" ht="15.75" x14ac:dyDescent="0.25">
      <c r="A36" s="53" t="s">
        <v>42</v>
      </c>
      <c r="B36" s="52">
        <v>35</v>
      </c>
      <c r="C36" t="s">
        <v>403</v>
      </c>
    </row>
    <row r="37" spans="1:3" ht="15.75" x14ac:dyDescent="0.25">
      <c r="A37" s="53" t="s">
        <v>2</v>
      </c>
      <c r="B37" s="52">
        <v>36</v>
      </c>
      <c r="C37" t="s">
        <v>96</v>
      </c>
    </row>
    <row r="38" spans="1:3" ht="15.75" x14ac:dyDescent="0.25">
      <c r="A38" s="53" t="s">
        <v>48</v>
      </c>
      <c r="B38" s="52">
        <v>37</v>
      </c>
      <c r="C38" t="s">
        <v>404</v>
      </c>
    </row>
    <row r="39" spans="1:3" ht="15.75" x14ac:dyDescent="0.25">
      <c r="A39" s="53" t="s">
        <v>66</v>
      </c>
      <c r="B39" s="52">
        <v>38</v>
      </c>
      <c r="C39" t="s">
        <v>405</v>
      </c>
    </row>
    <row r="40" spans="1:3" ht="15.75" x14ac:dyDescent="0.25">
      <c r="A40" s="53" t="s">
        <v>22</v>
      </c>
      <c r="B40" s="52">
        <v>39</v>
      </c>
      <c r="C40" t="s">
        <v>406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4617C-8711-4ACF-87BC-4A0E18B1B91F}">
  <dimension ref="A1:AC41"/>
  <sheetViews>
    <sheetView tabSelected="1" workbookViewId="0">
      <selection activeCell="X7" sqref="X7"/>
    </sheetView>
  </sheetViews>
  <sheetFormatPr defaultRowHeight="15" x14ac:dyDescent="0.25"/>
  <cols>
    <col min="1" max="1" width="11.42578125" bestFit="1" customWidth="1"/>
    <col min="2" max="2" width="9.140625" style="52"/>
    <col min="3" max="3" width="35.42578125" bestFit="1" customWidth="1"/>
    <col min="4" max="7" width="9.140625" style="5" hidden="1" customWidth="1"/>
    <col min="8" max="8" width="9.140625" hidden="1" customWidth="1"/>
    <col min="9" max="12" width="9.140625" style="5"/>
    <col min="17" max="18" width="9.140625" style="5"/>
    <col min="21" max="21" width="9.140625" style="1"/>
  </cols>
  <sheetData>
    <row r="1" spans="1:29" x14ac:dyDescent="0.25">
      <c r="A1" s="15" t="s">
        <v>410</v>
      </c>
      <c r="B1" s="50" t="s">
        <v>413</v>
      </c>
      <c r="C1" s="15" t="s">
        <v>105</v>
      </c>
      <c r="D1" s="17" t="s">
        <v>419</v>
      </c>
      <c r="E1" s="17" t="s">
        <v>420</v>
      </c>
      <c r="F1" s="17" t="s">
        <v>421</v>
      </c>
      <c r="G1" s="17" t="s">
        <v>422</v>
      </c>
      <c r="H1" s="17" t="s">
        <v>423</v>
      </c>
      <c r="I1" s="17" t="s">
        <v>416</v>
      </c>
      <c r="J1" s="17" t="s">
        <v>417</v>
      </c>
      <c r="K1" s="17" t="s">
        <v>418</v>
      </c>
      <c r="L1" s="17" t="s">
        <v>414</v>
      </c>
      <c r="M1" s="17" t="s">
        <v>424</v>
      </c>
      <c r="N1" s="17" t="s">
        <v>425</v>
      </c>
      <c r="O1" s="17" t="s">
        <v>425</v>
      </c>
      <c r="P1" s="17" t="s">
        <v>426</v>
      </c>
      <c r="Q1" s="17" t="s">
        <v>427</v>
      </c>
      <c r="R1" s="17" t="s">
        <v>428</v>
      </c>
      <c r="S1" s="17" t="s">
        <v>429</v>
      </c>
      <c r="T1" s="17" t="s">
        <v>430</v>
      </c>
      <c r="U1" s="17" t="s">
        <v>431</v>
      </c>
      <c r="V1" s="17" t="s">
        <v>432</v>
      </c>
    </row>
    <row r="2" spans="1:29" ht="15.75" x14ac:dyDescent="0.25">
      <c r="A2" s="53" t="s">
        <v>40</v>
      </c>
      <c r="B2" s="52">
        <v>1</v>
      </c>
      <c r="C2" t="s">
        <v>389</v>
      </c>
      <c r="D2" s="5">
        <v>5.5</v>
      </c>
      <c r="E2" s="5">
        <v>5.5</v>
      </c>
      <c r="F2" s="5">
        <v>4.5</v>
      </c>
      <c r="G2" s="5">
        <v>8</v>
      </c>
      <c r="I2" s="5">
        <v>5.5</v>
      </c>
      <c r="J2" s="5">
        <v>5.5</v>
      </c>
      <c r="K2" s="5">
        <v>4.5</v>
      </c>
      <c r="L2" s="5">
        <v>8</v>
      </c>
      <c r="M2" s="5">
        <v>7</v>
      </c>
      <c r="N2" s="5">
        <v>7</v>
      </c>
      <c r="O2" s="5">
        <v>6.5</v>
      </c>
      <c r="P2" s="5">
        <v>8.5</v>
      </c>
      <c r="Q2" s="5">
        <v>10</v>
      </c>
      <c r="R2" s="5">
        <v>10</v>
      </c>
      <c r="S2" s="5">
        <f>AVERAGE(I2:L2)</f>
        <v>5.875</v>
      </c>
      <c r="T2" s="5">
        <f>(3*SUM(M2,N2,P2,Q2)+4*SUM(O2,R2))/20</f>
        <v>8.1750000000000007</v>
      </c>
      <c r="U2" s="5">
        <f>MROUND(AVERAGE(S2:T2),0.5)</f>
        <v>7</v>
      </c>
      <c r="V2" t="str">
        <f>IF(U2&gt;=6,"Aprovado","")</f>
        <v>Aprovado</v>
      </c>
      <c r="X2" s="70" t="s">
        <v>433</v>
      </c>
      <c r="Y2" s="70"/>
      <c r="Z2" s="70"/>
      <c r="AA2" s="70"/>
      <c r="AB2" s="70"/>
      <c r="AC2" s="70"/>
    </row>
    <row r="3" spans="1:29" ht="15.75" x14ac:dyDescent="0.25">
      <c r="A3" s="53" t="s">
        <v>54</v>
      </c>
      <c r="B3" s="52">
        <v>2</v>
      </c>
      <c r="C3" t="s">
        <v>390</v>
      </c>
      <c r="D3" s="5">
        <v>4</v>
      </c>
      <c r="E3" s="5">
        <v>5</v>
      </c>
      <c r="F3" s="5">
        <v>5</v>
      </c>
      <c r="G3" s="5">
        <v>7</v>
      </c>
      <c r="H3" s="5">
        <v>3</v>
      </c>
      <c r="I3" s="5">
        <v>4</v>
      </c>
      <c r="J3" s="5">
        <v>5</v>
      </c>
      <c r="K3" s="5">
        <v>5</v>
      </c>
      <c r="L3" s="5">
        <v>7</v>
      </c>
      <c r="M3" s="5">
        <v>4.5</v>
      </c>
      <c r="N3" s="5">
        <v>6</v>
      </c>
      <c r="O3" s="5">
        <v>8</v>
      </c>
      <c r="P3" s="5">
        <v>6.5</v>
      </c>
      <c r="Q3" s="5">
        <v>10</v>
      </c>
      <c r="R3" s="5">
        <v>5</v>
      </c>
      <c r="S3" s="5">
        <f t="shared" ref="S3:S40" si="0">AVERAGE(I3:L3)</f>
        <v>5.25</v>
      </c>
      <c r="T3" s="5">
        <f t="shared" ref="T3:T41" si="1">(3*SUM(M3,N3,P3,Q3)+4*SUM(O3,R3))/20</f>
        <v>6.65</v>
      </c>
      <c r="U3" s="5">
        <f t="shared" ref="U3:U40" si="2">MROUND(AVERAGE(S3:T3),0.5)</f>
        <v>6</v>
      </c>
      <c r="V3" t="str">
        <f t="shared" ref="V3:V40" si="3">IF(U3&gt;=6,"Aprovado","")</f>
        <v>Aprovado</v>
      </c>
      <c r="X3" s="70" t="s">
        <v>434</v>
      </c>
      <c r="Y3" s="70"/>
      <c r="Z3" s="70"/>
      <c r="AA3" s="70"/>
      <c r="AB3" s="70"/>
      <c r="AC3" s="70"/>
    </row>
    <row r="4" spans="1:29" ht="15.75" x14ac:dyDescent="0.25">
      <c r="A4" s="53" t="s">
        <v>52</v>
      </c>
      <c r="B4" s="52">
        <v>3</v>
      </c>
      <c r="C4" t="s">
        <v>53</v>
      </c>
      <c r="D4" s="5">
        <v>9</v>
      </c>
      <c r="E4" s="5">
        <v>4</v>
      </c>
      <c r="F4" s="5">
        <v>3.5</v>
      </c>
      <c r="G4" s="5">
        <v>3</v>
      </c>
      <c r="H4" s="5">
        <v>4.5</v>
      </c>
      <c r="I4" s="5">
        <v>9</v>
      </c>
      <c r="J4" s="44">
        <v>4.5</v>
      </c>
      <c r="K4" s="5">
        <v>3.5</v>
      </c>
      <c r="L4" s="5">
        <v>3</v>
      </c>
      <c r="M4" s="5">
        <v>7</v>
      </c>
      <c r="N4" s="5">
        <v>5</v>
      </c>
      <c r="O4" s="5">
        <v>8</v>
      </c>
      <c r="P4" s="5">
        <v>6.5</v>
      </c>
      <c r="Q4" s="5">
        <v>10</v>
      </c>
      <c r="R4" s="5">
        <v>5</v>
      </c>
      <c r="S4" s="5">
        <f t="shared" si="0"/>
        <v>5</v>
      </c>
      <c r="T4" s="5">
        <f t="shared" si="1"/>
        <v>6.875</v>
      </c>
      <c r="U4" s="5">
        <f t="shared" si="2"/>
        <v>6</v>
      </c>
      <c r="V4" t="str">
        <f t="shared" si="3"/>
        <v>Aprovado</v>
      </c>
    </row>
    <row r="5" spans="1:29" ht="15.75" x14ac:dyDescent="0.25">
      <c r="A5" s="53" t="s">
        <v>8</v>
      </c>
      <c r="B5" s="52">
        <v>4</v>
      </c>
      <c r="C5" t="s">
        <v>9</v>
      </c>
      <c r="D5" s="5">
        <v>6</v>
      </c>
      <c r="E5" s="5">
        <v>9</v>
      </c>
      <c r="F5" s="5">
        <v>6.5</v>
      </c>
      <c r="G5" s="5">
        <v>8</v>
      </c>
      <c r="I5" s="5">
        <v>6</v>
      </c>
      <c r="J5" s="5">
        <v>9</v>
      </c>
      <c r="K5" s="5">
        <v>6.5</v>
      </c>
      <c r="L5" s="5">
        <v>8</v>
      </c>
      <c r="M5" s="5">
        <v>4</v>
      </c>
      <c r="N5" s="5">
        <v>7</v>
      </c>
      <c r="O5" s="5">
        <v>7.5</v>
      </c>
      <c r="P5" s="5">
        <v>6.5</v>
      </c>
      <c r="Q5" s="5">
        <v>9</v>
      </c>
      <c r="R5" s="5">
        <v>10</v>
      </c>
      <c r="S5" s="5">
        <f t="shared" si="0"/>
        <v>7.375</v>
      </c>
      <c r="T5" s="5">
        <f t="shared" si="1"/>
        <v>7.4749999999999996</v>
      </c>
      <c r="U5" s="5">
        <f t="shared" si="2"/>
        <v>7.5</v>
      </c>
      <c r="V5" t="str">
        <f t="shared" si="3"/>
        <v>Aprovado</v>
      </c>
    </row>
    <row r="6" spans="1:29" ht="15.75" x14ac:dyDescent="0.25">
      <c r="A6" s="53" t="s">
        <v>76</v>
      </c>
      <c r="B6" s="52">
        <v>5</v>
      </c>
      <c r="C6" t="s">
        <v>94</v>
      </c>
      <c r="D6" s="5">
        <v>2</v>
      </c>
      <c r="E6" s="5">
        <v>5</v>
      </c>
      <c r="F6" s="5">
        <v>3</v>
      </c>
      <c r="G6" s="5">
        <v>5</v>
      </c>
      <c r="H6" s="5">
        <v>2.5</v>
      </c>
      <c r="I6" s="44">
        <v>2.5</v>
      </c>
      <c r="J6" s="5">
        <v>5</v>
      </c>
      <c r="K6" s="5">
        <v>3</v>
      </c>
      <c r="L6" s="5">
        <v>5</v>
      </c>
      <c r="M6" s="5">
        <v>5</v>
      </c>
      <c r="N6" s="5">
        <v>5.5</v>
      </c>
      <c r="O6" s="5">
        <v>8</v>
      </c>
      <c r="P6" s="5">
        <v>7</v>
      </c>
      <c r="Q6" s="5">
        <v>10</v>
      </c>
      <c r="R6" s="5">
        <v>5</v>
      </c>
      <c r="S6" s="5">
        <f t="shared" si="0"/>
        <v>3.875</v>
      </c>
      <c r="T6" s="5">
        <f t="shared" si="1"/>
        <v>6.7249999999999996</v>
      </c>
      <c r="U6" s="5">
        <f t="shared" si="2"/>
        <v>5.5</v>
      </c>
      <c r="V6" t="str">
        <f t="shared" si="3"/>
        <v/>
      </c>
    </row>
    <row r="7" spans="1:29" ht="15.75" x14ac:dyDescent="0.25">
      <c r="A7" s="53" t="s">
        <v>32</v>
      </c>
      <c r="B7" s="52">
        <v>6</v>
      </c>
      <c r="C7" t="s">
        <v>33</v>
      </c>
      <c r="D7" s="5">
        <v>1</v>
      </c>
      <c r="E7" s="5">
        <v>7</v>
      </c>
      <c r="F7" s="5">
        <v>6</v>
      </c>
      <c r="G7" s="5">
        <v>7.5</v>
      </c>
      <c r="H7" s="5">
        <v>2.5</v>
      </c>
      <c r="I7" s="44">
        <v>2.5</v>
      </c>
      <c r="J7" s="5">
        <v>7</v>
      </c>
      <c r="K7" s="5">
        <v>6</v>
      </c>
      <c r="L7" s="5">
        <v>7.5</v>
      </c>
      <c r="M7" s="5">
        <v>5</v>
      </c>
      <c r="N7" s="5">
        <v>6.5</v>
      </c>
      <c r="O7" s="5">
        <v>7.5</v>
      </c>
      <c r="P7" s="5">
        <v>8</v>
      </c>
      <c r="Q7" s="5">
        <v>9.5</v>
      </c>
      <c r="R7" s="5">
        <v>6</v>
      </c>
      <c r="S7" s="5">
        <f t="shared" si="0"/>
        <v>5.75</v>
      </c>
      <c r="T7" s="5">
        <f t="shared" si="1"/>
        <v>7.05</v>
      </c>
      <c r="U7" s="5">
        <f t="shared" si="2"/>
        <v>6.5</v>
      </c>
      <c r="V7" t="str">
        <f t="shared" si="3"/>
        <v>Aprovado</v>
      </c>
    </row>
    <row r="8" spans="1:29" ht="15.75" x14ac:dyDescent="0.25">
      <c r="A8" s="53" t="s">
        <v>12</v>
      </c>
      <c r="B8" s="52">
        <v>7</v>
      </c>
      <c r="C8" t="s">
        <v>391</v>
      </c>
      <c r="D8" s="5">
        <v>4</v>
      </c>
      <c r="E8" s="5">
        <v>1</v>
      </c>
      <c r="F8" s="5">
        <v>4.5</v>
      </c>
      <c r="G8" s="5">
        <v>7</v>
      </c>
      <c r="H8" s="5">
        <v>2</v>
      </c>
      <c r="I8" s="5">
        <v>4</v>
      </c>
      <c r="J8" s="5">
        <v>1</v>
      </c>
      <c r="K8" s="5">
        <v>4.5</v>
      </c>
      <c r="L8" s="5">
        <v>7</v>
      </c>
      <c r="M8" s="5">
        <v>5</v>
      </c>
      <c r="N8" s="5">
        <v>6.5</v>
      </c>
      <c r="O8" s="5">
        <v>7.5</v>
      </c>
      <c r="P8" s="5">
        <v>8</v>
      </c>
      <c r="Q8" s="5">
        <v>9.5</v>
      </c>
      <c r="R8" s="5">
        <v>6</v>
      </c>
      <c r="S8" s="5">
        <f t="shared" si="0"/>
        <v>4.125</v>
      </c>
      <c r="T8" s="5">
        <f t="shared" si="1"/>
        <v>7.05</v>
      </c>
      <c r="U8" s="5">
        <f t="shared" si="2"/>
        <v>5.5</v>
      </c>
      <c r="V8" t="str">
        <f t="shared" si="3"/>
        <v/>
      </c>
    </row>
    <row r="9" spans="1:29" ht="15.75" x14ac:dyDescent="0.25">
      <c r="A9" s="53" t="s">
        <v>58</v>
      </c>
      <c r="B9" s="52">
        <v>8</v>
      </c>
      <c r="C9" t="s">
        <v>59</v>
      </c>
      <c r="D9" s="5">
        <v>6</v>
      </c>
      <c r="E9" s="5">
        <v>5</v>
      </c>
      <c r="F9" s="5">
        <v>6.5</v>
      </c>
      <c r="G9" s="5">
        <v>7</v>
      </c>
      <c r="H9" s="5">
        <v>2</v>
      </c>
      <c r="I9" s="5">
        <v>6</v>
      </c>
      <c r="J9" s="5">
        <v>5</v>
      </c>
      <c r="K9" s="5">
        <v>6.5</v>
      </c>
      <c r="L9" s="5">
        <v>7</v>
      </c>
      <c r="M9" s="5">
        <v>6</v>
      </c>
      <c r="N9" s="5">
        <v>7.5</v>
      </c>
      <c r="O9" s="5">
        <v>8</v>
      </c>
      <c r="P9" s="5">
        <v>7</v>
      </c>
      <c r="Q9" s="5">
        <v>10</v>
      </c>
      <c r="R9" s="5">
        <v>5</v>
      </c>
      <c r="S9" s="5">
        <f t="shared" si="0"/>
        <v>6.125</v>
      </c>
      <c r="T9" s="5">
        <f t="shared" si="1"/>
        <v>7.1749999999999998</v>
      </c>
      <c r="U9" s="5">
        <f t="shared" si="2"/>
        <v>6.5</v>
      </c>
      <c r="V9" t="str">
        <f t="shared" si="3"/>
        <v>Aprovado</v>
      </c>
    </row>
    <row r="10" spans="1:29" ht="15.75" x14ac:dyDescent="0.25">
      <c r="A10" s="53" t="s">
        <v>18</v>
      </c>
      <c r="B10" s="52">
        <v>9</v>
      </c>
      <c r="C10" t="s">
        <v>19</v>
      </c>
      <c r="D10" s="5">
        <v>4</v>
      </c>
      <c r="E10" s="5">
        <v>5</v>
      </c>
      <c r="F10" s="5">
        <v>8</v>
      </c>
      <c r="G10" s="5">
        <v>8.5</v>
      </c>
      <c r="H10" s="5">
        <v>2</v>
      </c>
      <c r="I10" s="5">
        <v>4</v>
      </c>
      <c r="J10" s="5">
        <v>5</v>
      </c>
      <c r="K10" s="5">
        <v>8</v>
      </c>
      <c r="L10" s="5">
        <v>8.5</v>
      </c>
      <c r="M10" s="5">
        <v>5</v>
      </c>
      <c r="N10" s="5">
        <v>7</v>
      </c>
      <c r="O10" s="5">
        <v>7</v>
      </c>
      <c r="P10" s="5">
        <v>7.5</v>
      </c>
      <c r="Q10" s="5">
        <v>10</v>
      </c>
      <c r="R10" s="5">
        <v>9</v>
      </c>
      <c r="S10" s="5">
        <f t="shared" si="0"/>
        <v>6.375</v>
      </c>
      <c r="T10" s="5">
        <f t="shared" si="1"/>
        <v>7.625</v>
      </c>
      <c r="U10" s="5">
        <f t="shared" si="2"/>
        <v>7</v>
      </c>
      <c r="V10" t="str">
        <f t="shared" si="3"/>
        <v>Aprovado</v>
      </c>
    </row>
    <row r="11" spans="1:29" ht="15.75" x14ac:dyDescent="0.25">
      <c r="A11" s="53" t="s">
        <v>50</v>
      </c>
      <c r="B11" s="52">
        <v>10</v>
      </c>
      <c r="C11" t="s">
        <v>51</v>
      </c>
      <c r="D11" s="5">
        <v>2</v>
      </c>
      <c r="E11" s="5">
        <v>7</v>
      </c>
      <c r="F11" s="5">
        <v>8</v>
      </c>
      <c r="G11" s="5">
        <v>7</v>
      </c>
      <c r="H11" s="5">
        <v>6</v>
      </c>
      <c r="I11" s="44">
        <v>6</v>
      </c>
      <c r="J11" s="5">
        <v>7</v>
      </c>
      <c r="K11" s="5">
        <v>8</v>
      </c>
      <c r="L11" s="5">
        <v>7</v>
      </c>
      <c r="M11" s="5">
        <v>7.5</v>
      </c>
      <c r="N11" s="5">
        <v>7.5</v>
      </c>
      <c r="O11" s="5">
        <v>7</v>
      </c>
      <c r="P11" s="5">
        <v>8.5</v>
      </c>
      <c r="Q11" s="5">
        <v>10</v>
      </c>
      <c r="R11" s="5">
        <v>9</v>
      </c>
      <c r="S11" s="5">
        <f t="shared" si="0"/>
        <v>7</v>
      </c>
      <c r="T11" s="5">
        <f t="shared" si="1"/>
        <v>8.2249999999999996</v>
      </c>
      <c r="U11" s="5">
        <f t="shared" si="2"/>
        <v>7.5</v>
      </c>
      <c r="V11" t="str">
        <f t="shared" si="3"/>
        <v>Aprovado</v>
      </c>
    </row>
    <row r="12" spans="1:29" ht="15.75" x14ac:dyDescent="0.25">
      <c r="A12" s="53" t="s">
        <v>6</v>
      </c>
      <c r="B12" s="52">
        <v>11</v>
      </c>
      <c r="C12" t="s">
        <v>7</v>
      </c>
      <c r="D12" s="5">
        <v>5</v>
      </c>
      <c r="E12" s="5">
        <v>6.5</v>
      </c>
      <c r="F12" s="5">
        <v>6.5</v>
      </c>
      <c r="G12" s="5">
        <v>8.5</v>
      </c>
      <c r="H12" s="5">
        <v>0</v>
      </c>
      <c r="I12" s="5">
        <v>5</v>
      </c>
      <c r="J12" s="5">
        <v>6.5</v>
      </c>
      <c r="K12" s="5">
        <v>6.5</v>
      </c>
      <c r="L12" s="5">
        <v>8.5</v>
      </c>
      <c r="M12" s="5">
        <v>6</v>
      </c>
      <c r="N12" s="5">
        <v>4.5</v>
      </c>
      <c r="O12" s="5">
        <v>7</v>
      </c>
      <c r="P12" s="5">
        <v>7</v>
      </c>
      <c r="Q12" s="5">
        <v>9.5</v>
      </c>
      <c r="R12" s="5">
        <v>6</v>
      </c>
      <c r="S12" s="5">
        <f t="shared" si="0"/>
        <v>6.625</v>
      </c>
      <c r="T12" s="5">
        <f t="shared" si="1"/>
        <v>6.65</v>
      </c>
      <c r="U12" s="5">
        <f t="shared" si="2"/>
        <v>6.5</v>
      </c>
      <c r="V12" t="str">
        <f t="shared" si="3"/>
        <v>Aprovado</v>
      </c>
    </row>
    <row r="13" spans="1:29" ht="15.75" x14ac:dyDescent="0.25">
      <c r="A13" s="53" t="s">
        <v>28</v>
      </c>
      <c r="B13" s="52">
        <v>12</v>
      </c>
      <c r="C13" t="s">
        <v>392</v>
      </c>
      <c r="D13" s="5">
        <v>6</v>
      </c>
      <c r="E13" s="5">
        <v>6.5</v>
      </c>
      <c r="F13" s="5">
        <v>8.5</v>
      </c>
      <c r="G13" s="5">
        <v>8</v>
      </c>
      <c r="H13" s="5">
        <v>2.5</v>
      </c>
      <c r="I13" s="5">
        <v>6</v>
      </c>
      <c r="J13" s="5">
        <v>6.5</v>
      </c>
      <c r="K13" s="5">
        <v>8.5</v>
      </c>
      <c r="L13" s="5">
        <v>8</v>
      </c>
      <c r="M13" s="5">
        <v>5.5</v>
      </c>
      <c r="N13" s="5">
        <v>5.5</v>
      </c>
      <c r="O13" s="5">
        <v>7</v>
      </c>
      <c r="P13" s="5">
        <v>8.5</v>
      </c>
      <c r="Q13" s="5">
        <v>10</v>
      </c>
      <c r="R13" s="5">
        <v>9</v>
      </c>
      <c r="S13" s="5">
        <f t="shared" si="0"/>
        <v>7.25</v>
      </c>
      <c r="T13" s="5">
        <f t="shared" si="1"/>
        <v>7.625</v>
      </c>
      <c r="U13" s="5">
        <f t="shared" si="2"/>
        <v>7.5</v>
      </c>
      <c r="V13" t="str">
        <f t="shared" si="3"/>
        <v>Aprovado</v>
      </c>
    </row>
    <row r="14" spans="1:29" ht="15.75" x14ac:dyDescent="0.25">
      <c r="A14" s="53" t="s">
        <v>24</v>
      </c>
      <c r="B14" s="52">
        <v>13</v>
      </c>
      <c r="C14" t="s">
        <v>393</v>
      </c>
      <c r="D14" s="5">
        <v>6</v>
      </c>
      <c r="E14" s="5">
        <v>7</v>
      </c>
      <c r="F14" s="5">
        <v>8.5</v>
      </c>
      <c r="G14" s="5">
        <v>8</v>
      </c>
      <c r="I14" s="5">
        <v>6</v>
      </c>
      <c r="J14" s="5">
        <v>7</v>
      </c>
      <c r="K14" s="5">
        <v>8.5</v>
      </c>
      <c r="L14" s="5">
        <v>8</v>
      </c>
      <c r="M14" s="5">
        <v>7.5</v>
      </c>
      <c r="N14" s="5">
        <v>9.5</v>
      </c>
      <c r="O14" s="5">
        <v>8</v>
      </c>
      <c r="P14" s="5">
        <v>8.5</v>
      </c>
      <c r="Q14" s="5">
        <v>10</v>
      </c>
      <c r="R14" s="5">
        <v>10</v>
      </c>
      <c r="S14" s="5">
        <f t="shared" si="0"/>
        <v>7.375</v>
      </c>
      <c r="T14" s="5">
        <f t="shared" si="1"/>
        <v>8.9250000000000007</v>
      </c>
      <c r="U14" s="5">
        <f t="shared" si="2"/>
        <v>8</v>
      </c>
      <c r="V14" t="str">
        <f t="shared" si="3"/>
        <v>Aprovado</v>
      </c>
    </row>
    <row r="15" spans="1:29" ht="15.75" x14ac:dyDescent="0.25">
      <c r="A15" s="53" t="s">
        <v>56</v>
      </c>
      <c r="B15" s="52">
        <v>14</v>
      </c>
      <c r="C15" t="s">
        <v>57</v>
      </c>
      <c r="D15" s="5">
        <v>2</v>
      </c>
      <c r="E15" s="5">
        <v>3.5</v>
      </c>
      <c r="F15" s="5">
        <v>6</v>
      </c>
      <c r="G15" s="5">
        <v>9</v>
      </c>
      <c r="H15" s="5">
        <v>6.5</v>
      </c>
      <c r="I15" s="44">
        <v>6.5</v>
      </c>
      <c r="J15" s="5">
        <v>3.5</v>
      </c>
      <c r="K15" s="5">
        <v>6</v>
      </c>
      <c r="L15" s="5">
        <v>9</v>
      </c>
      <c r="M15" s="5">
        <v>7.5</v>
      </c>
      <c r="N15" s="5">
        <v>9.5</v>
      </c>
      <c r="O15" s="5">
        <v>8</v>
      </c>
      <c r="P15" s="5">
        <v>8.5</v>
      </c>
      <c r="Q15" s="5">
        <v>10</v>
      </c>
      <c r="R15" s="5">
        <v>9.5</v>
      </c>
      <c r="S15" s="5">
        <f t="shared" si="0"/>
        <v>6.25</v>
      </c>
      <c r="T15" s="5">
        <f t="shared" si="1"/>
        <v>8.8249999999999993</v>
      </c>
      <c r="U15" s="5">
        <f t="shared" si="2"/>
        <v>7.5</v>
      </c>
      <c r="V15" t="str">
        <f t="shared" si="3"/>
        <v>Aprovado</v>
      </c>
    </row>
    <row r="16" spans="1:29" ht="15.75" x14ac:dyDescent="0.25">
      <c r="A16" s="53" t="s">
        <v>70</v>
      </c>
      <c r="B16" s="52">
        <v>15</v>
      </c>
      <c r="C16" t="s">
        <v>71</v>
      </c>
      <c r="D16" s="5">
        <v>8</v>
      </c>
      <c r="E16" s="5">
        <v>6.5</v>
      </c>
      <c r="F16" s="5">
        <v>6</v>
      </c>
      <c r="G16" s="5">
        <v>7.5</v>
      </c>
      <c r="I16" s="5">
        <v>8</v>
      </c>
      <c r="J16" s="5">
        <v>6.5</v>
      </c>
      <c r="K16" s="5">
        <v>6</v>
      </c>
      <c r="L16" s="5">
        <v>7.5</v>
      </c>
      <c r="M16" s="5">
        <v>5.5</v>
      </c>
      <c r="N16" s="5">
        <v>7.5</v>
      </c>
      <c r="O16" s="5">
        <v>7</v>
      </c>
      <c r="P16" s="5">
        <v>8</v>
      </c>
      <c r="Q16" s="5">
        <v>10</v>
      </c>
      <c r="R16" s="5">
        <v>9</v>
      </c>
      <c r="S16" s="5">
        <f t="shared" si="0"/>
        <v>7</v>
      </c>
      <c r="T16" s="5">
        <f t="shared" si="1"/>
        <v>7.85</v>
      </c>
      <c r="U16" s="5">
        <f t="shared" si="2"/>
        <v>7.5</v>
      </c>
      <c r="V16" t="str">
        <f t="shared" si="3"/>
        <v>Aprovado</v>
      </c>
    </row>
    <row r="17" spans="1:22" ht="15.75" x14ac:dyDescent="0.25">
      <c r="A17" s="53" t="s">
        <v>62</v>
      </c>
      <c r="B17" s="52">
        <v>16</v>
      </c>
      <c r="C17" t="s">
        <v>63</v>
      </c>
      <c r="D17" s="5">
        <v>6.5</v>
      </c>
      <c r="E17" s="5">
        <v>8</v>
      </c>
      <c r="F17" s="5">
        <v>8</v>
      </c>
      <c r="G17" s="5">
        <v>7.5</v>
      </c>
      <c r="I17" s="5">
        <v>6.5</v>
      </c>
      <c r="J17" s="5">
        <v>8</v>
      </c>
      <c r="K17" s="5">
        <v>8</v>
      </c>
      <c r="L17" s="5">
        <v>7.5</v>
      </c>
      <c r="M17" s="5">
        <v>5</v>
      </c>
      <c r="N17" s="5">
        <v>7.5</v>
      </c>
      <c r="O17" s="5">
        <v>7</v>
      </c>
      <c r="P17" s="5">
        <v>8</v>
      </c>
      <c r="Q17" s="5">
        <v>10</v>
      </c>
      <c r="R17" s="5">
        <v>9</v>
      </c>
      <c r="S17" s="5">
        <f t="shared" si="0"/>
        <v>7.5</v>
      </c>
      <c r="T17" s="5">
        <f t="shared" si="1"/>
        <v>7.7750000000000004</v>
      </c>
      <c r="U17" s="5">
        <f t="shared" si="2"/>
        <v>7.5</v>
      </c>
      <c r="V17" t="str">
        <f t="shared" si="3"/>
        <v>Aprovado</v>
      </c>
    </row>
    <row r="18" spans="1:22" ht="15.75" x14ac:dyDescent="0.25">
      <c r="A18" s="53" t="s">
        <v>44</v>
      </c>
      <c r="B18" s="52">
        <v>17</v>
      </c>
      <c r="C18" t="s">
        <v>394</v>
      </c>
      <c r="D18" s="5">
        <v>6</v>
      </c>
      <c r="E18" s="5">
        <v>4.5</v>
      </c>
      <c r="F18" s="5">
        <v>8</v>
      </c>
      <c r="G18" s="5">
        <v>8</v>
      </c>
      <c r="H18" s="5">
        <v>5</v>
      </c>
      <c r="I18" s="5">
        <v>6</v>
      </c>
      <c r="J18" s="44">
        <v>5</v>
      </c>
      <c r="K18" s="5">
        <v>8</v>
      </c>
      <c r="L18" s="5">
        <v>8</v>
      </c>
      <c r="M18" s="5">
        <v>8</v>
      </c>
      <c r="N18" s="5">
        <v>9.5</v>
      </c>
      <c r="O18" s="5">
        <v>9</v>
      </c>
      <c r="P18" s="5">
        <v>9.5</v>
      </c>
      <c r="Q18" s="5">
        <v>10</v>
      </c>
      <c r="R18" s="5">
        <v>7</v>
      </c>
      <c r="S18" s="5">
        <f t="shared" si="0"/>
        <v>6.75</v>
      </c>
      <c r="T18" s="5">
        <f t="shared" si="1"/>
        <v>8.75</v>
      </c>
      <c r="U18" s="5">
        <f t="shared" si="2"/>
        <v>8</v>
      </c>
      <c r="V18" t="str">
        <f t="shared" si="3"/>
        <v>Aprovado</v>
      </c>
    </row>
    <row r="19" spans="1:22" ht="15.75" x14ac:dyDescent="0.25">
      <c r="A19" s="53" t="s">
        <v>68</v>
      </c>
      <c r="B19" s="52">
        <v>18</v>
      </c>
      <c r="C19" t="s">
        <v>395</v>
      </c>
      <c r="D19" s="5">
        <v>10</v>
      </c>
      <c r="E19" s="5">
        <v>5</v>
      </c>
      <c r="F19" s="5">
        <v>2</v>
      </c>
      <c r="G19" s="5">
        <v>7</v>
      </c>
      <c r="I19" s="5">
        <v>10</v>
      </c>
      <c r="J19" s="5">
        <v>5</v>
      </c>
      <c r="K19" s="5">
        <v>2</v>
      </c>
      <c r="L19" s="5">
        <v>7</v>
      </c>
      <c r="M19" s="5">
        <v>7</v>
      </c>
      <c r="N19" s="5">
        <v>4</v>
      </c>
      <c r="O19" s="5">
        <v>8</v>
      </c>
      <c r="P19" s="5">
        <v>8</v>
      </c>
      <c r="Q19" s="5">
        <v>10</v>
      </c>
      <c r="R19" s="5">
        <v>10</v>
      </c>
      <c r="S19" s="5">
        <f t="shared" si="0"/>
        <v>6</v>
      </c>
      <c r="T19" s="5">
        <f t="shared" si="1"/>
        <v>7.95</v>
      </c>
      <c r="U19" s="5">
        <f t="shared" si="2"/>
        <v>7</v>
      </c>
      <c r="V19" t="str">
        <f t="shared" si="3"/>
        <v>Aprovado</v>
      </c>
    </row>
    <row r="20" spans="1:22" ht="15.75" x14ac:dyDescent="0.25">
      <c r="A20" s="53" t="s">
        <v>16</v>
      </c>
      <c r="B20" s="52">
        <v>19</v>
      </c>
      <c r="C20" t="s">
        <v>17</v>
      </c>
      <c r="D20" s="5">
        <v>4.5</v>
      </c>
      <c r="E20" s="5">
        <v>5.5</v>
      </c>
      <c r="F20" s="5">
        <v>6</v>
      </c>
      <c r="G20" s="5">
        <v>8</v>
      </c>
      <c r="I20" s="5">
        <v>4.5</v>
      </c>
      <c r="J20" s="5">
        <v>5.5</v>
      </c>
      <c r="K20" s="5">
        <v>6</v>
      </c>
      <c r="L20" s="5">
        <v>8</v>
      </c>
      <c r="M20" s="5">
        <v>3.5</v>
      </c>
      <c r="N20" s="5">
        <v>9</v>
      </c>
      <c r="O20" s="5">
        <v>6.5</v>
      </c>
      <c r="P20" s="5">
        <v>7</v>
      </c>
      <c r="Q20" s="5">
        <v>10</v>
      </c>
      <c r="R20" s="5">
        <v>9.5</v>
      </c>
      <c r="S20" s="5">
        <f t="shared" si="0"/>
        <v>6</v>
      </c>
      <c r="T20" s="5">
        <f t="shared" si="1"/>
        <v>7.625</v>
      </c>
      <c r="U20" s="5">
        <f t="shared" si="2"/>
        <v>7</v>
      </c>
      <c r="V20" t="str">
        <f t="shared" si="3"/>
        <v>Aprovado</v>
      </c>
    </row>
    <row r="21" spans="1:22" ht="15.75" x14ac:dyDescent="0.25">
      <c r="A21" s="53" t="s">
        <v>4</v>
      </c>
      <c r="B21" s="52">
        <v>20</v>
      </c>
      <c r="C21" t="s">
        <v>5</v>
      </c>
      <c r="D21" s="5">
        <v>8.5</v>
      </c>
      <c r="E21" s="5">
        <v>2.5</v>
      </c>
      <c r="F21" s="5">
        <v>7.5</v>
      </c>
      <c r="G21" s="5">
        <v>7.5</v>
      </c>
      <c r="I21" s="5">
        <v>8.5</v>
      </c>
      <c r="J21" s="5">
        <v>2.5</v>
      </c>
      <c r="K21" s="5">
        <v>7.5</v>
      </c>
      <c r="L21" s="5">
        <v>7.5</v>
      </c>
      <c r="M21" s="5">
        <v>8.5</v>
      </c>
      <c r="N21" s="5">
        <v>9.5</v>
      </c>
      <c r="O21" s="5">
        <v>8</v>
      </c>
      <c r="P21" s="5">
        <v>8.5</v>
      </c>
      <c r="Q21" s="5">
        <v>10</v>
      </c>
      <c r="R21" s="5">
        <v>9.5</v>
      </c>
      <c r="S21" s="5">
        <f t="shared" si="0"/>
        <v>6.5</v>
      </c>
      <c r="T21" s="5">
        <f t="shared" si="1"/>
        <v>8.9749999999999996</v>
      </c>
      <c r="U21" s="5">
        <f t="shared" si="2"/>
        <v>7.5</v>
      </c>
      <c r="V21" t="str">
        <f t="shared" si="3"/>
        <v>Aprovado</v>
      </c>
    </row>
    <row r="22" spans="1:22" ht="15.75" x14ac:dyDescent="0.25">
      <c r="A22" s="53" t="s">
        <v>26</v>
      </c>
      <c r="B22" s="52">
        <v>21</v>
      </c>
      <c r="C22" t="s">
        <v>27</v>
      </c>
      <c r="D22" s="5">
        <v>8.5</v>
      </c>
      <c r="E22" s="5">
        <v>6.5</v>
      </c>
      <c r="F22" s="5">
        <v>3.5</v>
      </c>
      <c r="G22" s="5">
        <v>5.5</v>
      </c>
      <c r="I22" s="5">
        <v>8.5</v>
      </c>
      <c r="J22" s="5">
        <v>6.5</v>
      </c>
      <c r="K22" s="5">
        <v>3.5</v>
      </c>
      <c r="L22" s="5">
        <v>5.5</v>
      </c>
      <c r="M22" s="5">
        <v>6.5</v>
      </c>
      <c r="N22" s="5">
        <v>7.5</v>
      </c>
      <c r="O22" s="5">
        <v>8</v>
      </c>
      <c r="P22" s="5">
        <v>8</v>
      </c>
      <c r="Q22" s="5">
        <v>10</v>
      </c>
      <c r="R22" s="5">
        <v>9</v>
      </c>
      <c r="S22" s="5">
        <f t="shared" si="0"/>
        <v>6</v>
      </c>
      <c r="T22" s="5">
        <f t="shared" si="1"/>
        <v>8.1999999999999993</v>
      </c>
      <c r="U22" s="5">
        <f t="shared" si="2"/>
        <v>7</v>
      </c>
      <c r="V22" t="str">
        <f t="shared" si="3"/>
        <v>Aprovado</v>
      </c>
    </row>
    <row r="23" spans="1:22" ht="15.75" x14ac:dyDescent="0.25">
      <c r="A23" s="53" t="s">
        <v>72</v>
      </c>
      <c r="B23" s="52">
        <v>22</v>
      </c>
      <c r="C23" t="s">
        <v>73</v>
      </c>
      <c r="D23" s="5">
        <v>10</v>
      </c>
      <c r="E23" s="5">
        <v>6</v>
      </c>
      <c r="F23" s="5">
        <v>8.5</v>
      </c>
      <c r="G23" s="5">
        <v>7.5</v>
      </c>
      <c r="I23" s="5">
        <v>10</v>
      </c>
      <c r="J23" s="5">
        <v>6</v>
      </c>
      <c r="K23" s="5">
        <v>8.5</v>
      </c>
      <c r="L23" s="5">
        <v>7.5</v>
      </c>
      <c r="M23" s="5">
        <v>6</v>
      </c>
      <c r="N23" s="5">
        <v>7</v>
      </c>
      <c r="O23" s="5">
        <v>8</v>
      </c>
      <c r="P23" s="5">
        <v>8</v>
      </c>
      <c r="Q23" s="5">
        <v>10</v>
      </c>
      <c r="R23" s="5">
        <v>9</v>
      </c>
      <c r="S23" s="5">
        <f t="shared" si="0"/>
        <v>8</v>
      </c>
      <c r="T23" s="5">
        <f t="shared" si="1"/>
        <v>8.0500000000000007</v>
      </c>
      <c r="U23" s="5">
        <f t="shared" si="2"/>
        <v>8</v>
      </c>
      <c r="V23" t="str">
        <f t="shared" si="3"/>
        <v>Aprovado</v>
      </c>
    </row>
    <row r="24" spans="1:22" ht="15.75" x14ac:dyDescent="0.25">
      <c r="A24" s="53" t="s">
        <v>14</v>
      </c>
      <c r="B24" s="52">
        <v>23</v>
      </c>
      <c r="C24" t="s">
        <v>396</v>
      </c>
      <c r="D24" s="5">
        <v>10</v>
      </c>
      <c r="E24" s="5">
        <v>9</v>
      </c>
      <c r="F24" s="5">
        <v>6</v>
      </c>
      <c r="G24" s="5">
        <v>8.5</v>
      </c>
      <c r="I24" s="5">
        <v>10</v>
      </c>
      <c r="J24" s="5">
        <v>9</v>
      </c>
      <c r="K24" s="5">
        <v>6</v>
      </c>
      <c r="L24" s="5">
        <v>8.5</v>
      </c>
      <c r="M24" s="5">
        <v>7</v>
      </c>
      <c r="N24" s="5">
        <v>9.5</v>
      </c>
      <c r="O24" s="5">
        <v>9</v>
      </c>
      <c r="P24" s="5">
        <v>5.5</v>
      </c>
      <c r="Q24" s="5">
        <v>10</v>
      </c>
      <c r="R24" s="5">
        <v>9.5</v>
      </c>
      <c r="S24" s="5">
        <f t="shared" si="0"/>
        <v>8.375</v>
      </c>
      <c r="T24" s="5">
        <f t="shared" si="1"/>
        <v>8.5</v>
      </c>
      <c r="U24" s="5">
        <f t="shared" si="2"/>
        <v>8.5</v>
      </c>
      <c r="V24" t="str">
        <f t="shared" si="3"/>
        <v>Aprovado</v>
      </c>
    </row>
    <row r="25" spans="1:22" ht="15.75" x14ac:dyDescent="0.25">
      <c r="A25" s="53" t="s">
        <v>64</v>
      </c>
      <c r="B25" s="52">
        <v>24</v>
      </c>
      <c r="C25" t="s">
        <v>397</v>
      </c>
      <c r="D25" s="5">
        <v>5</v>
      </c>
      <c r="E25" s="5">
        <v>10</v>
      </c>
      <c r="F25" s="5">
        <v>8.5</v>
      </c>
      <c r="G25" s="5">
        <v>8.5</v>
      </c>
      <c r="I25" s="5">
        <v>5</v>
      </c>
      <c r="J25" s="5">
        <v>10</v>
      </c>
      <c r="K25" s="5">
        <v>8.5</v>
      </c>
      <c r="L25" s="5">
        <v>8.5</v>
      </c>
      <c r="M25" s="5">
        <v>7</v>
      </c>
      <c r="N25" s="5">
        <v>9</v>
      </c>
      <c r="O25" s="5">
        <v>8</v>
      </c>
      <c r="P25" s="5">
        <v>8</v>
      </c>
      <c r="Q25" s="5">
        <v>10</v>
      </c>
      <c r="R25" s="5">
        <v>10</v>
      </c>
      <c r="S25" s="5">
        <f t="shared" si="0"/>
        <v>8</v>
      </c>
      <c r="T25" s="5">
        <f t="shared" si="1"/>
        <v>8.6999999999999993</v>
      </c>
      <c r="U25" s="5">
        <f t="shared" si="2"/>
        <v>8.5</v>
      </c>
      <c r="V25" t="str">
        <f t="shared" si="3"/>
        <v>Aprovado</v>
      </c>
    </row>
    <row r="26" spans="1:22" ht="15.75" x14ac:dyDescent="0.25">
      <c r="A26" s="53" t="s">
        <v>38</v>
      </c>
      <c r="B26" s="52">
        <v>25</v>
      </c>
      <c r="C26" t="s">
        <v>398</v>
      </c>
      <c r="D26" s="5">
        <v>6</v>
      </c>
      <c r="E26" s="5">
        <v>5</v>
      </c>
      <c r="F26" s="5">
        <v>1.5</v>
      </c>
      <c r="G26" s="5">
        <v>8.5</v>
      </c>
      <c r="H26" s="5">
        <v>8</v>
      </c>
      <c r="I26" s="5">
        <v>6</v>
      </c>
      <c r="J26" s="44">
        <v>8</v>
      </c>
      <c r="K26" s="5">
        <v>1.5</v>
      </c>
      <c r="L26" s="5">
        <v>8.5</v>
      </c>
      <c r="M26" s="5">
        <v>6.5</v>
      </c>
      <c r="N26" s="5">
        <v>6.5</v>
      </c>
      <c r="O26" s="5">
        <v>8</v>
      </c>
      <c r="P26" s="5">
        <v>8.5</v>
      </c>
      <c r="Q26" s="5">
        <v>10</v>
      </c>
      <c r="R26" s="5">
        <v>9</v>
      </c>
      <c r="S26" s="5">
        <f t="shared" si="0"/>
        <v>6</v>
      </c>
      <c r="T26" s="5">
        <f t="shared" si="1"/>
        <v>8.125</v>
      </c>
      <c r="U26" s="5">
        <f t="shared" si="2"/>
        <v>7</v>
      </c>
      <c r="V26" t="str">
        <f t="shared" si="3"/>
        <v>Aprovado</v>
      </c>
    </row>
    <row r="27" spans="1:22" ht="15.75" x14ac:dyDescent="0.25">
      <c r="A27" s="53" t="s">
        <v>10</v>
      </c>
      <c r="B27" s="52">
        <v>26</v>
      </c>
      <c r="C27" t="s">
        <v>11</v>
      </c>
      <c r="D27" s="5">
        <v>3</v>
      </c>
      <c r="E27" s="5">
        <v>5.5</v>
      </c>
      <c r="F27" s="5">
        <v>6.5</v>
      </c>
      <c r="G27" s="5">
        <v>8</v>
      </c>
      <c r="H27" s="5">
        <v>4.5</v>
      </c>
      <c r="I27" s="44">
        <v>4.5</v>
      </c>
      <c r="J27" s="5">
        <v>5.5</v>
      </c>
      <c r="K27" s="5">
        <v>6.5</v>
      </c>
      <c r="L27" s="5">
        <v>8</v>
      </c>
      <c r="M27" s="5">
        <v>4</v>
      </c>
      <c r="N27" s="5">
        <v>7</v>
      </c>
      <c r="O27" s="5">
        <v>7</v>
      </c>
      <c r="P27" s="5">
        <v>7</v>
      </c>
      <c r="Q27" s="5">
        <v>9</v>
      </c>
      <c r="R27" s="5">
        <v>10</v>
      </c>
      <c r="S27" s="5">
        <f t="shared" si="0"/>
        <v>6.125</v>
      </c>
      <c r="T27" s="5">
        <f t="shared" si="1"/>
        <v>7.45</v>
      </c>
      <c r="U27" s="5">
        <f t="shared" si="2"/>
        <v>7</v>
      </c>
      <c r="V27" t="str">
        <f t="shared" si="3"/>
        <v>Aprovado</v>
      </c>
    </row>
    <row r="28" spans="1:22" ht="15.75" x14ac:dyDescent="0.25">
      <c r="A28" s="53" t="s">
        <v>46</v>
      </c>
      <c r="B28" s="52">
        <v>27</v>
      </c>
      <c r="C28" t="s">
        <v>399</v>
      </c>
      <c r="D28" s="5">
        <v>5</v>
      </c>
      <c r="E28" s="5">
        <v>9</v>
      </c>
      <c r="F28" s="5">
        <v>9</v>
      </c>
      <c r="G28" s="5">
        <v>6.5</v>
      </c>
      <c r="H28" s="5">
        <v>7.5</v>
      </c>
      <c r="I28" s="44">
        <v>7.5</v>
      </c>
      <c r="J28" s="5">
        <v>9</v>
      </c>
      <c r="K28" s="5">
        <v>9</v>
      </c>
      <c r="L28" s="5">
        <v>6.5</v>
      </c>
      <c r="M28" s="5">
        <v>7.5</v>
      </c>
      <c r="N28" s="5">
        <v>9</v>
      </c>
      <c r="O28" s="5">
        <v>8</v>
      </c>
      <c r="P28" s="5">
        <v>8</v>
      </c>
      <c r="Q28" s="5">
        <v>10</v>
      </c>
      <c r="R28" s="5">
        <v>10</v>
      </c>
      <c r="S28" s="5">
        <f t="shared" si="0"/>
        <v>8</v>
      </c>
      <c r="T28" s="5">
        <f t="shared" si="1"/>
        <v>8.7750000000000004</v>
      </c>
      <c r="U28" s="5">
        <f t="shared" si="2"/>
        <v>8.5</v>
      </c>
      <c r="V28" t="str">
        <f t="shared" si="3"/>
        <v>Aprovado</v>
      </c>
    </row>
    <row r="29" spans="1:22" ht="15.75" x14ac:dyDescent="0.25">
      <c r="A29" s="53" t="s">
        <v>30</v>
      </c>
      <c r="B29" s="52">
        <v>28</v>
      </c>
      <c r="C29" t="s">
        <v>31</v>
      </c>
      <c r="D29" s="5">
        <v>5</v>
      </c>
      <c r="E29" s="5">
        <v>6</v>
      </c>
      <c r="F29" s="5">
        <v>0.5</v>
      </c>
      <c r="G29" s="5">
        <v>7</v>
      </c>
      <c r="I29" s="5">
        <v>5</v>
      </c>
      <c r="J29" s="5">
        <v>6</v>
      </c>
      <c r="K29" s="5">
        <v>0.5</v>
      </c>
      <c r="L29" s="5">
        <v>7</v>
      </c>
      <c r="M29" s="5">
        <v>7</v>
      </c>
      <c r="N29" s="5">
        <v>7</v>
      </c>
      <c r="O29" s="5">
        <v>8</v>
      </c>
      <c r="P29" s="5">
        <v>7.5</v>
      </c>
      <c r="Q29" s="5">
        <v>10</v>
      </c>
      <c r="R29" s="5">
        <v>9</v>
      </c>
      <c r="S29" s="5">
        <f t="shared" si="0"/>
        <v>4.625</v>
      </c>
      <c r="T29" s="5">
        <f t="shared" si="1"/>
        <v>8.125</v>
      </c>
      <c r="U29" s="5">
        <f t="shared" si="2"/>
        <v>6.5</v>
      </c>
      <c r="V29" t="str">
        <f t="shared" si="3"/>
        <v>Aprovado</v>
      </c>
    </row>
    <row r="30" spans="1:22" ht="15.75" x14ac:dyDescent="0.25">
      <c r="A30" s="53" t="s">
        <v>60</v>
      </c>
      <c r="B30" s="52">
        <v>29</v>
      </c>
      <c r="C30" t="s">
        <v>93</v>
      </c>
      <c r="D30" s="5">
        <v>4.5</v>
      </c>
      <c r="E30" s="5">
        <v>4.5</v>
      </c>
      <c r="F30" s="5">
        <v>3</v>
      </c>
      <c r="G30" s="5">
        <v>7</v>
      </c>
      <c r="H30" s="5">
        <v>2.5</v>
      </c>
      <c r="I30" s="5">
        <v>4.5</v>
      </c>
      <c r="J30" s="5">
        <v>4.5</v>
      </c>
      <c r="K30" s="5">
        <v>3</v>
      </c>
      <c r="L30" s="5">
        <v>7</v>
      </c>
      <c r="M30" s="5">
        <v>5.5</v>
      </c>
      <c r="N30" s="5">
        <v>5</v>
      </c>
      <c r="O30" s="5">
        <v>9</v>
      </c>
      <c r="P30" s="5">
        <v>8</v>
      </c>
      <c r="Q30" s="5">
        <v>10</v>
      </c>
      <c r="R30" s="5">
        <v>7</v>
      </c>
      <c r="S30" s="5">
        <f t="shared" si="0"/>
        <v>4.75</v>
      </c>
      <c r="T30" s="5">
        <f t="shared" si="1"/>
        <v>7.4749999999999996</v>
      </c>
      <c r="U30" s="5">
        <f t="shared" si="2"/>
        <v>6</v>
      </c>
      <c r="V30" t="str">
        <f t="shared" si="3"/>
        <v>Aprovado</v>
      </c>
    </row>
    <row r="31" spans="1:22" ht="15.75" x14ac:dyDescent="0.25">
      <c r="A31" s="53" t="s">
        <v>74</v>
      </c>
      <c r="B31" s="52">
        <v>30</v>
      </c>
      <c r="C31" t="s">
        <v>400</v>
      </c>
      <c r="D31" s="5">
        <v>7</v>
      </c>
      <c r="E31" s="5">
        <v>5</v>
      </c>
      <c r="F31" s="5">
        <v>4.5</v>
      </c>
      <c r="G31" s="5">
        <v>7.5</v>
      </c>
      <c r="H31" s="5">
        <v>0</v>
      </c>
      <c r="I31" s="5">
        <v>7</v>
      </c>
      <c r="J31" s="5">
        <v>5</v>
      </c>
      <c r="K31" s="5">
        <v>4.5</v>
      </c>
      <c r="L31" s="5">
        <v>7.5</v>
      </c>
      <c r="M31" s="5">
        <v>8.5</v>
      </c>
      <c r="N31" s="5">
        <v>8.5</v>
      </c>
      <c r="O31" s="5">
        <v>8</v>
      </c>
      <c r="P31" s="5">
        <v>8.5</v>
      </c>
      <c r="Q31" s="5">
        <v>10</v>
      </c>
      <c r="R31" s="5">
        <v>9</v>
      </c>
      <c r="S31" s="5">
        <f t="shared" si="0"/>
        <v>6</v>
      </c>
      <c r="T31" s="5">
        <f t="shared" si="1"/>
        <v>8.7249999999999996</v>
      </c>
      <c r="U31" s="5">
        <f t="shared" si="2"/>
        <v>7.5</v>
      </c>
      <c r="V31" t="str">
        <f t="shared" si="3"/>
        <v>Aprovado</v>
      </c>
    </row>
    <row r="32" spans="1:22" ht="15.75" x14ac:dyDescent="0.25">
      <c r="A32" s="53" t="s">
        <v>34</v>
      </c>
      <c r="B32" s="52">
        <v>31</v>
      </c>
      <c r="C32" t="s">
        <v>35</v>
      </c>
      <c r="D32" s="5">
        <v>8</v>
      </c>
      <c r="E32" s="5">
        <v>4</v>
      </c>
      <c r="F32" s="5">
        <v>1.5</v>
      </c>
      <c r="G32" s="5">
        <v>8</v>
      </c>
      <c r="H32" s="5">
        <v>5.5</v>
      </c>
      <c r="I32" s="5">
        <v>8</v>
      </c>
      <c r="J32" s="44">
        <v>5.5</v>
      </c>
      <c r="K32" s="5">
        <v>1.5</v>
      </c>
      <c r="L32" s="5">
        <v>8</v>
      </c>
      <c r="M32" s="5">
        <v>6.5</v>
      </c>
      <c r="N32" s="5">
        <v>7.5</v>
      </c>
      <c r="O32" s="5">
        <v>8</v>
      </c>
      <c r="P32" s="5">
        <v>7</v>
      </c>
      <c r="Q32" s="5">
        <v>10</v>
      </c>
      <c r="R32" s="5">
        <v>9</v>
      </c>
      <c r="S32" s="5">
        <f t="shared" si="0"/>
        <v>5.75</v>
      </c>
      <c r="T32" s="5">
        <f t="shared" si="1"/>
        <v>8.0500000000000007</v>
      </c>
      <c r="U32" s="5">
        <f t="shared" si="2"/>
        <v>7</v>
      </c>
      <c r="V32" t="str">
        <f t="shared" si="3"/>
        <v>Aprovado</v>
      </c>
    </row>
    <row r="33" spans="1:22" ht="15.75" x14ac:dyDescent="0.25">
      <c r="A33" s="53" t="s">
        <v>36</v>
      </c>
      <c r="B33" s="52">
        <v>32</v>
      </c>
      <c r="C33" t="s">
        <v>37</v>
      </c>
      <c r="E33" s="5">
        <v>0.5</v>
      </c>
      <c r="F33" s="5">
        <v>4.5</v>
      </c>
      <c r="G33" s="5">
        <v>8</v>
      </c>
      <c r="J33" s="5">
        <v>0.5</v>
      </c>
      <c r="K33" s="5">
        <v>4.5</v>
      </c>
      <c r="L33" s="5">
        <v>8</v>
      </c>
      <c r="M33" s="5">
        <v>4.5</v>
      </c>
      <c r="N33" s="5">
        <v>8</v>
      </c>
      <c r="O33" s="5">
        <v>9</v>
      </c>
      <c r="P33" s="5">
        <v>4.5</v>
      </c>
      <c r="Q33" s="5">
        <v>10</v>
      </c>
      <c r="R33" s="5">
        <v>7</v>
      </c>
      <c r="S33" s="5">
        <f t="shared" si="0"/>
        <v>4.333333333333333</v>
      </c>
      <c r="T33" s="5">
        <f t="shared" si="1"/>
        <v>7.25</v>
      </c>
      <c r="U33" s="5">
        <f t="shared" si="2"/>
        <v>6</v>
      </c>
      <c r="V33" t="str">
        <f t="shared" si="3"/>
        <v>Aprovado</v>
      </c>
    </row>
    <row r="34" spans="1:22" ht="15.75" x14ac:dyDescent="0.25">
      <c r="A34" s="53" t="s">
        <v>78</v>
      </c>
      <c r="B34" s="52">
        <v>33</v>
      </c>
      <c r="C34" t="s">
        <v>401</v>
      </c>
      <c r="D34" s="5">
        <v>3</v>
      </c>
      <c r="E34" s="5">
        <v>9</v>
      </c>
      <c r="F34" s="5">
        <v>4.5</v>
      </c>
      <c r="G34" s="5">
        <v>8.5</v>
      </c>
      <c r="I34" s="5">
        <v>3</v>
      </c>
      <c r="J34" s="5">
        <v>9</v>
      </c>
      <c r="K34" s="5">
        <v>4.5</v>
      </c>
      <c r="L34" s="5">
        <v>8.5</v>
      </c>
      <c r="M34" s="5">
        <v>7</v>
      </c>
      <c r="N34" s="5">
        <v>9</v>
      </c>
      <c r="O34" s="5">
        <v>8</v>
      </c>
      <c r="P34" s="5">
        <v>8.5</v>
      </c>
      <c r="Q34" s="5">
        <v>10</v>
      </c>
      <c r="R34" s="5">
        <v>10</v>
      </c>
      <c r="S34" s="5">
        <f t="shared" si="0"/>
        <v>6.25</v>
      </c>
      <c r="T34" s="5">
        <f t="shared" si="1"/>
        <v>8.7750000000000004</v>
      </c>
      <c r="U34" s="5">
        <f t="shared" si="2"/>
        <v>7.5</v>
      </c>
      <c r="V34" t="str">
        <f t="shared" si="3"/>
        <v>Aprovado</v>
      </c>
    </row>
    <row r="35" spans="1:22" ht="15.75" x14ac:dyDescent="0.25">
      <c r="A35" s="53" t="s">
        <v>20</v>
      </c>
      <c r="B35" s="52">
        <v>34</v>
      </c>
      <c r="C35" t="s">
        <v>402</v>
      </c>
      <c r="D35" s="5">
        <v>3</v>
      </c>
      <c r="E35" s="5">
        <v>8</v>
      </c>
      <c r="F35" s="5">
        <v>2</v>
      </c>
      <c r="G35" s="5">
        <v>8.5</v>
      </c>
      <c r="I35" s="5">
        <v>3</v>
      </c>
      <c r="J35" s="5">
        <v>8</v>
      </c>
      <c r="K35" s="5">
        <v>2</v>
      </c>
      <c r="L35" s="5">
        <v>8.5</v>
      </c>
      <c r="M35" s="5">
        <v>5.5</v>
      </c>
      <c r="N35" s="5">
        <v>9</v>
      </c>
      <c r="O35" s="5">
        <v>6.5</v>
      </c>
      <c r="P35" s="5">
        <v>7</v>
      </c>
      <c r="Q35" s="5">
        <v>10</v>
      </c>
      <c r="R35" s="5">
        <v>9.5</v>
      </c>
      <c r="S35" s="5">
        <f t="shared" si="0"/>
        <v>5.375</v>
      </c>
      <c r="T35" s="5">
        <f t="shared" si="1"/>
        <v>7.9249999999999998</v>
      </c>
      <c r="U35" s="5">
        <f t="shared" si="2"/>
        <v>6.5</v>
      </c>
      <c r="V35" t="str">
        <f t="shared" si="3"/>
        <v>Aprovado</v>
      </c>
    </row>
    <row r="36" spans="1:22" ht="15.75" x14ac:dyDescent="0.25">
      <c r="A36" s="53" t="s">
        <v>42</v>
      </c>
      <c r="B36" s="52">
        <v>35</v>
      </c>
      <c r="C36" t="s">
        <v>403</v>
      </c>
      <c r="D36" s="5">
        <v>3.5</v>
      </c>
      <c r="E36" s="5">
        <v>5</v>
      </c>
      <c r="F36" s="5">
        <v>6</v>
      </c>
      <c r="G36" s="5">
        <v>8</v>
      </c>
      <c r="H36" s="5">
        <v>3.5</v>
      </c>
      <c r="I36" s="5">
        <v>3.5</v>
      </c>
      <c r="J36" s="5">
        <v>5</v>
      </c>
      <c r="K36" s="5">
        <v>6</v>
      </c>
      <c r="L36" s="5">
        <v>8</v>
      </c>
      <c r="M36" s="5">
        <v>5.5</v>
      </c>
      <c r="N36" s="5">
        <v>5.5</v>
      </c>
      <c r="O36" s="5">
        <v>9</v>
      </c>
      <c r="P36" s="5">
        <v>9.5</v>
      </c>
      <c r="Q36" s="5">
        <v>10</v>
      </c>
      <c r="R36" s="5">
        <v>7</v>
      </c>
      <c r="S36" s="5">
        <f t="shared" si="0"/>
        <v>5.625</v>
      </c>
      <c r="T36" s="5">
        <f t="shared" si="1"/>
        <v>7.7750000000000004</v>
      </c>
      <c r="U36" s="5">
        <f t="shared" si="2"/>
        <v>6.5</v>
      </c>
      <c r="V36" t="str">
        <f t="shared" si="3"/>
        <v>Aprovado</v>
      </c>
    </row>
    <row r="37" spans="1:22" ht="15.75" x14ac:dyDescent="0.25">
      <c r="A37" s="53" t="s">
        <v>2</v>
      </c>
      <c r="B37" s="52">
        <v>36</v>
      </c>
      <c r="C37" t="s">
        <v>96</v>
      </c>
      <c r="D37" s="5">
        <v>1</v>
      </c>
      <c r="E37" s="5">
        <v>3.5</v>
      </c>
      <c r="F37" s="5">
        <v>2</v>
      </c>
      <c r="G37" s="5">
        <v>7</v>
      </c>
      <c r="H37" s="5">
        <v>1</v>
      </c>
      <c r="I37" s="5">
        <v>1</v>
      </c>
      <c r="J37" s="5">
        <v>3.5</v>
      </c>
      <c r="K37" s="5">
        <v>2</v>
      </c>
      <c r="L37" s="5">
        <v>7</v>
      </c>
      <c r="M37" s="5">
        <v>4</v>
      </c>
      <c r="N37" s="5">
        <v>7</v>
      </c>
      <c r="O37" s="5">
        <v>7</v>
      </c>
      <c r="P37" s="5">
        <v>4.5</v>
      </c>
      <c r="Q37" s="5">
        <v>9</v>
      </c>
      <c r="R37" s="5">
        <v>10</v>
      </c>
      <c r="S37" s="5">
        <f t="shared" si="0"/>
        <v>3.375</v>
      </c>
      <c r="T37" s="5">
        <f t="shared" si="1"/>
        <v>7.0750000000000002</v>
      </c>
      <c r="U37" s="5">
        <f t="shared" si="2"/>
        <v>5</v>
      </c>
      <c r="V37" t="str">
        <f t="shared" si="3"/>
        <v/>
      </c>
    </row>
    <row r="38" spans="1:22" ht="15.75" x14ac:dyDescent="0.25">
      <c r="A38" s="53" t="s">
        <v>48</v>
      </c>
      <c r="B38" s="52">
        <v>37</v>
      </c>
      <c r="C38" t="s">
        <v>404</v>
      </c>
      <c r="D38" s="5">
        <v>4.5</v>
      </c>
      <c r="E38" s="5">
        <v>6</v>
      </c>
      <c r="F38" s="5">
        <v>5.5</v>
      </c>
      <c r="G38" s="5">
        <v>8</v>
      </c>
      <c r="H38" s="5">
        <v>7.5</v>
      </c>
      <c r="I38" s="44">
        <v>7.5</v>
      </c>
      <c r="J38" s="5">
        <v>6</v>
      </c>
      <c r="K38" s="5">
        <v>5.5</v>
      </c>
      <c r="L38" s="5">
        <v>8</v>
      </c>
      <c r="M38" s="5">
        <v>2.5</v>
      </c>
      <c r="N38" s="5">
        <v>6.5</v>
      </c>
      <c r="O38" s="5">
        <v>6.5</v>
      </c>
      <c r="P38" s="5">
        <v>8.5</v>
      </c>
      <c r="Q38" s="5">
        <v>10</v>
      </c>
      <c r="R38" s="5">
        <v>10</v>
      </c>
      <c r="S38" s="5">
        <f t="shared" si="0"/>
        <v>6.75</v>
      </c>
      <c r="T38" s="5">
        <f t="shared" si="1"/>
        <v>7.4249999999999998</v>
      </c>
      <c r="U38" s="5">
        <f t="shared" si="2"/>
        <v>7</v>
      </c>
      <c r="V38" t="str">
        <f t="shared" si="3"/>
        <v>Aprovado</v>
      </c>
    </row>
    <row r="39" spans="1:22" ht="15.75" x14ac:dyDescent="0.25">
      <c r="A39" s="53" t="s">
        <v>66</v>
      </c>
      <c r="B39" s="52">
        <v>38</v>
      </c>
      <c r="C39" t="s">
        <v>405</v>
      </c>
      <c r="D39" s="5">
        <v>3</v>
      </c>
      <c r="E39" s="5">
        <v>6</v>
      </c>
      <c r="F39" s="5">
        <v>2.5</v>
      </c>
      <c r="G39" s="5">
        <v>7.5</v>
      </c>
      <c r="H39" s="5">
        <v>7.5</v>
      </c>
      <c r="I39" s="44">
        <v>7.5</v>
      </c>
      <c r="J39" s="5">
        <v>6</v>
      </c>
      <c r="K39" s="5">
        <v>2.5</v>
      </c>
      <c r="L39" s="5">
        <v>7.5</v>
      </c>
      <c r="M39" s="5">
        <v>7.5</v>
      </c>
      <c r="N39" s="5">
        <v>6</v>
      </c>
      <c r="O39" s="5">
        <v>7</v>
      </c>
      <c r="P39" s="5">
        <v>7.5</v>
      </c>
      <c r="Q39" s="5">
        <v>9</v>
      </c>
      <c r="R39" s="5">
        <v>10</v>
      </c>
      <c r="S39" s="5">
        <f t="shared" si="0"/>
        <v>5.875</v>
      </c>
      <c r="T39" s="5">
        <f t="shared" si="1"/>
        <v>7.9</v>
      </c>
      <c r="U39" s="5">
        <f t="shared" si="2"/>
        <v>7</v>
      </c>
      <c r="V39" t="str">
        <f t="shared" si="3"/>
        <v>Aprovado</v>
      </c>
    </row>
    <row r="40" spans="1:22" ht="15.75" x14ac:dyDescent="0.25">
      <c r="A40" s="53" t="s">
        <v>22</v>
      </c>
      <c r="B40" s="52">
        <v>39</v>
      </c>
      <c r="C40" t="s">
        <v>406</v>
      </c>
      <c r="D40" s="5">
        <v>6.5</v>
      </c>
      <c r="E40" s="5">
        <v>8</v>
      </c>
      <c r="F40" s="5">
        <v>2.5</v>
      </c>
      <c r="G40" s="5">
        <v>5.5</v>
      </c>
      <c r="I40" s="5">
        <v>6.5</v>
      </c>
      <c r="J40" s="5">
        <v>8</v>
      </c>
      <c r="K40" s="5">
        <v>2.5</v>
      </c>
      <c r="L40" s="5">
        <v>5.5</v>
      </c>
      <c r="M40" s="5">
        <v>7</v>
      </c>
      <c r="N40" s="5">
        <v>7</v>
      </c>
      <c r="O40" s="5">
        <v>7</v>
      </c>
      <c r="P40" s="5">
        <v>7</v>
      </c>
      <c r="Q40" s="5">
        <v>9</v>
      </c>
      <c r="R40" s="5">
        <v>10</v>
      </c>
      <c r="S40" s="5">
        <f t="shared" si="0"/>
        <v>5.625</v>
      </c>
      <c r="T40" s="5">
        <f t="shared" si="1"/>
        <v>7.9</v>
      </c>
      <c r="U40" s="5">
        <f t="shared" si="2"/>
        <v>7</v>
      </c>
      <c r="V40" t="str">
        <f t="shared" si="3"/>
        <v>Aprovado</v>
      </c>
    </row>
    <row r="41" spans="1:22" x14ac:dyDescent="0.25">
      <c r="M41" s="5"/>
      <c r="N41" s="5"/>
      <c r="O41" s="5"/>
      <c r="P41" s="5"/>
      <c r="T41"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Médias 4o Bimestre</vt:lpstr>
      <vt:lpstr>Nota P4 Lab</vt:lpstr>
      <vt:lpstr>Atividades e Projeto Notas</vt:lpstr>
      <vt:lpstr>Atividades e Projeto Comentario</vt:lpstr>
      <vt:lpstr>work 1</vt:lpstr>
      <vt:lpstr>work 2</vt:lpstr>
      <vt:lpstr>Ordem Turmas</vt:lpstr>
      <vt:lpstr>MF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ROGERIO DE OLIVEIRA</dc:creator>
  <cp:lastModifiedBy>ROGERIO DE OLIVEIRA</cp:lastModifiedBy>
  <dcterms:created xsi:type="dcterms:W3CDTF">2025-11-23T12:28:20Z</dcterms:created>
  <dcterms:modified xsi:type="dcterms:W3CDTF">2025-11-24T14:56:46Z</dcterms:modified>
</cp:coreProperties>
</file>